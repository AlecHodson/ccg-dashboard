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A" sheetId="1" state="visible" r:id="rId1"/>
    <sheet xmlns:r="http://schemas.openxmlformats.org/officeDocument/2006/relationships" name="BK" sheetId="2" state="visible" r:id="rId2"/>
    <sheet xmlns:r="http://schemas.openxmlformats.org/officeDocument/2006/relationships" name="BW" sheetId="3" state="visible" r:id="rId3"/>
    <sheet xmlns:r="http://schemas.openxmlformats.org/officeDocument/2006/relationships" name="CED" sheetId="4" state="visible" r:id="rId4"/>
    <sheet xmlns:r="http://schemas.openxmlformats.org/officeDocument/2006/relationships" name="HAB" sheetId="5" state="visible" r:id="rId5"/>
    <sheet xmlns:r="http://schemas.openxmlformats.org/officeDocument/2006/relationships" name="HB" sheetId="6" state="visible" r:id="rId6"/>
    <sheet xmlns:r="http://schemas.openxmlformats.org/officeDocument/2006/relationships" name="OD" sheetId="7" state="visible" r:id="rId7"/>
    <sheet xmlns:r="http://schemas.openxmlformats.org/officeDocument/2006/relationships" name="HDN" sheetId="8" state="visible" r:id="rId8"/>
    <sheet xmlns:r="http://schemas.openxmlformats.org/officeDocument/2006/relationships" name="KIN" sheetId="9" state="visible" r:id="rId9"/>
    <sheet xmlns:r="http://schemas.openxmlformats.org/officeDocument/2006/relationships" name="LE" sheetId="10" state="visible" r:id="rId10"/>
    <sheet xmlns:r="http://schemas.openxmlformats.org/officeDocument/2006/relationships" name="MER" sheetId="11" state="visible" r:id="rId11"/>
    <sheet xmlns:r="http://schemas.openxmlformats.org/officeDocument/2006/relationships" name="NDN" sheetId="12" state="visible" r:id="rId12"/>
    <sheet xmlns:r="http://schemas.openxmlformats.org/officeDocument/2006/relationships" name="SALT" sheetId="13" state="visible" r:id="rId13"/>
    <sheet xmlns:r="http://schemas.openxmlformats.org/officeDocument/2006/relationships" name="SDN" sheetId="14" state="visible" r:id="rId14"/>
    <sheet xmlns:r="http://schemas.openxmlformats.org/officeDocument/2006/relationships" name="SST" sheetId="15" state="visible" r:id="rId15"/>
    <sheet xmlns:r="http://schemas.openxmlformats.org/officeDocument/2006/relationships" name="WH" sheetId="16" state="visible" r:id="rId16"/>
    <sheet xmlns:r="http://schemas.openxmlformats.org/officeDocument/2006/relationships" name="FH" sheetId="17" state="visible" r:id="rId17"/>
    <sheet xmlns:r="http://schemas.openxmlformats.org/officeDocument/2006/relationships" name="KNL HO" sheetId="18" state="visible" r:id="rId18"/>
    <sheet xmlns:r="http://schemas.openxmlformats.org/officeDocument/2006/relationships" name="CCL HO" sheetId="19" state="visible" r:id="rId19"/>
    <sheet xmlns:r="http://schemas.openxmlformats.org/officeDocument/2006/relationships" name="YBHN HO" sheetId="20" state="visible" r:id="rId20"/>
    <sheet xmlns:r="http://schemas.openxmlformats.org/officeDocument/2006/relationships" name="YBN HO" sheetId="21" state="visible" r:id="rId21"/>
    <sheet xmlns:r="http://schemas.openxmlformats.org/officeDocument/2006/relationships" name="GROUP TOTALS" sheetId="22" state="visible" r:id="rId22"/>
    <sheet xmlns:r="http://schemas.openxmlformats.org/officeDocument/2006/relationships" name="ABA Plan" sheetId="23" state="visible" r:id="rId23"/>
    <sheet xmlns:r="http://schemas.openxmlformats.org/officeDocument/2006/relationships" name="BK Plan" sheetId="24" state="visible" r:id="rId24"/>
    <sheet xmlns:r="http://schemas.openxmlformats.org/officeDocument/2006/relationships" name="BW Plan" sheetId="25" state="visible" r:id="rId25"/>
    <sheet xmlns:r="http://schemas.openxmlformats.org/officeDocument/2006/relationships" name="CED Plan" sheetId="26" state="visible" r:id="rId26"/>
    <sheet xmlns:r="http://schemas.openxmlformats.org/officeDocument/2006/relationships" name="HAB Plan" sheetId="27" state="visible" r:id="rId27"/>
    <sheet xmlns:r="http://schemas.openxmlformats.org/officeDocument/2006/relationships" name="HB Plan" sheetId="28" state="visible" r:id="rId28"/>
    <sheet xmlns:r="http://schemas.openxmlformats.org/officeDocument/2006/relationships" name="OD Plan" sheetId="29" state="visible" r:id="rId29"/>
    <sheet xmlns:r="http://schemas.openxmlformats.org/officeDocument/2006/relationships" name="HDN Plan" sheetId="30" state="visible" r:id="rId30"/>
    <sheet xmlns:r="http://schemas.openxmlformats.org/officeDocument/2006/relationships" name="KIN Plan" sheetId="31" state="visible" r:id="rId31"/>
    <sheet xmlns:r="http://schemas.openxmlformats.org/officeDocument/2006/relationships" name="LE Plan" sheetId="32" state="visible" r:id="rId32"/>
    <sheet xmlns:r="http://schemas.openxmlformats.org/officeDocument/2006/relationships" name="MER Plan" sheetId="33" state="visible" r:id="rId33"/>
    <sheet xmlns:r="http://schemas.openxmlformats.org/officeDocument/2006/relationships" name="NDN Plan" sheetId="34" state="visible" r:id="rId34"/>
    <sheet xmlns:r="http://schemas.openxmlformats.org/officeDocument/2006/relationships" name="SALT Plan" sheetId="35" state="visible" r:id="rId35"/>
    <sheet xmlns:r="http://schemas.openxmlformats.org/officeDocument/2006/relationships" name="SDN Plan" sheetId="36" state="visible" r:id="rId36"/>
    <sheet xmlns:r="http://schemas.openxmlformats.org/officeDocument/2006/relationships" name="SST Plan" sheetId="37" state="visible" r:id="rId37"/>
    <sheet xmlns:r="http://schemas.openxmlformats.org/officeDocument/2006/relationships" name="WH Plan" sheetId="38" state="visible" r:id="rId38"/>
    <sheet xmlns:r="http://schemas.openxmlformats.org/officeDocument/2006/relationships" name="FH Plan" sheetId="39" state="visible" r:id="rId39"/>
    <sheet xmlns:r="http://schemas.openxmlformats.org/officeDocument/2006/relationships" name="KNL HO Plan" sheetId="40" state="visible" r:id="rId40"/>
    <sheet xmlns:r="http://schemas.openxmlformats.org/officeDocument/2006/relationships" name="CCL HO Plan" sheetId="41" state="visible" r:id="rId41"/>
    <sheet xmlns:r="http://schemas.openxmlformats.org/officeDocument/2006/relationships" name="YBHN HO Plan" sheetId="42" state="visible" r:id="rId42"/>
    <sheet xmlns:r="http://schemas.openxmlformats.org/officeDocument/2006/relationships" name="YBN HO Plan" sheetId="43" state="visible" r:id="rId43"/>
    <sheet xmlns:r="http://schemas.openxmlformats.org/officeDocument/2006/relationships" name="GROUP TOTALS Plan" sheetId="44" state="visible" r:id="rId4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_);&quot;(&quot;#,##0&quot;)&quot;;&quot;-&quot;_)"/>
    <numFmt numFmtId="165" formatCode="#,##0.0000_);&quot;(&quot;#,##0.0000&quot;)&quot;;&quot;-&quot;_)"/>
    <numFmt numFmtId="166" formatCode="0.0%"/>
    <numFmt numFmtId="167" formatCode="#,##0.00000_);&quot;(&quot;#,##0.00000&quot;)&quot;;&quot;-&quot;_)"/>
    <numFmt numFmtId="168" formatCode="_(* #,##0_);_(* \(#,##0\);_(* &quot;-&quot;??_);_(@_)"/>
    <numFmt numFmtId="169" formatCode="+0.0%;-0.0%;0.0%"/>
    <numFmt numFmtId="170" formatCode="+#,##0;-#,##0;#,##0"/>
  </numFmts>
  <fonts count="20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6"/>
      <u val="single"/>
    </font>
    <font>
      <name val="Calibri"/>
      <family val="2"/>
      <b val="1"/>
      <color rgb="FF000000"/>
      <sz val="12"/>
    </font>
    <font>
      <name val="Aptos Narrow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Aptos Narrow"/>
      <family val="2"/>
      <sz val="11"/>
    </font>
    <font>
      <name val="Calibri"/>
      <family val="2"/>
      <sz val="11"/>
    </font>
    <font>
      <name val="Calibri"/>
      <family val="2"/>
      <b val="1"/>
      <sz val="11"/>
    </font>
    <font>
      <name val="Aptos Narrow"/>
      <family val="2"/>
      <b val="1"/>
      <sz val="11"/>
      <u val="single"/>
    </font>
    <font>
      <name val="Calibri"/>
      <family val="2"/>
      <b val="1"/>
      <color rgb="FF000000"/>
      <sz val="11"/>
      <u val="single"/>
    </font>
    <font>
      <name val="Aptos Narrow"/>
      <family val="2"/>
      <b val="1"/>
      <sz val="11"/>
    </font>
    <font>
      <name val="Aptos Narrow"/>
      <family val="2"/>
      <color theme="1"/>
      <sz val="10"/>
      <scheme val="minor"/>
    </font>
    <font>
      <b val="1"/>
      <color rgb="00FFFFFF"/>
      <sz val="9"/>
    </font>
    <font>
      <b val="1"/>
      <color rgb="00FFFFFF"/>
      <sz val="8"/>
    </font>
    <font>
      <sz val="11"/>
    </font>
    <font>
      <b val="1"/>
      <sz val="11"/>
    </font>
    <font>
      <color rgb="00555555"/>
      <sz val="9"/>
    </font>
    <font>
      <color rgb="FF000000"/>
      <sz val="11"/>
    </font>
    <font>
      <b val="1"/>
      <color rgb="FF000000"/>
      <sz val="11"/>
    </font>
  </fonts>
  <fills count="13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6C3483"/>
      </patternFill>
    </fill>
    <fill>
      <patternFill patternType="solid">
        <fgColor rgb="00FFFDE7"/>
      </patternFill>
    </fill>
    <fill>
      <patternFill patternType="solid">
        <fgColor rgb="00F8F9FA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6">
    <xf numFmtId="0" fontId="0" fillId="0" borderId="0" pivotButton="0" quotePrefix="0" xfId="0"/>
    <xf numFmtId="164" fontId="1" fillId="0" borderId="0" pivotButton="0" quotePrefix="0" xfId="0"/>
    <xf numFmtId="164" fontId="2" fillId="2" borderId="0" pivotButton="0" quotePrefix="0" xfId="0"/>
    <xf numFmtId="164" fontId="1" fillId="2" borderId="0" pivotButton="0" quotePrefix="0" xfId="0"/>
    <xf numFmtId="164" fontId="2" fillId="3" borderId="1" pivotButton="0" quotePrefix="0" xfId="0"/>
    <xf numFmtId="164" fontId="2" fillId="0" borderId="0" pivotButton="0" quotePrefix="0" xfId="0"/>
    <xf numFmtId="164" fontId="2" fillId="0" borderId="1" pivotButton="0" quotePrefix="0" xfId="0"/>
    <xf numFmtId="164" fontId="1" fillId="4" borderId="0" pivotButton="0" quotePrefix="0" xfId="0"/>
    <xf numFmtId="0" fontId="3" fillId="0" borderId="0" pivotButton="0" quotePrefix="0" xfId="0"/>
    <xf numFmtId="164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4" fontId="5" fillId="3" borderId="3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164" fontId="4" fillId="4" borderId="2" applyAlignment="1" pivotButton="0" quotePrefix="0" xfId="0">
      <alignment horizontal="center"/>
    </xf>
    <xf numFmtId="164" fontId="5" fillId="3" borderId="3" applyAlignment="1" pivotButton="0" quotePrefix="0" xfId="0">
      <alignment horizontal="center" wrapText="1"/>
    </xf>
    <xf numFmtId="164" fontId="5" fillId="3" borderId="4" applyAlignment="1" pivotButton="0" quotePrefix="0" xfId="0">
      <alignment horizontal="center" wrapText="1"/>
    </xf>
    <xf numFmtId="164" fontId="5" fillId="0" borderId="0" applyAlignment="1" pivotButton="0" quotePrefix="0" xfId="0">
      <alignment horizontal="center" wrapText="1"/>
    </xf>
    <xf numFmtId="164" fontId="4" fillId="2" borderId="0" pivotButton="0" quotePrefix="0" xfId="0"/>
    <xf numFmtId="164" fontId="4" fillId="3" borderId="5" pivotButton="0" quotePrefix="0" xfId="0"/>
    <xf numFmtId="164" fontId="4" fillId="4" borderId="0" pivotButton="0" quotePrefix="0" xfId="0"/>
    <xf numFmtId="164" fontId="4" fillId="3" borderId="6" pivotButton="0" quotePrefix="0" xfId="0"/>
    <xf numFmtId="164" fontId="4" fillId="0" borderId="0" applyAlignment="1" pivotButton="0" quotePrefix="0" xfId="0">
      <alignment horizontal="left"/>
    </xf>
    <xf numFmtId="164" fontId="4" fillId="2" borderId="0" applyAlignment="1" pivotButton="0" quotePrefix="0" xfId="0">
      <alignment horizontal="right"/>
    </xf>
    <xf numFmtId="164" fontId="4" fillId="3" borderId="5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4" fillId="3" borderId="6" applyAlignment="1" pivotButton="0" quotePrefix="0" xfId="0">
      <alignment horizontal="right"/>
    </xf>
    <xf numFmtId="164" fontId="5" fillId="0" borderId="0" applyAlignment="1" pivotButton="0" quotePrefix="0" xfId="0">
      <alignment horizontal="left"/>
    </xf>
    <xf numFmtId="164" fontId="5" fillId="2" borderId="0" applyAlignment="1" pivotButton="0" quotePrefix="0" xfId="0">
      <alignment horizontal="right"/>
    </xf>
    <xf numFmtId="164" fontId="5" fillId="3" borderId="5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4" fontId="5" fillId="3" borderId="6" applyAlignment="1" pivotButton="0" quotePrefix="0" xfId="0">
      <alignment horizontal="right"/>
    </xf>
    <xf numFmtId="0" fontId="6" fillId="0" borderId="0" pivotButton="0" quotePrefix="0" xfId="0"/>
    <xf numFmtId="164" fontId="7" fillId="2" borderId="0" pivotButton="0" quotePrefix="0" xfId="0"/>
    <xf numFmtId="164" fontId="8" fillId="3" borderId="5" pivotButton="0" quotePrefix="0" xfId="0"/>
    <xf numFmtId="164" fontId="7" fillId="0" borderId="0" pivotButton="0" quotePrefix="0" xfId="0"/>
    <xf numFmtId="164" fontId="7" fillId="4" borderId="0" pivotButton="0" quotePrefix="0" xfId="0"/>
    <xf numFmtId="164" fontId="8" fillId="3" borderId="6" pivotButton="0" quotePrefix="0" xfId="0"/>
    <xf numFmtId="164" fontId="8" fillId="0" borderId="0" pivotButton="0" quotePrefix="0" xfId="0"/>
    <xf numFmtId="164" fontId="4" fillId="0" borderId="7" applyAlignment="1" pivotButton="0" quotePrefix="0" xfId="0">
      <alignment horizontal="left"/>
    </xf>
    <xf numFmtId="164" fontId="4" fillId="2" borderId="8" applyAlignment="1" pivotButton="0" quotePrefix="0" xfId="0">
      <alignment horizontal="right"/>
    </xf>
    <xf numFmtId="164" fontId="8" fillId="3" borderId="9" pivotButton="0" quotePrefix="0" xfId="0"/>
    <xf numFmtId="164" fontId="4" fillId="0" borderId="8" applyAlignment="1" pivotButton="0" quotePrefix="0" xfId="0">
      <alignment horizontal="right"/>
    </xf>
    <xf numFmtId="164" fontId="4" fillId="4" borderId="8" applyAlignment="1" pivotButton="0" quotePrefix="0" xfId="0">
      <alignment horizontal="right"/>
    </xf>
    <xf numFmtId="164" fontId="5" fillId="5" borderId="0" applyAlignment="1" pivotButton="0" quotePrefix="0" xfId="0">
      <alignment horizontal="left"/>
    </xf>
    <xf numFmtId="9" fontId="5" fillId="5" borderId="0" applyAlignment="1" pivotButton="0" quotePrefix="0" xfId="0">
      <alignment horizontal="right"/>
    </xf>
    <xf numFmtId="165" fontId="4" fillId="5" borderId="0" pivotButton="0" quotePrefix="0" xfId="0"/>
    <xf numFmtId="164" fontId="8" fillId="5" borderId="5" pivotButton="0" quotePrefix="0" xfId="0"/>
    <xf numFmtId="164" fontId="8" fillId="5" borderId="6" pivotButton="0" quotePrefix="0" xfId="0"/>
    <xf numFmtId="165" fontId="4" fillId="0" borderId="0" pivotButton="0" quotePrefix="0" xfId="0"/>
    <xf numFmtId="164" fontId="4" fillId="3" borderId="9" applyAlignment="1" pivotButton="0" quotePrefix="0" xfId="0">
      <alignment horizontal="right"/>
    </xf>
    <xf numFmtId="164" fontId="4" fillId="3" borderId="7" applyAlignment="1" pivotButton="0" quotePrefix="0" xfId="0">
      <alignment horizontal="right"/>
    </xf>
    <xf numFmtId="164" fontId="5" fillId="6" borderId="0" applyAlignment="1" pivotButton="0" quotePrefix="0" xfId="0">
      <alignment horizontal="left"/>
    </xf>
    <xf numFmtId="164" fontId="5" fillId="6" borderId="0" pivotButton="0" quotePrefix="0" xfId="0"/>
    <xf numFmtId="164" fontId="5" fillId="0" borderId="0" pivotButton="0" quotePrefix="0" xfId="0"/>
    <xf numFmtId="164" fontId="5" fillId="2" borderId="0" pivotButton="0" quotePrefix="0" xfId="0"/>
    <xf numFmtId="164" fontId="5" fillId="4" borderId="0" pivotButton="0" quotePrefix="0" xfId="0"/>
    <xf numFmtId="0" fontId="9" fillId="0" borderId="0" pivotButton="0" quotePrefix="0" xfId="0"/>
    <xf numFmtId="164" fontId="4" fillId="0" borderId="0" pivotButton="0" quotePrefix="0" xfId="0"/>
    <xf numFmtId="166" fontId="3" fillId="0" borderId="0" pivotButton="0" quotePrefix="0" xfId="0"/>
    <xf numFmtId="2" fontId="3" fillId="0" borderId="0" pivotButton="0" quotePrefix="0" xfId="0"/>
    <xf numFmtId="164" fontId="10" fillId="0" borderId="0" applyAlignment="1" pivotButton="0" quotePrefix="0" xfId="0">
      <alignment horizontal="left"/>
    </xf>
    <xf numFmtId="164" fontId="4" fillId="0" borderId="10" pivotButton="0" quotePrefix="0" xfId="0"/>
    <xf numFmtId="164" fontId="4" fillId="7" borderId="0" pivotButton="0" quotePrefix="0" xfId="0"/>
    <xf numFmtId="9" fontId="5" fillId="2" borderId="0" applyAlignment="1" pivotButton="0" quotePrefix="0" xfId="0">
      <alignment horizontal="right"/>
    </xf>
    <xf numFmtId="164" fontId="4" fillId="2" borderId="10" pivotButton="0" quotePrefix="0" xfId="0"/>
    <xf numFmtId="164" fontId="4" fillId="4" borderId="10" pivotButton="0" quotePrefix="0" xfId="0"/>
    <xf numFmtId="0" fontId="6" fillId="7" borderId="0" pivotButton="0" quotePrefix="0" xfId="0"/>
    <xf numFmtId="0" fontId="11" fillId="0" borderId="0" pivotButton="0" quotePrefix="0" xfId="0"/>
    <xf numFmtId="0" fontId="6" fillId="0" borderId="10" pivotButton="0" quotePrefix="0" xfId="0"/>
    <xf numFmtId="164" fontId="5" fillId="0" borderId="10" pivotButton="0" quotePrefix="0" xfId="0"/>
    <xf numFmtId="0" fontId="6" fillId="0" borderId="11" pivotButton="0" quotePrefix="0" xfId="0"/>
    <xf numFmtId="164" fontId="7" fillId="2" borderId="11" pivotButton="0" quotePrefix="0" xfId="0"/>
    <xf numFmtId="164" fontId="8" fillId="3" borderId="12" pivotButton="0" quotePrefix="0" xfId="0"/>
    <xf numFmtId="164" fontId="7" fillId="0" borderId="11" pivotButton="0" quotePrefix="0" xfId="0"/>
    <xf numFmtId="164" fontId="7" fillId="4" borderId="11" pivotButton="0" quotePrefix="0" xfId="0"/>
    <xf numFmtId="164" fontId="5" fillId="6" borderId="13" pivotButton="0" quotePrefix="0" xfId="0"/>
    <xf numFmtId="9" fontId="5" fillId="0" borderId="0" applyAlignment="1" pivotButton="0" quotePrefix="0" xfId="0">
      <alignment horizontal="right"/>
    </xf>
    <xf numFmtId="165" fontId="3" fillId="0" borderId="0" pivotButton="0" quotePrefix="0" xfId="0"/>
    <xf numFmtId="164" fontId="4" fillId="5" borderId="0" pivotButton="0" quotePrefix="0" xfId="0"/>
    <xf numFmtId="164" fontId="5" fillId="0" borderId="10" applyAlignment="1" pivotButton="0" quotePrefix="0" xfId="0">
      <alignment horizontal="left"/>
    </xf>
    <xf numFmtId="164" fontId="2" fillId="4" borderId="0" pivotButton="0" quotePrefix="0" xfId="0"/>
    <xf numFmtId="49" fontId="1" fillId="4" borderId="0" pivotButton="0" quotePrefix="0" xfId="0"/>
    <xf numFmtId="164" fontId="2" fillId="0" borderId="9" applyAlignment="1" pivotButton="0" quotePrefix="0" xfId="0">
      <alignment horizontal="center"/>
    </xf>
    <xf numFmtId="164" fontId="2" fillId="0" borderId="14" applyAlignment="1" pivotButton="0" quotePrefix="0" xfId="0">
      <alignment horizontal="center"/>
    </xf>
    <xf numFmtId="164" fontId="2" fillId="8" borderId="9" applyAlignment="1" pivotButton="0" quotePrefix="0" xfId="0">
      <alignment horizontal="center"/>
    </xf>
    <xf numFmtId="164" fontId="5" fillId="8" borderId="3" applyAlignment="1" pivotButton="0" quotePrefix="0" xfId="0">
      <alignment horizontal="center" wrapText="1"/>
    </xf>
    <xf numFmtId="164" fontId="4" fillId="8" borderId="5" pivotButton="0" quotePrefix="0" xfId="0"/>
    <xf numFmtId="164" fontId="4" fillId="8" borderId="5" applyAlignment="1" pivotButton="0" quotePrefix="0" xfId="0">
      <alignment horizontal="right"/>
    </xf>
    <xf numFmtId="164" fontId="5" fillId="8" borderId="5" applyAlignment="1" pivotButton="0" quotePrefix="0" xfId="0">
      <alignment horizontal="right"/>
    </xf>
    <xf numFmtId="164" fontId="8" fillId="8" borderId="5" pivotButton="0" quotePrefix="0" xfId="0"/>
    <xf numFmtId="164" fontId="8" fillId="8" borderId="9" pivotButton="0" quotePrefix="0" xfId="0"/>
    <xf numFmtId="9" fontId="5" fillId="8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4" fontId="5" fillId="0" borderId="7" applyAlignment="1" pivotButton="0" quotePrefix="0" xfId="0">
      <alignment horizontal="left"/>
    </xf>
    <xf numFmtId="164" fontId="5" fillId="2" borderId="8" applyAlignment="1" pivotButton="0" quotePrefix="0" xfId="0">
      <alignment horizontal="right"/>
    </xf>
    <xf numFmtId="164" fontId="5" fillId="0" borderId="8" applyAlignment="1" pivotButton="0" quotePrefix="0" xfId="0">
      <alignment horizontal="right"/>
    </xf>
    <xf numFmtId="164" fontId="5" fillId="4" borderId="8" applyAlignment="1" pivotButton="0" quotePrefix="0" xfId="0">
      <alignment horizontal="right"/>
    </xf>
    <xf numFmtId="164" fontId="8" fillId="3" borderId="15" pivotButton="0" quotePrefix="0" xfId="0"/>
    <xf numFmtId="164" fontId="5" fillId="6" borderId="5" pivotButton="0" quotePrefix="0" xfId="0"/>
    <xf numFmtId="164" fontId="5" fillId="8" borderId="5" pivotButton="0" quotePrefix="0" xfId="0"/>
    <xf numFmtId="164" fontId="7" fillId="9" borderId="0" pivotButton="0" quotePrefix="0" xfId="0"/>
    <xf numFmtId="164" fontId="8" fillId="3" borderId="16" pivotButton="0" quotePrefix="0" xfId="0"/>
    <xf numFmtId="164" fontId="2" fillId="8" borderId="0" pivotButton="0" quotePrefix="0" xfId="0"/>
    <xf numFmtId="164" fontId="4" fillId="8" borderId="0" pivotButton="0" quotePrefix="0" xfId="0"/>
    <xf numFmtId="164" fontId="5" fillId="6" borderId="7" applyAlignment="1" pivotButton="0" quotePrefix="0" xfId="0">
      <alignment horizontal="left"/>
    </xf>
    <xf numFmtId="164" fontId="5" fillId="6" borderId="8" pivotButton="0" quotePrefix="0" xfId="0"/>
    <xf numFmtId="168" fontId="12" fillId="0" borderId="0" pivotButton="0" quotePrefix="0" xfId="0"/>
    <xf numFmtId="0" fontId="13" fillId="10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/>
    </xf>
    <xf numFmtId="164" fontId="14" fillId="10" borderId="3" applyAlignment="1" pivotButton="0" quotePrefix="0" xfId="0">
      <alignment horizontal="center"/>
    </xf>
    <xf numFmtId="164" fontId="14" fillId="10" borderId="4" applyAlignment="1" pivotButton="0" quotePrefix="0" xfId="0">
      <alignment horizontal="center"/>
    </xf>
    <xf numFmtId="164" fontId="14" fillId="10" borderId="0" applyAlignment="1" pivotButton="0" quotePrefix="0" xfId="0">
      <alignment horizontal="center"/>
    </xf>
    <xf numFmtId="164" fontId="14" fillId="10" borderId="3" applyAlignment="1" pivotButton="0" quotePrefix="0" xfId="0">
      <alignment horizontal="center" wrapText="1"/>
    </xf>
    <xf numFmtId="0" fontId="14" fillId="10" borderId="0" applyAlignment="1" pivotButton="0" quotePrefix="0" xfId="0">
      <alignment horizontal="center" wrapText="1"/>
    </xf>
    <xf numFmtId="164" fontId="15" fillId="11" borderId="0" applyAlignment="1" pivotButton="0" quotePrefix="0" xfId="0">
      <alignment horizontal="right" vertical="center"/>
    </xf>
    <xf numFmtId="164" fontId="15" fillId="11" borderId="5" applyAlignment="1" pivotButton="0" quotePrefix="0" xfId="0">
      <alignment horizontal="right" vertical="center"/>
    </xf>
    <xf numFmtId="164" fontId="15" fillId="11" borderId="6" applyAlignment="1" pivotButton="0" quotePrefix="0" xfId="0">
      <alignment horizontal="right" vertical="center"/>
    </xf>
    <xf numFmtId="3" fontId="16" fillId="4" borderId="5" applyAlignment="1" pivotButton="0" quotePrefix="0" xfId="0">
      <alignment horizontal="right"/>
    </xf>
    <xf numFmtId="169" fontId="17" fillId="12" borderId="5" applyAlignment="1" pivotButton="0" quotePrefix="0" xfId="0">
      <alignment horizontal="right"/>
    </xf>
    <xf numFmtId="164" fontId="18" fillId="4" borderId="0" applyAlignment="1" pivotButton="0" quotePrefix="0" xfId="0">
      <alignment horizontal="right" vertical="center"/>
    </xf>
    <xf numFmtId="164" fontId="18" fillId="4" borderId="9" applyAlignment="1" pivotButton="0" quotePrefix="0" xfId="0">
      <alignment horizontal="right" vertical="center"/>
    </xf>
    <xf numFmtId="3" fontId="19" fillId="4" borderId="9" applyAlignment="1" pivotButton="0" quotePrefix="0" xfId="0">
      <alignment horizontal="right"/>
    </xf>
    <xf numFmtId="169" fontId="17" fillId="12" borderId="9" applyAlignment="1" pivotButton="0" quotePrefix="0" xfId="0">
      <alignment horizontal="right"/>
    </xf>
    <xf numFmtId="164" fontId="19" fillId="11" borderId="0" applyAlignment="1" pivotButton="0" quotePrefix="0" xfId="0">
      <alignment horizontal="right" vertical="center"/>
    </xf>
    <xf numFmtId="164" fontId="19" fillId="11" borderId="5" applyAlignment="1" pivotButton="0" quotePrefix="0" xfId="0">
      <alignment horizontal="right" vertical="center"/>
    </xf>
    <xf numFmtId="164" fontId="19" fillId="11" borderId="6" applyAlignment="1" pivotButton="0" quotePrefix="0" xfId="0">
      <alignment horizontal="right" vertical="center"/>
    </xf>
    <xf numFmtId="3" fontId="19" fillId="4" borderId="5" applyAlignment="1" pivotButton="0" quotePrefix="0" xfId="0">
      <alignment horizontal="right"/>
    </xf>
    <xf numFmtId="9" fontId="19" fillId="5" borderId="0" applyAlignment="1" pivotButton="0" quotePrefix="0" xfId="0">
      <alignment horizontal="right" vertical="center"/>
    </xf>
    <xf numFmtId="9" fontId="19" fillId="5" borderId="5" applyAlignment="1" pivotButton="0" quotePrefix="0" xfId="0">
      <alignment horizontal="right" vertical="center"/>
    </xf>
    <xf numFmtId="9" fontId="19" fillId="5" borderId="6" applyAlignment="1" pivotButton="0" quotePrefix="0" xfId="0">
      <alignment horizontal="right" vertical="center"/>
    </xf>
    <xf numFmtId="3" fontId="19" fillId="5" borderId="5" applyAlignment="1" pivotButton="0" quotePrefix="0" xfId="0">
      <alignment horizontal="right"/>
    </xf>
    <xf numFmtId="164" fontId="18" fillId="11" borderId="0" applyAlignment="1" pivotButton="0" quotePrefix="0" xfId="0">
      <alignment horizontal="right" vertical="center"/>
    </xf>
    <xf numFmtId="164" fontId="18" fillId="11" borderId="5" applyAlignment="1" pivotButton="0" quotePrefix="0" xfId="0">
      <alignment horizontal="right" vertical="center"/>
    </xf>
    <xf numFmtId="164" fontId="18" fillId="11" borderId="6" applyAlignment="1" pivotButton="0" quotePrefix="0" xfId="0">
      <alignment horizontal="right" vertical="center"/>
    </xf>
    <xf numFmtId="164" fontId="15" fillId="4" borderId="0" applyAlignment="1" pivotButton="0" quotePrefix="0" xfId="0">
      <alignment horizontal="right" vertical="center"/>
    </xf>
    <xf numFmtId="164" fontId="15" fillId="4" borderId="5" applyAlignment="1" pivotButton="0" quotePrefix="0" xfId="0">
      <alignment horizontal="right" vertical="center"/>
    </xf>
    <xf numFmtId="164" fontId="15" fillId="4" borderId="6" applyAlignment="1" pivotButton="0" quotePrefix="0" xfId="0">
      <alignment horizontal="right" vertical="center"/>
    </xf>
    <xf numFmtId="164" fontId="18" fillId="4" borderId="7" applyAlignment="1" pivotButton="0" quotePrefix="0" xfId="0">
      <alignment horizontal="right" vertical="center"/>
    </xf>
    <xf numFmtId="164" fontId="19" fillId="4" borderId="0" applyAlignment="1" pivotButton="0" quotePrefix="0" xfId="0">
      <alignment horizontal="right" vertical="center"/>
    </xf>
    <xf numFmtId="164" fontId="19" fillId="4" borderId="5" applyAlignment="1" pivotButton="0" quotePrefix="0" xfId="0">
      <alignment horizontal="right" vertical="center"/>
    </xf>
    <xf numFmtId="164" fontId="19" fillId="6" borderId="0" applyAlignment="1" pivotButton="0" quotePrefix="0" xfId="0">
      <alignment horizontal="right" vertical="center"/>
    </xf>
    <xf numFmtId="3" fontId="19" fillId="6" borderId="0" applyAlignment="1" pivotButton="0" quotePrefix="0" xfId="0">
      <alignment horizontal="right"/>
    </xf>
    <xf numFmtId="169" fontId="17" fillId="12" borderId="0" applyAlignment="1" pivotButton="0" quotePrefix="0" xfId="0">
      <alignment horizontal="right"/>
    </xf>
    <xf numFmtId="170" fontId="13" fillId="10" borderId="0" applyAlignment="1" pivotButton="0" quotePrefix="0" xfId="0">
      <alignment horizontal="right"/>
    </xf>
    <xf numFmtId="3" fontId="19" fillId="4" borderId="0" applyAlignment="1" pivotButton="0" quotePrefix="0" xfId="0">
      <alignment horizontal="right"/>
    </xf>
    <xf numFmtId="0" fontId="15" fillId="11" borderId="0" applyAlignment="1" pivotButton="0" quotePrefix="0" xfId="0">
      <alignment horizontal="right" vertical="center"/>
    </xf>
    <xf numFmtId="3" fontId="16" fillId="0" borderId="0" applyAlignment="1" pivotButton="0" quotePrefix="0" xfId="0">
      <alignment horizontal="right"/>
    </xf>
    <xf numFmtId="3" fontId="19" fillId="0" borderId="0" applyAlignment="1" pivotButton="0" quotePrefix="0" xfId="0">
      <alignment horizontal="right"/>
    </xf>
    <xf numFmtId="3" fontId="19" fillId="7" borderId="0" applyAlignment="1" pivotButton="0" quotePrefix="0" xfId="0">
      <alignment horizontal="right"/>
    </xf>
    <xf numFmtId="164" fontId="18" fillId="4" borderId="5" applyAlignment="1" pivotButton="0" quotePrefix="0" xfId="0">
      <alignment horizontal="right" vertical="center"/>
    </xf>
    <xf numFmtId="164" fontId="18" fillId="11" borderId="10" applyAlignment="1" pivotButton="0" quotePrefix="0" xfId="0">
      <alignment horizontal="right" vertical="center"/>
    </xf>
    <xf numFmtId="3" fontId="19" fillId="0" borderId="10" applyAlignment="1" pivotButton="0" quotePrefix="0" xfId="0">
      <alignment horizontal="right"/>
    </xf>
    <xf numFmtId="169" fontId="17" fillId="12" borderId="10" applyAlignment="1" pivotButton="0" quotePrefix="0" xfId="0">
      <alignment horizontal="right"/>
    </xf>
    <xf numFmtId="3" fontId="16" fillId="4" borderId="0" applyAlignment="1" pivotButton="0" quotePrefix="0" xfId="0">
      <alignment horizontal="right"/>
    </xf>
    <xf numFmtId="164" fontId="18" fillId="11" borderId="9" applyAlignment="1" pivotButton="0" quotePrefix="0" xfId="0">
      <alignment horizontal="right" vertical="center"/>
    </xf>
    <xf numFmtId="164" fontId="18" fillId="11" borderId="7" applyAlignment="1" pivotButton="0" quotePrefix="0" xfId="0">
      <alignment horizontal="right" vertical="center"/>
    </xf>
    <xf numFmtId="9" fontId="19" fillId="11" borderId="0" applyAlignment="1" pivotButton="0" quotePrefix="0" xfId="0">
      <alignment horizontal="right" vertical="center"/>
    </xf>
    <xf numFmtId="9" fontId="19" fillId="11" borderId="5" applyAlignment="1" pivotButton="0" quotePrefix="0" xfId="0">
      <alignment horizontal="right" vertical="center"/>
    </xf>
    <xf numFmtId="9" fontId="19" fillId="11" borderId="6" applyAlignment="1" pivotButton="0" quotePrefix="0" xfId="0">
      <alignment horizontal="right" vertical="center"/>
    </xf>
    <xf numFmtId="3" fontId="19" fillId="5" borderId="0" applyAlignment="1" pivotButton="0" quotePrefix="0" xfId="0">
      <alignment horizontal="right"/>
    </xf>
    <xf numFmtId="164" fontId="19" fillId="4" borderId="9" applyAlignment="1" pivotButton="0" quotePrefix="0" xfId="0">
      <alignment horizontal="right" vertical="center"/>
    </xf>
    <xf numFmtId="164" fontId="19" fillId="6" borderId="5" applyAlignment="1" pivotButton="0" quotePrefix="0" xfId="0">
      <alignment horizontal="right" vertical="center"/>
    </xf>
    <xf numFmtId="3" fontId="19" fillId="6" borderId="5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styles" Target="styles.xml" Id="rId45"/><Relationship Type="http://schemas.openxmlformats.org/officeDocument/2006/relationships/theme" Target="theme/theme1.xml" Id="rId4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Abacus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5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45121.08</v>
      </c>
      <c r="C8" s="35" t="n">
        <v>48317.09</v>
      </c>
      <c r="D8" s="35" t="n">
        <v>59604</v>
      </c>
      <c r="E8" s="35" t="n">
        <v>58999.57</v>
      </c>
      <c r="F8" s="35" t="n">
        <v>54973.4</v>
      </c>
      <c r="G8" s="35" t="n">
        <v>54200.75</v>
      </c>
      <c r="H8" s="35" t="n">
        <v>68470.83</v>
      </c>
      <c r="I8" s="35" t="n">
        <v>57893.73</v>
      </c>
      <c r="J8" s="35" t="n">
        <v>46302.96</v>
      </c>
      <c r="K8" s="35" t="n">
        <v>47210.81</v>
      </c>
      <c r="L8" s="35" t="n">
        <v>44551.63</v>
      </c>
      <c r="M8" s="35" t="n">
        <v>58823.32</v>
      </c>
      <c r="N8" s="36">
        <f>SUM(B8:M8)</f>
        <v/>
      </c>
      <c r="O8" s="37" t="n">
        <v>51261.86000000002</v>
      </c>
      <c r="P8" s="37" t="n">
        <v>47040.00000000002</v>
      </c>
      <c r="Q8" s="37" t="n">
        <v>62383.19999999999</v>
      </c>
      <c r="R8" s="37" t="n">
        <v>65608.48999999999</v>
      </c>
      <c r="S8" s="37" t="n">
        <v>54732.77</v>
      </c>
      <c r="T8" s="37" t="n">
        <v>63533.83999999999</v>
      </c>
      <c r="U8" s="37" t="n">
        <v>77254.31999999998</v>
      </c>
      <c r="V8" s="38" t="n">
        <v>69966.50999999999</v>
      </c>
      <c r="W8" s="38" t="n">
        <v>57880</v>
      </c>
      <c r="X8" s="38" t="n">
        <v>57383</v>
      </c>
      <c r="Y8" s="38" t="n">
        <v>63262</v>
      </c>
      <c r="Z8" s="38" t="n">
        <v>82845</v>
      </c>
      <c r="AA8" s="36">
        <f>SUM(O8:U8)</f>
        <v/>
      </c>
      <c r="AB8" s="36">
        <f>SUM(O8:Z8)</f>
        <v/>
      </c>
      <c r="AC8" s="38" t="n">
        <v>105589.88</v>
      </c>
      <c r="AD8" s="38" t="n">
        <v>122011.99</v>
      </c>
      <c r="AE8" s="38" t="n">
        <v>95286.97</v>
      </c>
      <c r="AF8" s="38" t="n">
        <v>109311.06</v>
      </c>
      <c r="AG8" s="38" t="n">
        <v>116010.76</v>
      </c>
      <c r="AH8" s="38" t="n">
        <v>110257.62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11395.45</v>
      </c>
      <c r="C9" s="35" t="n">
        <v>30240.26</v>
      </c>
      <c r="D9" s="35" t="n">
        <v>33852.92</v>
      </c>
      <c r="E9" s="35" t="n">
        <v>11973.37</v>
      </c>
      <c r="F9" s="35" t="n">
        <v>11973.37</v>
      </c>
      <c r="G9" s="35" t="n">
        <v>44731.22</v>
      </c>
      <c r="H9" s="35" t="n">
        <v>40794.17</v>
      </c>
      <c r="I9" s="35" t="n">
        <v>0</v>
      </c>
      <c r="J9" s="35" t="n">
        <v>12746.69</v>
      </c>
      <c r="K9" s="35" t="n">
        <v>34548.74</v>
      </c>
      <c r="L9" s="35" t="n">
        <v>34548.75</v>
      </c>
      <c r="M9" s="35" t="n">
        <v>37093.27</v>
      </c>
      <c r="N9" s="36">
        <f>SUM(B9:M9)</f>
        <v/>
      </c>
      <c r="O9" s="37" t="n">
        <v>16246.68</v>
      </c>
      <c r="P9" s="37" t="n">
        <v>45919.86</v>
      </c>
      <c r="Q9" s="37" t="n">
        <v>45919.86</v>
      </c>
      <c r="R9" s="37" t="n">
        <v>36357.78</v>
      </c>
      <c r="S9" s="37" t="n">
        <v>36357.78</v>
      </c>
      <c r="T9" s="37" t="n">
        <v>37136.04</v>
      </c>
      <c r="U9" s="37" t="n">
        <v>39324.86</v>
      </c>
      <c r="V9" s="38" t="n"/>
      <c r="W9" s="38" t="n">
        <v>36619</v>
      </c>
      <c r="X9" s="38" t="n">
        <v>44154</v>
      </c>
      <c r="Y9" s="38" t="n">
        <v>43245</v>
      </c>
      <c r="Z9" s="38" t="n">
        <v>20548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1000</v>
      </c>
      <c r="C10" s="35" t="n">
        <v>0</v>
      </c>
      <c r="D10" s="35" t="n">
        <v>0</v>
      </c>
      <c r="E10" s="35" t="n">
        <v>240</v>
      </c>
      <c r="F10" s="35" t="n">
        <v>150</v>
      </c>
      <c r="G10" s="35" t="n">
        <v>150</v>
      </c>
      <c r="H10" s="35" t="n">
        <v>150</v>
      </c>
      <c r="I10" s="35" t="n">
        <v>150</v>
      </c>
      <c r="J10" s="35" t="n">
        <v>150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 t="n">
        <v>650</v>
      </c>
      <c r="P10" s="37" t="n">
        <v>150</v>
      </c>
      <c r="Q10" s="37" t="n">
        <v>150</v>
      </c>
      <c r="R10" s="37" t="n">
        <v>150</v>
      </c>
      <c r="S10" s="37" t="n">
        <v>150</v>
      </c>
      <c r="T10" s="37" t="n">
        <v>150</v>
      </c>
      <c r="U10" s="37" t="n">
        <v>150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57516.53</v>
      </c>
      <c r="C11" s="42" t="n">
        <v>78557.34999999999</v>
      </c>
      <c r="D11" s="42" t="n">
        <v>93456.92</v>
      </c>
      <c r="E11" s="42" t="n">
        <v>71212.94</v>
      </c>
      <c r="F11" s="42" t="n">
        <v>67096.77</v>
      </c>
      <c r="G11" s="42" t="n">
        <v>99081.97</v>
      </c>
      <c r="H11" s="42" t="n">
        <v>109415</v>
      </c>
      <c r="I11" s="42" t="n">
        <v>58043.73</v>
      </c>
      <c r="J11" s="42" t="n">
        <v>59199.65</v>
      </c>
      <c r="K11" s="42" t="n">
        <v>81909.55</v>
      </c>
      <c r="L11" s="42" t="n">
        <v>79250.38</v>
      </c>
      <c r="M11" s="42" t="n">
        <v>96066.59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31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31316.14</v>
      </c>
      <c r="C16" s="35" t="n">
        <v>32272.71</v>
      </c>
      <c r="D16" s="35" t="n">
        <v>33507.52</v>
      </c>
      <c r="E16" s="35" t="n">
        <v>35857.02</v>
      </c>
      <c r="F16" s="35" t="n">
        <v>36300.07</v>
      </c>
      <c r="G16" s="35" t="n">
        <v>37005.6</v>
      </c>
      <c r="H16" s="35" t="n">
        <v>38811.34</v>
      </c>
      <c r="I16" s="35" t="n">
        <v>36024.66</v>
      </c>
      <c r="J16" s="35" t="n">
        <v>35973.55</v>
      </c>
      <c r="K16" s="35" t="n">
        <v>34210.75</v>
      </c>
      <c r="L16" s="35" t="n">
        <v>33941.4</v>
      </c>
      <c r="M16" s="35" t="n">
        <v>34611.41</v>
      </c>
      <c r="N16" s="36">
        <f>SUM(B16:M16)</f>
        <v/>
      </c>
      <c r="O16" s="37" t="n">
        <v>33098.55</v>
      </c>
      <c r="P16" s="37" t="n">
        <v>37530.83</v>
      </c>
      <c r="Q16" s="37" t="n">
        <v>38072.4</v>
      </c>
      <c r="R16" s="37" t="n">
        <v>42905.75</v>
      </c>
      <c r="S16" s="37" t="n">
        <v>44862.47</v>
      </c>
      <c r="T16" s="37" t="n">
        <v>42474.52</v>
      </c>
      <c r="U16" s="37" t="n">
        <v>44079.43</v>
      </c>
      <c r="V16" s="38" t="n">
        <v>44079.43</v>
      </c>
      <c r="W16" s="38" t="n">
        <v>44079.43</v>
      </c>
      <c r="X16" s="38" t="n">
        <v>44079.43</v>
      </c>
      <c r="Y16" s="38" t="n">
        <v>44079.43</v>
      </c>
      <c r="Z16" s="38" t="n">
        <v>44079.43</v>
      </c>
      <c r="AA16" s="36">
        <f>SUM(O16:U16)</f>
        <v/>
      </c>
      <c r="AB16" s="36">
        <f>SUM(O16:Z16)</f>
        <v/>
      </c>
      <c r="AC16" s="38" t="n">
        <v>44079.43</v>
      </c>
      <c r="AD16" s="38" t="n">
        <v>44079.43</v>
      </c>
      <c r="AE16" s="38" t="n">
        <v>44079.43</v>
      </c>
      <c r="AF16" s="38" t="n">
        <v>44079.43</v>
      </c>
      <c r="AG16" s="38" t="n">
        <v>44079.43</v>
      </c>
      <c r="AH16" s="38" t="n">
        <v>44079.43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2200.8</v>
      </c>
      <c r="C17" s="35" t="n">
        <v>2181.6</v>
      </c>
      <c r="D17" s="35" t="n">
        <v>2265.66</v>
      </c>
      <c r="E17" s="35" t="n">
        <v>3434.81</v>
      </c>
      <c r="F17" s="35" t="n">
        <v>3452.56</v>
      </c>
      <c r="G17" s="35" t="n">
        <v>3639.83</v>
      </c>
      <c r="H17" s="35" t="n">
        <v>4034.6</v>
      </c>
      <c r="I17" s="35" t="n">
        <v>3525.03</v>
      </c>
      <c r="J17" s="35" t="n">
        <v>3409.27</v>
      </c>
      <c r="K17" s="35" t="n">
        <v>3148</v>
      </c>
      <c r="L17" s="35" t="n">
        <v>3079.55</v>
      </c>
      <c r="M17" s="35" t="n">
        <v>3438.39</v>
      </c>
      <c r="N17" s="36">
        <f>SUM(B17:M17)</f>
        <v/>
      </c>
      <c r="O17" s="37" t="n">
        <v>3146.95</v>
      </c>
      <c r="P17" s="37" t="n">
        <v>3574.88</v>
      </c>
      <c r="Q17" s="37" t="n">
        <v>3481.84</v>
      </c>
      <c r="R17" s="37" t="n">
        <v>3882.54</v>
      </c>
      <c r="S17" s="37" t="n">
        <v>4221.13</v>
      </c>
      <c r="T17" s="37" t="n">
        <v>4123.59</v>
      </c>
      <c r="U17" s="37" t="n">
        <v>4289.92</v>
      </c>
      <c r="V17" s="38" t="n">
        <v>4289.92</v>
      </c>
      <c r="W17" s="38" t="n">
        <v>4289.92</v>
      </c>
      <c r="X17" s="38" t="n">
        <v>4289.92</v>
      </c>
      <c r="Y17" s="38" t="n">
        <v>4289.92</v>
      </c>
      <c r="Z17" s="38" t="n">
        <v>4289.92</v>
      </c>
      <c r="AA17" s="36">
        <f>SUM(O17:U17)</f>
        <v/>
      </c>
      <c r="AB17" s="36">
        <f>SUM(O17:Z17)</f>
        <v/>
      </c>
      <c r="AC17" s="38" t="n">
        <v>4289.92</v>
      </c>
      <c r="AD17" s="38" t="n">
        <v>4289.92</v>
      </c>
      <c r="AE17" s="38" t="n">
        <v>4289.92</v>
      </c>
      <c r="AF17" s="38" t="n">
        <v>4289.92</v>
      </c>
      <c r="AG17" s="38" t="n">
        <v>4289.92</v>
      </c>
      <c r="AH17" s="38" t="n">
        <v>4289.92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609.12</v>
      </c>
      <c r="C18" s="35" t="n">
        <v>604.7</v>
      </c>
      <c r="D18" s="35" t="n">
        <v>593.33</v>
      </c>
      <c r="E18" s="35" t="n">
        <v>633.2</v>
      </c>
      <c r="F18" s="35" t="n">
        <v>631.9</v>
      </c>
      <c r="G18" s="35" t="n">
        <v>716.47</v>
      </c>
      <c r="H18" s="35" t="n">
        <v>746.36</v>
      </c>
      <c r="I18" s="35" t="n">
        <v>648.61</v>
      </c>
      <c r="J18" s="35" t="n">
        <v>678.39</v>
      </c>
      <c r="K18" s="35" t="n">
        <v>624.58</v>
      </c>
      <c r="L18" s="35" t="n">
        <v>612.97</v>
      </c>
      <c r="M18" s="35" t="n">
        <v>624.6900000000001</v>
      </c>
      <c r="N18" s="36">
        <f>SUM(B18:M18)</f>
        <v/>
      </c>
      <c r="O18" s="37" t="n">
        <v>571.62</v>
      </c>
      <c r="P18" s="37" t="n">
        <v>534.23</v>
      </c>
      <c r="Q18" s="37" t="n">
        <v>534.37</v>
      </c>
      <c r="R18" s="37" t="n">
        <v>564.58</v>
      </c>
      <c r="S18" s="37" t="n">
        <v>653.95</v>
      </c>
      <c r="T18" s="37" t="n">
        <v>674.11</v>
      </c>
      <c r="U18" s="37" t="n">
        <v>706.29</v>
      </c>
      <c r="V18" s="38" t="n">
        <v>706.29</v>
      </c>
      <c r="W18" s="38" t="n">
        <v>706.29</v>
      </c>
      <c r="X18" s="38" t="n">
        <v>706.29</v>
      </c>
      <c r="Y18" s="38" t="n">
        <v>706.29</v>
      </c>
      <c r="Z18" s="38" t="n">
        <v>706.29</v>
      </c>
      <c r="AA18" s="36">
        <f>SUM(O18:U18)</f>
        <v/>
      </c>
      <c r="AB18" s="36">
        <f>SUM(O18:Z18)</f>
        <v/>
      </c>
      <c r="AC18" s="38" t="n">
        <v>706.29</v>
      </c>
      <c r="AD18" s="38" t="n">
        <v>706.29</v>
      </c>
      <c r="AE18" s="38" t="n">
        <v>706.29</v>
      </c>
      <c r="AF18" s="38" t="n">
        <v>706.29</v>
      </c>
      <c r="AG18" s="38" t="n">
        <v>706.29</v>
      </c>
      <c r="AH18" s="38" t="n">
        <v>706.29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86.04000000000001</v>
      </c>
      <c r="C19" s="35" t="n">
        <v>0</v>
      </c>
      <c r="D19" s="35" t="n">
        <v>181.94</v>
      </c>
      <c r="E19" s="35" t="n">
        <v>0</v>
      </c>
      <c r="F19" s="35" t="n">
        <v>251.04</v>
      </c>
      <c r="G19" s="35" t="n">
        <v>85.92</v>
      </c>
      <c r="H19" s="35" t="n">
        <v>0</v>
      </c>
      <c r="I19" s="35" t="n">
        <v>0</v>
      </c>
      <c r="J19" s="35" t="n">
        <v>105.66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371.7</v>
      </c>
      <c r="P19" s="37" t="n">
        <v>98.81999999999999</v>
      </c>
      <c r="Q19" s="37" t="n">
        <v>0</v>
      </c>
      <c r="R19" s="37" t="n">
        <v>203.82</v>
      </c>
      <c r="S19" s="37" t="n">
        <v>98.81999999999999</v>
      </c>
      <c r="T19" s="37" t="n">
        <v>263.64</v>
      </c>
      <c r="U19" s="37" t="n">
        <v>100.81</v>
      </c>
      <c r="V19" s="38" t="n">
        <v>173</v>
      </c>
      <c r="W19" s="38" t="n">
        <v>173</v>
      </c>
      <c r="X19" s="38" t="n">
        <v>173</v>
      </c>
      <c r="Y19" s="38" t="n">
        <v>173</v>
      </c>
      <c r="Z19" s="38" t="n">
        <v>173</v>
      </c>
      <c r="AA19" s="36">
        <f>SUM(O19:U19)</f>
        <v/>
      </c>
      <c r="AB19" s="36">
        <f>SUM(O19:Z19)</f>
        <v/>
      </c>
      <c r="AC19" s="38" t="n">
        <v>173</v>
      </c>
      <c r="AD19" s="38" t="n">
        <v>173</v>
      </c>
      <c r="AE19" s="38" t="n">
        <v>173</v>
      </c>
      <c r="AF19" s="38" t="n">
        <v>173</v>
      </c>
      <c r="AG19" s="38" t="n">
        <v>173</v>
      </c>
      <c r="AH19" s="38" t="n">
        <v>173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270</v>
      </c>
      <c r="C20" s="35" t="n">
        <v>66</v>
      </c>
      <c r="D20" s="35" t="n">
        <v>145</v>
      </c>
      <c r="E20" s="35" t="n">
        <v>29.43</v>
      </c>
      <c r="F20" s="35" t="n">
        <v>291.7</v>
      </c>
      <c r="G20" s="35" t="n">
        <v>0</v>
      </c>
      <c r="H20" s="35" t="n">
        <v>298.2</v>
      </c>
      <c r="I20" s="35" t="n">
        <v>0</v>
      </c>
      <c r="J20" s="35" t="n">
        <v>0</v>
      </c>
      <c r="K20" s="35" t="n">
        <v>123.5</v>
      </c>
      <c r="L20" s="35" t="n">
        <v>247.5</v>
      </c>
      <c r="M20" s="35" t="n">
        <v>176.67</v>
      </c>
      <c r="N20" s="36">
        <f>SUM(B20:M20)</f>
        <v/>
      </c>
      <c r="O20" s="37" t="n">
        <v>295.67</v>
      </c>
      <c r="P20" s="37" t="n">
        <v>29.94</v>
      </c>
      <c r="Q20" s="37" t="n">
        <v>177.97</v>
      </c>
      <c r="R20" s="37" t="n">
        <v>857.74</v>
      </c>
      <c r="S20" s="37" t="n">
        <v>106</v>
      </c>
      <c r="T20" s="37" t="n">
        <v>468.5</v>
      </c>
      <c r="U20" s="37" t="n">
        <v>579.1</v>
      </c>
      <c r="V20" s="38" t="n">
        <v>323</v>
      </c>
      <c r="W20" s="38" t="n">
        <v>323</v>
      </c>
      <c r="X20" s="38" t="n">
        <v>323</v>
      </c>
      <c r="Y20" s="38" t="n">
        <v>323</v>
      </c>
      <c r="Z20" s="38" t="n">
        <v>323</v>
      </c>
      <c r="AA20" s="36">
        <f>SUM(O20:U20)</f>
        <v/>
      </c>
      <c r="AB20" s="36">
        <f>SUM(O20:Z20)</f>
        <v/>
      </c>
      <c r="AC20" s="38" t="n">
        <v>323</v>
      </c>
      <c r="AD20" s="38" t="n">
        <v>323</v>
      </c>
      <c r="AE20" s="38" t="n">
        <v>323</v>
      </c>
      <c r="AF20" s="38" t="n">
        <v>323</v>
      </c>
      <c r="AG20" s="38" t="n">
        <v>323</v>
      </c>
      <c r="AH20" s="38" t="n">
        <v>323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92.7</v>
      </c>
      <c r="C21" s="35" t="n">
        <v>249.13</v>
      </c>
      <c r="D21" s="35" t="n">
        <v>279.46</v>
      </c>
      <c r="E21" s="35" t="n">
        <v>346.01</v>
      </c>
      <c r="F21" s="35" t="n">
        <v>289.41</v>
      </c>
      <c r="G21" s="35" t="n">
        <v>78.06999999999999</v>
      </c>
      <c r="H21" s="35" t="n">
        <v>604.4200000000001</v>
      </c>
      <c r="I21" s="35" t="n">
        <v>209.95</v>
      </c>
      <c r="J21" s="35" t="n">
        <v>136.72</v>
      </c>
      <c r="K21" s="35" t="n">
        <v>248.7</v>
      </c>
      <c r="L21" s="35" t="n">
        <v>246.42</v>
      </c>
      <c r="M21" s="35" t="n">
        <v>79.21000000000001</v>
      </c>
      <c r="N21" s="36">
        <f>SUM(B21:M21)</f>
        <v/>
      </c>
      <c r="O21" s="37" t="n">
        <v>150.67</v>
      </c>
      <c r="P21" s="37" t="n">
        <v>252.42</v>
      </c>
      <c r="Q21" s="37" t="n">
        <v>238.57</v>
      </c>
      <c r="R21" s="37" t="n">
        <v>211.38</v>
      </c>
      <c r="S21" s="37" t="n">
        <v>213.69</v>
      </c>
      <c r="T21" s="37" t="n">
        <v>198.14</v>
      </c>
      <c r="U21" s="37" t="n">
        <v>358.37</v>
      </c>
      <c r="V21" s="38" t="n">
        <v>211</v>
      </c>
      <c r="W21" s="38" t="n">
        <v>211</v>
      </c>
      <c r="X21" s="38" t="n">
        <v>211</v>
      </c>
      <c r="Y21" s="38" t="n">
        <v>211</v>
      </c>
      <c r="Z21" s="38" t="n">
        <v>211</v>
      </c>
      <c r="AA21" s="36">
        <f>SUM(O21:U21)</f>
        <v/>
      </c>
      <c r="AB21" s="36">
        <f>SUM(O21:Z21)</f>
        <v/>
      </c>
      <c r="AC21" s="38" t="n">
        <v>211</v>
      </c>
      <c r="AD21" s="38" t="n">
        <v>211</v>
      </c>
      <c r="AE21" s="38" t="n">
        <v>211</v>
      </c>
      <c r="AF21" s="38" t="n">
        <v>211</v>
      </c>
      <c r="AG21" s="38" t="n">
        <v>211</v>
      </c>
      <c r="AH21" s="38" t="n">
        <v>211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SUMIF('ABA TB'!$R:$R,'ABA P&amp;L'!$A22,'ABA TB'!C:C)</f>
        <v/>
      </c>
      <c r="P22" s="37">
        <f>SUMIF('ABA TB'!$R:$R,'ABA P&amp;L'!$A22,'ABA TB'!D:D)</f>
        <v/>
      </c>
      <c r="Q22" s="37">
        <f>SUMIF('ABA TB'!$R:$R,'ABA P&amp;L'!$A22,'ABA TB'!E:E)</f>
        <v/>
      </c>
      <c r="R22" s="37">
        <f>SUMIF('ABA TB'!$R:$R,'ABA P&amp;L'!$A22,'ABA TB'!F:F)</f>
        <v/>
      </c>
      <c r="S22" s="37">
        <f>SUMIF('ABA TB'!$R:$R,'ABA P&amp;L'!$A22,'ABA TB'!G:G)</f>
        <v/>
      </c>
      <c r="T22" s="37">
        <f>SUMIF('ABA TB'!$R:$R,'ABA P&amp;L'!$A22,'ABA TB'!H:H)</f>
        <v/>
      </c>
      <c r="U22" s="37">
        <f>SUMIF('ABA TB'!$R:$R,'ABA P&amp;L'!$A22,'ABA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330</v>
      </c>
      <c r="I23" s="35" t="n">
        <v>25</v>
      </c>
      <c r="J23" s="35" t="n">
        <v>0</v>
      </c>
      <c r="K23" s="35" t="n">
        <v>48.95</v>
      </c>
      <c r="L23" s="35" t="n">
        <v>21.64</v>
      </c>
      <c r="M23" s="35" t="n">
        <v>218.89</v>
      </c>
      <c r="N23" s="36">
        <f>SUM(B23:M23)</f>
        <v/>
      </c>
      <c r="O23" s="37" t="n">
        <v>106.69</v>
      </c>
      <c r="P23" s="37" t="n">
        <v>67.95999999999999</v>
      </c>
      <c r="Q23" s="37" t="n">
        <v>139.8</v>
      </c>
      <c r="R23" s="37" t="n">
        <v>111.47</v>
      </c>
      <c r="S23" s="37" t="n">
        <v>216.45</v>
      </c>
      <c r="T23" s="37" t="n">
        <v>83.25</v>
      </c>
      <c r="U23" s="37" t="n">
        <v>113.9</v>
      </c>
      <c r="V23" s="38" t="n">
        <v>121</v>
      </c>
      <c r="W23" s="38" t="n">
        <v>121</v>
      </c>
      <c r="X23" s="38" t="n">
        <v>121</v>
      </c>
      <c r="Y23" s="38" t="n">
        <v>121</v>
      </c>
      <c r="Z23" s="38" t="n">
        <v>121</v>
      </c>
      <c r="AA23" s="36">
        <f>SUM(O23:U23)</f>
        <v/>
      </c>
      <c r="AB23" s="36">
        <f>SUM(O23:Z23)</f>
        <v/>
      </c>
      <c r="AC23" s="38" t="n">
        <v>121</v>
      </c>
      <c r="AD23" s="38" t="n">
        <v>121</v>
      </c>
      <c r="AE23" s="38" t="n">
        <v>121</v>
      </c>
      <c r="AF23" s="38" t="n">
        <v>121</v>
      </c>
      <c r="AG23" s="38" t="n">
        <v>121</v>
      </c>
      <c r="AH23" s="38" t="n">
        <v>121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SUMIF('ABA TB'!$R:$R,'ABA P&amp;L'!$A24,'ABA TB'!C:C)</f>
        <v/>
      </c>
      <c r="P24" s="37">
        <f>SUMIF('ABA TB'!$R:$R,'ABA P&amp;L'!$A24,'ABA TB'!D:D)</f>
        <v/>
      </c>
      <c r="Q24" s="37">
        <f>SUMIF('ABA TB'!$R:$R,'ABA P&amp;L'!$A24,'ABA TB'!E:E)</f>
        <v/>
      </c>
      <c r="R24" s="37">
        <f>SUMIF('ABA TB'!$R:$R,'ABA P&amp;L'!$A24,'ABA TB'!F:F)</f>
        <v/>
      </c>
      <c r="S24" s="37">
        <f>SUMIF('ABA TB'!$R:$R,'ABA P&amp;L'!$A24,'ABA TB'!G:G)</f>
        <v/>
      </c>
      <c r="T24" s="37">
        <f>SUMIF('ABA TB'!$R:$R,'ABA P&amp;L'!$A24,'ABA TB'!H:H)</f>
        <v/>
      </c>
      <c r="U24" s="37">
        <f>SUMIF('ABA TB'!$R:$R,'ABA P&amp;L'!$A24,'ABA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34574.8</v>
      </c>
      <c r="C25" s="42" t="n">
        <v>35374.13999999999</v>
      </c>
      <c r="D25" s="42" t="n">
        <v>36972.91</v>
      </c>
      <c r="E25" s="42" t="n">
        <v>40300.46999999999</v>
      </c>
      <c r="F25" s="42" t="n">
        <v>41216.68</v>
      </c>
      <c r="G25" s="42" t="n">
        <v>41525.89</v>
      </c>
      <c r="H25" s="42" t="n">
        <v>44824.91999999999</v>
      </c>
      <c r="I25" s="42" t="n">
        <v>40433.25</v>
      </c>
      <c r="J25" s="42" t="n">
        <v>40303.59</v>
      </c>
      <c r="K25" s="42" t="n">
        <v>38404.48</v>
      </c>
      <c r="L25" s="42" t="n">
        <v>38149.48</v>
      </c>
      <c r="M25" s="42" t="n">
        <v>39149.26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1524.48</v>
      </c>
      <c r="C27" s="35" t="n">
        <v>2122.3</v>
      </c>
      <c r="D27" s="35" t="n">
        <v>1998.39</v>
      </c>
      <c r="E27" s="35" t="n">
        <v>1391.12</v>
      </c>
      <c r="F27" s="35" t="n">
        <v>1821.4</v>
      </c>
      <c r="G27" s="35" t="n">
        <v>1831.3</v>
      </c>
      <c r="H27" s="35" t="n">
        <v>1657.01</v>
      </c>
      <c r="I27" s="35" t="n">
        <v>1141.58</v>
      </c>
      <c r="J27" s="35" t="n">
        <v>1605.26</v>
      </c>
      <c r="K27" s="35" t="n">
        <v>1538.28</v>
      </c>
      <c r="L27" s="35" t="n">
        <v>1760.83</v>
      </c>
      <c r="M27" s="35" t="n">
        <v>1172.25</v>
      </c>
      <c r="N27" s="36">
        <f>SUM(B27:M27)</f>
        <v/>
      </c>
      <c r="O27" s="37" t="n">
        <v>1508.1</v>
      </c>
      <c r="P27" s="37" t="n">
        <v>1785.93</v>
      </c>
      <c r="Q27" s="37" t="n">
        <v>1663.75</v>
      </c>
      <c r="R27" s="37" t="n">
        <v>1925.35</v>
      </c>
      <c r="S27" s="37" t="n">
        <v>1813.7</v>
      </c>
      <c r="T27" s="37" t="n">
        <v>2243.37</v>
      </c>
      <c r="U27" s="37" t="n">
        <v>1983.4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0.0318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91.51000000000001</v>
      </c>
      <c r="C28" s="35" t="n">
        <v>452.3</v>
      </c>
      <c r="D28" s="35" t="n">
        <v>327.22</v>
      </c>
      <c r="E28" s="35" t="n">
        <v>103.6</v>
      </c>
      <c r="F28" s="35" t="n">
        <v>851.51</v>
      </c>
      <c r="G28" s="35" t="n">
        <v>37.37</v>
      </c>
      <c r="H28" s="35" t="n">
        <v>2634.18</v>
      </c>
      <c r="I28" s="35" t="n">
        <v>1272.86</v>
      </c>
      <c r="J28" s="35" t="n">
        <v>-132.59</v>
      </c>
      <c r="K28" s="35" t="n">
        <v>313.94</v>
      </c>
      <c r="L28" s="35" t="n">
        <v>334.54</v>
      </c>
      <c r="M28" s="35" t="n">
        <v>543.5300000000001</v>
      </c>
      <c r="N28" s="36">
        <f>SUM(B28:M28)</f>
        <v/>
      </c>
      <c r="O28" s="37" t="n">
        <v>100.23</v>
      </c>
      <c r="P28" s="37" t="n">
        <v>133.83</v>
      </c>
      <c r="Q28" s="37" t="n">
        <v>501.26</v>
      </c>
      <c r="R28" s="37" t="n">
        <v>235.26</v>
      </c>
      <c r="S28" s="37" t="n">
        <v>513.5799999999999</v>
      </c>
      <c r="T28" s="37" t="n">
        <v>239.97</v>
      </c>
      <c r="U28" s="37" t="n">
        <v>555.6700000000001</v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167.72</v>
      </c>
      <c r="C29" s="35" t="n">
        <v>267.24</v>
      </c>
      <c r="D29" s="35" t="n">
        <v>282.45</v>
      </c>
      <c r="E29" s="35" t="n">
        <v>372.05</v>
      </c>
      <c r="F29" s="35" t="n">
        <v>127.92</v>
      </c>
      <c r="G29" s="35" t="n">
        <v>246.37</v>
      </c>
      <c r="H29" s="35" t="n">
        <v>201.14</v>
      </c>
      <c r="I29" s="35" t="n">
        <v>0</v>
      </c>
      <c r="J29" s="35" t="n">
        <v>147.48</v>
      </c>
      <c r="K29" s="35" t="n">
        <v>112.1</v>
      </c>
      <c r="L29" s="35" t="n">
        <v>485.16</v>
      </c>
      <c r="M29" s="35" t="n">
        <v>67.34</v>
      </c>
      <c r="N29" s="36">
        <f>SUM(B29:M29)</f>
        <v/>
      </c>
      <c r="O29" s="37" t="n">
        <v>303.04</v>
      </c>
      <c r="P29" s="37" t="n">
        <v>223.68</v>
      </c>
      <c r="Q29" s="37" t="n">
        <v>252.26</v>
      </c>
      <c r="R29" s="37" t="n">
        <v>79.11</v>
      </c>
      <c r="S29" s="37" t="n">
        <v>149.63</v>
      </c>
      <c r="T29" s="37" t="n">
        <v>291.66</v>
      </c>
      <c r="U29" s="37" t="n">
        <v>81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0.004240000000000001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94.15000000000001</v>
      </c>
      <c r="C30" s="35" t="n">
        <v>42.29</v>
      </c>
      <c r="D30" s="35" t="n">
        <v>57.79</v>
      </c>
      <c r="E30" s="35" t="n">
        <v>75.59</v>
      </c>
      <c r="F30" s="35" t="n">
        <v>44.53</v>
      </c>
      <c r="G30" s="35" t="n">
        <v>83.44999999999999</v>
      </c>
      <c r="H30" s="35" t="n">
        <v>34.42</v>
      </c>
      <c r="I30" s="35" t="n">
        <v>28.37</v>
      </c>
      <c r="J30" s="35" t="n">
        <v>31.5</v>
      </c>
      <c r="K30" s="35" t="n">
        <v>12.34</v>
      </c>
      <c r="L30" s="35" t="n">
        <v>338.1</v>
      </c>
      <c r="M30" s="35" t="n">
        <v>33.94</v>
      </c>
      <c r="N30" s="36">
        <f>SUM(B30:M30)</f>
        <v/>
      </c>
      <c r="O30" s="37" t="n">
        <v>168.45</v>
      </c>
      <c r="P30" s="37" t="n">
        <v>260.32</v>
      </c>
      <c r="Q30" s="37" t="n">
        <v>107.71</v>
      </c>
      <c r="R30" s="37" t="n">
        <v>152.41</v>
      </c>
      <c r="S30" s="37" t="n">
        <v>36.04</v>
      </c>
      <c r="T30" s="37" t="n">
        <v>155.55</v>
      </c>
      <c r="U30" s="37" t="n">
        <v>55.27</v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189.9</v>
      </c>
      <c r="C31" s="35" t="n">
        <v>131.91</v>
      </c>
      <c r="D31" s="35" t="n">
        <v>63.11000000000001</v>
      </c>
      <c r="E31" s="35" t="n">
        <v>17.99</v>
      </c>
      <c r="F31" s="35" t="n">
        <v>140.72</v>
      </c>
      <c r="G31" s="35" t="n">
        <v>671.26</v>
      </c>
      <c r="H31" s="35" t="n">
        <v>453.3</v>
      </c>
      <c r="I31" s="35" t="n">
        <v>32.21</v>
      </c>
      <c r="J31" s="35" t="n">
        <v>25.47</v>
      </c>
      <c r="K31" s="35" t="n">
        <v>59.66</v>
      </c>
      <c r="L31" s="35" t="n">
        <v>94.7</v>
      </c>
      <c r="M31" s="35" t="n">
        <v>57.97</v>
      </c>
      <c r="N31" s="36">
        <f>SUM(B31:M31)</f>
        <v/>
      </c>
      <c r="O31" s="37" t="n">
        <v>275.4</v>
      </c>
      <c r="P31" s="37" t="n">
        <v>107.01</v>
      </c>
      <c r="Q31" s="37" t="n">
        <v>152.55</v>
      </c>
      <c r="R31" s="37" t="n">
        <v>51.51</v>
      </c>
      <c r="S31" s="37" t="n">
        <v>816.79</v>
      </c>
      <c r="T31" s="37" t="n">
        <v>427.2</v>
      </c>
      <c r="U31" s="37" t="n">
        <v>120.7</v>
      </c>
      <c r="V31" s="38" t="n">
        <v>100</v>
      </c>
      <c r="W31" s="38" t="n">
        <v>100</v>
      </c>
      <c r="X31" s="38" t="n">
        <v>100</v>
      </c>
      <c r="Y31" s="38" t="n">
        <v>100</v>
      </c>
      <c r="Z31" s="38" t="n">
        <v>100</v>
      </c>
      <c r="AA31" s="36">
        <f>SUM(O31:U31)</f>
        <v/>
      </c>
      <c r="AB31" s="36">
        <f>SUM(O31:Z31)</f>
        <v/>
      </c>
      <c r="AC31" s="38" t="n">
        <v>100</v>
      </c>
      <c r="AD31" s="38" t="n">
        <v>100</v>
      </c>
      <c r="AE31" s="38" t="n">
        <v>100</v>
      </c>
      <c r="AF31" s="38" t="n">
        <v>100</v>
      </c>
      <c r="AG31" s="38" t="n">
        <v>100</v>
      </c>
      <c r="AH31" s="38" t="n">
        <v>100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108.66</v>
      </c>
      <c r="C32" s="35" t="n">
        <v>143.33</v>
      </c>
      <c r="D32" s="35" t="n">
        <v>173.25</v>
      </c>
      <c r="E32" s="35" t="n">
        <v>189.42</v>
      </c>
      <c r="F32" s="35" t="n">
        <v>189.15</v>
      </c>
      <c r="G32" s="35" t="n">
        <v>733.62</v>
      </c>
      <c r="H32" s="35" t="n">
        <v>261.65</v>
      </c>
      <c r="I32" s="35" t="n">
        <v>249.18</v>
      </c>
      <c r="J32" s="35" t="n">
        <v>157.52</v>
      </c>
      <c r="K32" s="35" t="n">
        <v>314.47</v>
      </c>
      <c r="L32" s="35" t="n">
        <v>283.95</v>
      </c>
      <c r="M32" s="35" t="n">
        <v>206.52</v>
      </c>
      <c r="N32" s="36">
        <f>SUM(B32:M32)</f>
        <v/>
      </c>
      <c r="O32" s="37" t="n">
        <v>382.52</v>
      </c>
      <c r="P32" s="37" t="n">
        <v>459.73</v>
      </c>
      <c r="Q32" s="37" t="n">
        <v>663.4499999999999</v>
      </c>
      <c r="R32" s="37" t="n">
        <v>360.23</v>
      </c>
      <c r="S32" s="37" t="n">
        <v>640.16</v>
      </c>
      <c r="T32" s="37" t="n">
        <v>717.62</v>
      </c>
      <c r="U32" s="37" t="n">
        <v>558.66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0.006240000000000001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SUMIF('ABA TB'!$R:$R,'ABA P&amp;L'!$A33,'ABA TB'!C:C)</f>
        <v/>
      </c>
      <c r="P33" s="37">
        <f>SUMIF('ABA TB'!$R:$R,'ABA P&amp;L'!$A33,'ABA TB'!D:D)</f>
        <v/>
      </c>
      <c r="Q33" s="37">
        <f>SUMIF('ABA TB'!$R:$R,'ABA P&amp;L'!$A33,'ABA TB'!E:E)</f>
        <v/>
      </c>
      <c r="R33" s="37">
        <f>SUMIF('ABA TB'!$R:$R,'ABA P&amp;L'!$A33,'ABA TB'!F:F)</f>
        <v/>
      </c>
      <c r="S33" s="37">
        <f>SUMIF('ABA TB'!$R:$R,'ABA P&amp;L'!$A33,'ABA TB'!G:G)</f>
        <v/>
      </c>
      <c r="T33" s="37">
        <f>SUMIF('ABA TB'!$R:$R,'ABA P&amp;L'!$A33,'ABA TB'!H:H)</f>
        <v/>
      </c>
      <c r="U33" s="37">
        <f>SUMIF('ABA TB'!$R:$R,'ABA P&amp;L'!$A33,'ABA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2176.42</v>
      </c>
      <c r="C34" s="42" t="n">
        <v>3159.37</v>
      </c>
      <c r="D34" s="42" t="n">
        <v>2902.21</v>
      </c>
      <c r="E34" s="42" t="n">
        <v>2149.77</v>
      </c>
      <c r="F34" s="42" t="n">
        <v>3175.23</v>
      </c>
      <c r="G34" s="42" t="n">
        <v>3603.37</v>
      </c>
      <c r="H34" s="42" t="n">
        <v>5241.700000000001</v>
      </c>
      <c r="I34" s="42" t="n">
        <v>2724.2</v>
      </c>
      <c r="J34" s="42" t="n">
        <v>1834.64</v>
      </c>
      <c r="K34" s="42" t="n">
        <v>2350.79</v>
      </c>
      <c r="L34" s="42" t="n">
        <v>3297.279999999999</v>
      </c>
      <c r="M34" s="42" t="n">
        <v>2081.55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SUMIF('ABA TB'!$R:$R,'ABA P&amp;L'!$A36,'ABA TB'!C:C)</f>
        <v/>
      </c>
      <c r="P36" s="37">
        <f>SUMIF('ABA TB'!$R:$R,'ABA P&amp;L'!$A36,'ABA TB'!D:D)</f>
        <v/>
      </c>
      <c r="Q36" s="37">
        <f>SUMIF('ABA TB'!$R:$R,'ABA P&amp;L'!$A36,'ABA TB'!E:E)</f>
        <v/>
      </c>
      <c r="R36" s="37">
        <f>SUMIF('ABA TB'!$R:$R,'ABA P&amp;L'!$A36,'ABA TB'!F:F)</f>
        <v/>
      </c>
      <c r="S36" s="37">
        <f>SUMIF('ABA TB'!$R:$R,'ABA P&amp;L'!$A36,'ABA TB'!G:G)</f>
        <v/>
      </c>
      <c r="T36" s="37">
        <f>SUMIF('ABA TB'!$R:$R,'ABA P&amp;L'!$A36,'ABA TB'!H:H)</f>
        <v/>
      </c>
      <c r="U36" s="37">
        <f>SUMIF('ABA TB'!$R:$R,'ABA P&amp;L'!$A36,'ABA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1704.92</v>
      </c>
      <c r="C37" s="35" t="n">
        <v>1704.92</v>
      </c>
      <c r="D37" s="35" t="n">
        <v>1704.92</v>
      </c>
      <c r="E37" s="35" t="n">
        <v>1704.92</v>
      </c>
      <c r="F37" s="35" t="n">
        <v>1704.92</v>
      </c>
      <c r="G37" s="35" t="n">
        <v>1704.92</v>
      </c>
      <c r="H37" s="35" t="n">
        <v>1704.92</v>
      </c>
      <c r="I37" s="35" t="n">
        <v>1704.92</v>
      </c>
      <c r="J37" s="35" t="n">
        <v>1704.92</v>
      </c>
      <c r="K37" s="35" t="n">
        <v>1704.92</v>
      </c>
      <c r="L37" s="35" t="n">
        <v>1704.92</v>
      </c>
      <c r="M37" s="35" t="n">
        <v>1704.92</v>
      </c>
      <c r="N37" s="36">
        <f>SUM(B37:M37)</f>
        <v/>
      </c>
      <c r="O37" s="37" t="n">
        <v>1704.91</v>
      </c>
      <c r="P37" s="37" t="n">
        <v>1704.91</v>
      </c>
      <c r="Q37" s="37" t="n">
        <v>1704.9</v>
      </c>
      <c r="R37" s="37" t="n">
        <v>1823.25</v>
      </c>
      <c r="S37" s="37" t="n">
        <v>1823.25</v>
      </c>
      <c r="T37" s="37" t="n">
        <v>1823.25</v>
      </c>
      <c r="U37" s="37" t="n">
        <v>1823.25</v>
      </c>
      <c r="V37" s="38" t="n">
        <v>1823.25</v>
      </c>
      <c r="W37" s="38" t="n">
        <v>1823.25</v>
      </c>
      <c r="X37" s="38" t="n">
        <v>1823.25</v>
      </c>
      <c r="Y37" s="38" t="n">
        <v>1823.25</v>
      </c>
      <c r="Z37" s="38" t="n">
        <v>1823.25</v>
      </c>
      <c r="AA37" s="36">
        <f>SUM(O37:U37)</f>
        <v/>
      </c>
      <c r="AB37" s="36">
        <f>SUM(O37:Z37)</f>
        <v/>
      </c>
      <c r="AC37" s="38" t="n">
        <v>1823.25</v>
      </c>
      <c r="AD37" s="38" t="n">
        <v>1823.25</v>
      </c>
      <c r="AE37" s="38" t="n">
        <v>1823.25</v>
      </c>
      <c r="AF37" s="38" t="n">
        <v>1823.25</v>
      </c>
      <c r="AG37" s="38" t="n">
        <v>1823.25</v>
      </c>
      <c r="AH37" s="38" t="n">
        <v>1823.25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895.97</v>
      </c>
      <c r="C38" s="35" t="n">
        <v>27.47</v>
      </c>
      <c r="D38" s="35" t="n">
        <v>1315.56</v>
      </c>
      <c r="E38" s="35" t="n">
        <v>712.0700000000001</v>
      </c>
      <c r="F38" s="35" t="n">
        <v>4544.52</v>
      </c>
      <c r="G38" s="35" t="n">
        <v>684.5699999999999</v>
      </c>
      <c r="H38" s="35" t="n">
        <v>627.64</v>
      </c>
      <c r="I38" s="35" t="n">
        <v>514.1999999999999</v>
      </c>
      <c r="J38" s="35" t="n">
        <v>-607.48</v>
      </c>
      <c r="K38" s="35" t="n">
        <v>4237.07</v>
      </c>
      <c r="L38" s="35" t="n">
        <v>769.03</v>
      </c>
      <c r="M38" s="35" t="n">
        <v>2369.66</v>
      </c>
      <c r="N38" s="36">
        <f>SUM(B38:M38)</f>
        <v/>
      </c>
      <c r="O38" s="37" t="n">
        <v>899.4200000000001</v>
      </c>
      <c r="P38" s="37" t="n">
        <v>3128.63</v>
      </c>
      <c r="Q38" s="37" t="n">
        <v>1798.29</v>
      </c>
      <c r="R38" s="37" t="n">
        <v>1482.2</v>
      </c>
      <c r="S38" s="37" t="n">
        <v>906.4300000000001</v>
      </c>
      <c r="T38" s="37" t="n">
        <v>319.8099999999999</v>
      </c>
      <c r="U38" s="37" t="n">
        <v>724.03</v>
      </c>
      <c r="V38" s="38" t="n">
        <v>1429</v>
      </c>
      <c r="W38" s="38" t="n">
        <v>1429</v>
      </c>
      <c r="X38" s="38" t="n">
        <v>1429</v>
      </c>
      <c r="Y38" s="38" t="n">
        <v>1429</v>
      </c>
      <c r="Z38" s="38" t="n">
        <v>1429</v>
      </c>
      <c r="AA38" s="36">
        <f>SUM(O38:U38)</f>
        <v/>
      </c>
      <c r="AB38" s="36">
        <f>SUM(O38:Z38)</f>
        <v/>
      </c>
      <c r="AC38" s="38" t="n">
        <v>1429</v>
      </c>
      <c r="AD38" s="38" t="n">
        <v>1429</v>
      </c>
      <c r="AE38" s="38" t="n">
        <v>1429</v>
      </c>
      <c r="AF38" s="38" t="n">
        <v>1429</v>
      </c>
      <c r="AG38" s="38" t="n">
        <v>1429</v>
      </c>
      <c r="AH38" s="38" t="n">
        <v>1429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46.95</v>
      </c>
      <c r="C39" s="35" t="n">
        <v>4832.910000000001</v>
      </c>
      <c r="D39" s="35" t="n">
        <v>603.49</v>
      </c>
      <c r="E39" s="35" t="n">
        <v>179.64</v>
      </c>
      <c r="F39" s="35" t="n">
        <v>504.08</v>
      </c>
      <c r="G39" s="35" t="n">
        <v>1430</v>
      </c>
      <c r="H39" s="35" t="n">
        <v>0</v>
      </c>
      <c r="I39" s="35" t="n">
        <v>5.99</v>
      </c>
      <c r="J39" s="35" t="n">
        <v>14</v>
      </c>
      <c r="K39" s="35" t="n">
        <v>0</v>
      </c>
      <c r="L39" s="35" t="n">
        <v>55.29</v>
      </c>
      <c r="M39" s="35" t="n">
        <v>225.21</v>
      </c>
      <c r="N39" s="36">
        <f>SUM(B39:M39)</f>
        <v/>
      </c>
      <c r="O39" s="37" t="n">
        <v>0</v>
      </c>
      <c r="P39" s="37" t="n">
        <v>57.06</v>
      </c>
      <c r="Q39" s="37" t="n">
        <v>9.140000000000001</v>
      </c>
      <c r="R39" s="37" t="n">
        <v>10.19</v>
      </c>
      <c r="S39" s="37" t="n">
        <v>141.97</v>
      </c>
      <c r="T39" s="37" t="n">
        <v>150.64</v>
      </c>
      <c r="U39" s="37" t="n">
        <v>415.34</v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1610.41</v>
      </c>
      <c r="C40" s="35" t="n">
        <v>1341.28</v>
      </c>
      <c r="D40" s="35" t="n">
        <v>618.85</v>
      </c>
      <c r="E40" s="35" t="n">
        <v>1357.49</v>
      </c>
      <c r="F40" s="35" t="n">
        <v>1371.67</v>
      </c>
      <c r="G40" s="35" t="n">
        <v>703.42</v>
      </c>
      <c r="H40" s="35" t="n">
        <v>477.23</v>
      </c>
      <c r="I40" s="35" t="n">
        <v>1549.67</v>
      </c>
      <c r="J40" s="35" t="n">
        <v>1414.78</v>
      </c>
      <c r="K40" s="35" t="n">
        <v>1644.37</v>
      </c>
      <c r="L40" s="35" t="n">
        <v>1432.79</v>
      </c>
      <c r="M40" s="35" t="n">
        <v>1367.21</v>
      </c>
      <c r="N40" s="36">
        <f>SUM(B40:M40)</f>
        <v/>
      </c>
      <c r="O40" s="37" t="n">
        <v>1432.83</v>
      </c>
      <c r="P40" s="37" t="n">
        <v>1526.79</v>
      </c>
      <c r="Q40" s="37" t="n">
        <v>1392.29</v>
      </c>
      <c r="R40" s="37" t="n">
        <v>1387.82</v>
      </c>
      <c r="S40" s="37" t="n">
        <v>235.62</v>
      </c>
      <c r="T40" s="37" t="n">
        <v>321.0700000000001</v>
      </c>
      <c r="U40" s="37" t="n">
        <v>332.24</v>
      </c>
      <c r="V40" s="38" t="n">
        <v>400</v>
      </c>
      <c r="W40" s="38" t="n">
        <v>400</v>
      </c>
      <c r="X40" s="38" t="n">
        <v>400</v>
      </c>
      <c r="Y40" s="38" t="n">
        <v>400</v>
      </c>
      <c r="Z40" s="38" t="n">
        <v>400</v>
      </c>
      <c r="AA40" s="36">
        <f>SUM(O40:U40)</f>
        <v/>
      </c>
      <c r="AB40" s="36">
        <f>SUM(O40:Z40)</f>
        <v/>
      </c>
      <c r="AC40" s="38" t="n">
        <v>400</v>
      </c>
      <c r="AD40" s="38" t="n">
        <v>400</v>
      </c>
      <c r="AE40" s="38" t="n">
        <v>400</v>
      </c>
      <c r="AF40" s="38" t="n">
        <v>400</v>
      </c>
      <c r="AG40" s="38" t="n">
        <v>400</v>
      </c>
      <c r="AH40" s="38" t="n">
        <v>400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384.51</v>
      </c>
      <c r="C41" s="35" t="n">
        <v>339.51</v>
      </c>
      <c r="D41" s="35" t="n">
        <v>605.71</v>
      </c>
      <c r="E41" s="35" t="n">
        <v>354.44</v>
      </c>
      <c r="F41" s="35" t="n">
        <v>460.6900000000001</v>
      </c>
      <c r="G41" s="35" t="n">
        <v>328.31</v>
      </c>
      <c r="H41" s="35" t="n">
        <v>432.13</v>
      </c>
      <c r="I41" s="35" t="n">
        <v>328.31</v>
      </c>
      <c r="J41" s="35" t="n">
        <v>474.42</v>
      </c>
      <c r="K41" s="35" t="n">
        <v>328.32</v>
      </c>
      <c r="L41" s="35" t="n">
        <v>445.29</v>
      </c>
      <c r="M41" s="35" t="n">
        <v>381.72</v>
      </c>
      <c r="N41" s="36">
        <f>SUM(B41:M41)</f>
        <v/>
      </c>
      <c r="O41" s="37" t="n">
        <v>335.82</v>
      </c>
      <c r="P41" s="37" t="n">
        <v>454.31</v>
      </c>
      <c r="Q41" s="37" t="n">
        <v>484.3</v>
      </c>
      <c r="R41" s="37" t="n">
        <v>586.95</v>
      </c>
      <c r="S41" s="37" t="n">
        <v>531.72</v>
      </c>
      <c r="T41" s="37" t="n">
        <v>247.26</v>
      </c>
      <c r="U41" s="37" t="n">
        <v>599.6500000000001</v>
      </c>
      <c r="V41" s="38" t="n">
        <v>400</v>
      </c>
      <c r="W41" s="38" t="n">
        <v>400</v>
      </c>
      <c r="X41" s="38" t="n">
        <v>400</v>
      </c>
      <c r="Y41" s="38" t="n">
        <v>400</v>
      </c>
      <c r="Z41" s="38" t="n">
        <v>400</v>
      </c>
      <c r="AA41" s="36">
        <f>SUM(O41:U41)</f>
        <v/>
      </c>
      <c r="AB41" s="36">
        <f>SUM(O41:Z41)</f>
        <v/>
      </c>
      <c r="AC41" s="38" t="n">
        <v>400</v>
      </c>
      <c r="AD41" s="38" t="n">
        <v>400</v>
      </c>
      <c r="AE41" s="38" t="n">
        <v>400</v>
      </c>
      <c r="AF41" s="38" t="n">
        <v>400</v>
      </c>
      <c r="AG41" s="38" t="n">
        <v>400</v>
      </c>
      <c r="AH41" s="38" t="n">
        <v>400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137.34</v>
      </c>
      <c r="C42" s="35" t="n">
        <v>73.97</v>
      </c>
      <c r="D42" s="35" t="n">
        <v>80.18000000000001</v>
      </c>
      <c r="E42" s="35" t="n">
        <v>84.22999999999999</v>
      </c>
      <c r="F42" s="35" t="n">
        <v>71.16</v>
      </c>
      <c r="G42" s="35" t="n">
        <v>66.28</v>
      </c>
      <c r="H42" s="35" t="n">
        <v>105.45</v>
      </c>
      <c r="I42" s="35" t="n">
        <v>71.08</v>
      </c>
      <c r="J42" s="35" t="n">
        <v>92.42</v>
      </c>
      <c r="K42" s="35" t="n">
        <v>81.83</v>
      </c>
      <c r="L42" s="35" t="n">
        <v>67.48999999999999</v>
      </c>
      <c r="M42" s="35" t="n">
        <v>78.18000000000001</v>
      </c>
      <c r="N42" s="36">
        <f>SUM(B42:M42)</f>
        <v/>
      </c>
      <c r="O42" s="37" t="n">
        <v>56.7</v>
      </c>
      <c r="P42" s="37" t="n">
        <v>92.7</v>
      </c>
      <c r="Q42" s="37" t="n">
        <v>63.53</v>
      </c>
      <c r="R42" s="37" t="n">
        <v>87.16</v>
      </c>
      <c r="S42" s="37" t="n">
        <v>87.41</v>
      </c>
      <c r="T42" s="37" t="n">
        <v>180.51</v>
      </c>
      <c r="U42" s="37" t="n">
        <v>100.82</v>
      </c>
      <c r="V42" s="38" t="n">
        <v>106</v>
      </c>
      <c r="W42" s="38" t="n">
        <v>106</v>
      </c>
      <c r="X42" s="38" t="n">
        <v>106</v>
      </c>
      <c r="Y42" s="38" t="n">
        <v>106</v>
      </c>
      <c r="Z42" s="38" t="n">
        <v>106</v>
      </c>
      <c r="AA42" s="36">
        <f>SUM(O42:U42)</f>
        <v/>
      </c>
      <c r="AB42" s="36">
        <f>SUM(O42:Z42)</f>
        <v/>
      </c>
      <c r="AC42" s="38" t="n">
        <v>106</v>
      </c>
      <c r="AD42" s="38" t="n">
        <v>106</v>
      </c>
      <c r="AE42" s="38" t="n">
        <v>106</v>
      </c>
      <c r="AF42" s="38" t="n">
        <v>106</v>
      </c>
      <c r="AG42" s="38" t="n">
        <v>106</v>
      </c>
      <c r="AH42" s="38" t="n">
        <v>106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0</v>
      </c>
      <c r="Q43" s="37" t="n">
        <v>390</v>
      </c>
      <c r="R43" s="37" t="n">
        <v>0</v>
      </c>
      <c r="S43" s="37" t="n">
        <v>0</v>
      </c>
      <c r="T43" s="37" t="n">
        <v>0</v>
      </c>
      <c r="U43" s="37" t="n">
        <v>0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SUMIF('ABA TB'!$R:$R,'ABA P&amp;L'!$A44,'ABA TB'!C:C)</f>
        <v/>
      </c>
      <c r="P44" s="37">
        <f>SUMIF('ABA TB'!$R:$R,'ABA P&amp;L'!$A44,'ABA TB'!D:D)</f>
        <v/>
      </c>
      <c r="Q44" s="37">
        <f>SUMIF('ABA TB'!$R:$R,'ABA P&amp;L'!$A44,'ABA TB'!E:E)</f>
        <v/>
      </c>
      <c r="R44" s="37">
        <f>SUMIF('ABA TB'!$R:$R,'ABA P&amp;L'!$A44,'ABA TB'!F:F)</f>
        <v/>
      </c>
      <c r="S44" s="37">
        <f>SUMIF('ABA TB'!$R:$R,'ABA P&amp;L'!$A44,'ABA TB'!G:G)</f>
        <v/>
      </c>
      <c r="T44" s="37">
        <f>SUMIF('ABA TB'!$R:$R,'ABA P&amp;L'!$A44,'ABA TB'!H:H)</f>
        <v/>
      </c>
      <c r="U44" s="37">
        <f>SUMIF('ABA TB'!$R:$R,'ABA P&amp;L'!$A44,'ABA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588.8100000000001</v>
      </c>
      <c r="E45" s="35" t="n">
        <v>0</v>
      </c>
      <c r="F45" s="35" t="n">
        <v>0</v>
      </c>
      <c r="G45" s="35" t="n">
        <v>45</v>
      </c>
      <c r="H45" s="35" t="n">
        <v>0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135</v>
      </c>
      <c r="P45" s="37" t="n">
        <v>0</v>
      </c>
      <c r="Q45" s="37" t="n">
        <v>0</v>
      </c>
      <c r="R45" s="37" t="n">
        <v>147</v>
      </c>
      <c r="S45" s="37" t="n">
        <v>6.99</v>
      </c>
      <c r="T45" s="37" t="n">
        <v>220</v>
      </c>
      <c r="U45" s="37" t="n">
        <v>0</v>
      </c>
      <c r="V45" s="38" t="n">
        <v>106</v>
      </c>
      <c r="W45" s="38" t="n">
        <v>106</v>
      </c>
      <c r="X45" s="38" t="n">
        <v>106</v>
      </c>
      <c r="Y45" s="38" t="n">
        <v>106</v>
      </c>
      <c r="Z45" s="38" t="n">
        <v>106</v>
      </c>
      <c r="AA45" s="36">
        <f>SUM(O45:U45)</f>
        <v/>
      </c>
      <c r="AB45" s="36">
        <f>SUM(O45:Z45)</f>
        <v/>
      </c>
      <c r="AC45" s="38" t="n">
        <v>106</v>
      </c>
      <c r="AD45" s="38" t="n">
        <v>106</v>
      </c>
      <c r="AE45" s="38" t="n">
        <v>106</v>
      </c>
      <c r="AF45" s="38" t="n">
        <v>106</v>
      </c>
      <c r="AG45" s="38" t="n">
        <v>106</v>
      </c>
      <c r="AH45" s="38" t="n">
        <v>106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SUMIF('ABA TB'!$R:$R,'ABA P&amp;L'!$A46,'ABA TB'!C:C)</f>
        <v/>
      </c>
      <c r="P46" s="37">
        <f>SUMIF('ABA TB'!$R:$R,'ABA P&amp;L'!$A46,'ABA TB'!D:D)</f>
        <v/>
      </c>
      <c r="Q46" s="37">
        <f>SUMIF('ABA TB'!$R:$R,'ABA P&amp;L'!$A46,'ABA TB'!E:E)</f>
        <v/>
      </c>
      <c r="R46" s="37">
        <f>SUMIF('ABA TB'!$R:$R,'ABA P&amp;L'!$A46,'ABA TB'!F:F)</f>
        <v/>
      </c>
      <c r="S46" s="37">
        <f>SUMIF('ABA TB'!$R:$R,'ABA P&amp;L'!$A46,'ABA TB'!G:G)</f>
        <v/>
      </c>
      <c r="T46" s="37">
        <f>SUMIF('ABA TB'!$R:$R,'ABA P&amp;L'!$A46,'ABA TB'!H:H)</f>
        <v/>
      </c>
      <c r="U46" s="37">
        <f>SUMIF('ABA TB'!$R:$R,'ABA P&amp;L'!$A46,'ABA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4780.1</v>
      </c>
      <c r="C47" s="42" t="n">
        <v>8320.059999999999</v>
      </c>
      <c r="D47" s="42" t="n">
        <v>5517.520000000001</v>
      </c>
      <c r="E47" s="42" t="n">
        <v>4392.789999999999</v>
      </c>
      <c r="F47" s="42" t="n">
        <v>8657.039999999999</v>
      </c>
      <c r="G47" s="42" t="n">
        <v>4962.5</v>
      </c>
      <c r="H47" s="42" t="n">
        <v>3347.37</v>
      </c>
      <c r="I47" s="42" t="n">
        <v>4219.17</v>
      </c>
      <c r="J47" s="42" t="n">
        <v>3093.06</v>
      </c>
      <c r="K47" s="42" t="n">
        <v>7996.509999999999</v>
      </c>
      <c r="L47" s="42" t="n">
        <v>4474.809999999999</v>
      </c>
      <c r="M47" s="42" t="n">
        <v>6126.900000000001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8" t="inlineStr">
        <is>
          <t>Total Direct Costs</t>
        </is>
      </c>
      <c r="B48" s="29" t="n">
        <v>41531.32</v>
      </c>
      <c r="C48" s="29" t="n">
        <v>46853.56999999999</v>
      </c>
      <c r="D48" s="29" t="n">
        <v>45392.64</v>
      </c>
      <c r="E48" s="29" t="n">
        <v>46843.02999999999</v>
      </c>
      <c r="F48" s="29" t="n">
        <v>53048.95</v>
      </c>
      <c r="G48" s="29" t="n">
        <v>50091.76</v>
      </c>
      <c r="H48" s="29" t="n">
        <v>53413.99</v>
      </c>
      <c r="I48" s="29" t="n">
        <v>47376.62</v>
      </c>
      <c r="J48" s="29" t="n">
        <v>45231.29</v>
      </c>
      <c r="K48" s="29" t="n">
        <v>48751.78</v>
      </c>
      <c r="L48" s="29" t="n">
        <v>45921.57</v>
      </c>
      <c r="M48" s="29" t="n">
        <v>47357.71000000001</v>
      </c>
      <c r="N48" s="36">
        <f>SUM(B48:M48)</f>
        <v/>
      </c>
      <c r="O48" s="31">
        <f t="array" ref="O48">O25+O34+_xlfn.ANCHORARRAY(O47)</f>
        <v/>
      </c>
      <c r="P48" s="31">
        <f t="array" ref="P48">P25+P34+_xlfn.ANCHORARRAY(P47)</f>
        <v/>
      </c>
      <c r="Q48" s="31">
        <f t="array" ref="Q48">Q25+Q34+_xlfn.ANCHORARRAY(Q47)</f>
        <v/>
      </c>
      <c r="R48" s="31">
        <f t="array" ref="R48">R25+R34+_xlfn.ANCHORARRAY(R47)</f>
        <v/>
      </c>
      <c r="S48" s="31">
        <f t="array" ref="S48">S25+S34+_xlfn.ANCHORARRAY(S47)</f>
        <v/>
      </c>
      <c r="T48" s="31">
        <f t="array" ref="T48">T25+T34+_xlfn.ANCHORARRAY(T47)</f>
        <v/>
      </c>
      <c r="U48" s="31">
        <f t="array" ref="U48">U25+U34+_xlfn.ANCHORARRAY(U47)</f>
        <v/>
      </c>
      <c r="V48" s="32">
        <f>V25+V34+V47</f>
        <v/>
      </c>
      <c r="W48" s="32">
        <f>W25+W34+W47</f>
        <v/>
      </c>
      <c r="X48" s="32">
        <f>X25+X34+X47</f>
        <v/>
      </c>
      <c r="Y48" s="32">
        <f>Y25+Y34+Y47</f>
        <v/>
      </c>
      <c r="Z48" s="32">
        <f>Z25+Z34+Z47</f>
        <v/>
      </c>
      <c r="AA48" s="36">
        <f>AA25+AA34+AA47</f>
        <v/>
      </c>
      <c r="AB48" s="36">
        <f>AB25+AB34+AB47</f>
        <v/>
      </c>
      <c r="AC48" s="32">
        <f>AC25+AC34+AC47</f>
        <v/>
      </c>
      <c r="AD48" s="32">
        <f>AD25+AD34+AD47</f>
        <v/>
      </c>
      <c r="AE48" s="32">
        <f>AE25+AE34+AE47</f>
        <v/>
      </c>
      <c r="AF48" s="32">
        <f>AF25+AF34+AF47</f>
        <v/>
      </c>
      <c r="AG48" s="32">
        <f>AG25+AG34+AG47</f>
        <v/>
      </c>
      <c r="AH48" s="32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15985.21</v>
      </c>
      <c r="C50" s="55" t="n">
        <v>31703.78</v>
      </c>
      <c r="D50" s="55" t="n">
        <v>48064.28</v>
      </c>
      <c r="E50" s="55" t="n">
        <v>24369.91000000001</v>
      </c>
      <c r="F50" s="55" t="n">
        <v>14047.82</v>
      </c>
      <c r="G50" s="55" t="n">
        <v>48990.21</v>
      </c>
      <c r="H50" s="55" t="n">
        <v>56001.01</v>
      </c>
      <c r="I50" s="55" t="n">
        <v>10667.11</v>
      </c>
      <c r="J50" s="55" t="n">
        <v>13968.36</v>
      </c>
      <c r="K50" s="55" t="n">
        <v>33157.77</v>
      </c>
      <c r="L50" s="55" t="n">
        <v>33328.81</v>
      </c>
      <c r="M50" s="55" t="n">
        <v>48708.87999999999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SUM(O50:Z50)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SUMIF('ABA TB'!$R:$R,'ABA P&amp;L'!$A53,'ABA TB'!C:C)</f>
        <v/>
      </c>
      <c r="P53" s="37">
        <f>SUMIF('ABA TB'!$R:$R,'ABA P&amp;L'!$A53,'ABA TB'!D:D)</f>
        <v/>
      </c>
      <c r="Q53" s="37">
        <f>SUMIF('ABA TB'!$R:$R,'ABA P&amp;L'!$A53,'ABA TB'!E:E)</f>
        <v/>
      </c>
      <c r="R53" s="37">
        <f>SUMIF('ABA TB'!$R:$R,'ABA P&amp;L'!$A53,'ABA TB'!F:F)</f>
        <v/>
      </c>
      <c r="S53" s="37">
        <f>SUMIF('ABA TB'!$R:$R,'ABA P&amp;L'!$A53,'ABA TB'!G:G)</f>
        <v/>
      </c>
      <c r="T53" s="37">
        <f>SUMIF('ABA TB'!$R:$R,'ABA P&amp;L'!$A53,'ABA TB'!H:H)</f>
        <v/>
      </c>
      <c r="U53" s="37">
        <f>SUMIF('ABA TB'!$R:$R,'ABA P&amp;L'!$A53,'ABA TB'!I:I)</f>
        <v/>
      </c>
      <c r="V53" s="38" t="n">
        <v>0</v>
      </c>
      <c r="W53" s="38" t="n">
        <v>0</v>
      </c>
      <c r="X53" s="38" t="n">
        <v>0</v>
      </c>
      <c r="Y53" s="38" t="n">
        <v>0</v>
      </c>
      <c r="Z53" s="38" t="n">
        <v>0</v>
      </c>
      <c r="AA53" s="36">
        <f>SUM(O53:U53)</f>
        <v/>
      </c>
      <c r="AB53" s="36">
        <f>SUM(O53:Z53)</f>
        <v/>
      </c>
      <c r="AC53" s="38" t="n">
        <v>0</v>
      </c>
      <c r="AD53" s="38" t="n">
        <v>0</v>
      </c>
      <c r="AE53" s="38" t="n">
        <v>0</v>
      </c>
      <c r="AF53" s="38" t="n">
        <v>0</v>
      </c>
      <c r="AG53" s="38" t="n">
        <v>0</v>
      </c>
      <c r="AH53" s="38" t="n">
        <v>0</v>
      </c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SUMIF('ABA TB'!$R:$R,'ABA P&amp;L'!$A54,'ABA TB'!C:C)</f>
        <v/>
      </c>
      <c r="P54" s="37">
        <f>SUMIF('ABA TB'!$R:$R,'ABA P&amp;L'!$A54,'ABA TB'!D:D)</f>
        <v/>
      </c>
      <c r="Q54" s="37">
        <f>SUMIF('ABA TB'!$R:$R,'ABA P&amp;L'!$A54,'ABA TB'!E:E)</f>
        <v/>
      </c>
      <c r="R54" s="37">
        <f>SUMIF('ABA TB'!$R:$R,'ABA P&amp;L'!$A54,'ABA TB'!F:F)</f>
        <v/>
      </c>
      <c r="S54" s="37">
        <f>SUMIF('ABA TB'!$R:$R,'ABA P&amp;L'!$A54,'ABA TB'!G:G)</f>
        <v/>
      </c>
      <c r="T54" s="37">
        <f>SUMIF('ABA TB'!$R:$R,'ABA P&amp;L'!$A54,'ABA TB'!H:H)</f>
        <v/>
      </c>
      <c r="U54" s="37">
        <f>SUMIF('ABA TB'!$R:$R,'ABA P&amp;L'!$A54,'ABA TB'!I:I)</f>
        <v/>
      </c>
      <c r="V54" s="38" t="n">
        <v>0</v>
      </c>
      <c r="W54" s="38" t="n">
        <v>0</v>
      </c>
      <c r="X54" s="38" t="n">
        <v>0</v>
      </c>
      <c r="Y54" s="38" t="n">
        <v>0</v>
      </c>
      <c r="Z54" s="38" t="n">
        <v>0</v>
      </c>
      <c r="AA54" s="36">
        <f>SUM(O54:U54)</f>
        <v/>
      </c>
      <c r="AB54" s="36">
        <f>SUM(O54:Z54)</f>
        <v/>
      </c>
      <c r="AC54" s="38" t="n">
        <v>0</v>
      </c>
      <c r="AD54" s="38" t="n">
        <v>0</v>
      </c>
      <c r="AE54" s="38" t="n">
        <v>0</v>
      </c>
      <c r="AF54" s="38" t="n">
        <v>0</v>
      </c>
      <c r="AG54" s="38" t="n">
        <v>0</v>
      </c>
      <c r="AH54" s="38" t="n">
        <v>0</v>
      </c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SUMIF('ABA TB'!$R:$R,'ABA P&amp;L'!$A55,'ABA TB'!C:C)</f>
        <v/>
      </c>
      <c r="P55" s="37">
        <f>SUMIF('ABA TB'!$R:$R,'ABA P&amp;L'!$A55,'ABA TB'!D:D)</f>
        <v/>
      </c>
      <c r="Q55" s="37">
        <f>SUMIF('ABA TB'!$R:$R,'ABA P&amp;L'!$A55,'ABA TB'!E:E)</f>
        <v/>
      </c>
      <c r="R55" s="37">
        <f>SUMIF('ABA TB'!$R:$R,'ABA P&amp;L'!$A55,'ABA TB'!F:F)</f>
        <v/>
      </c>
      <c r="S55" s="37">
        <f>SUMIF('ABA TB'!$R:$R,'ABA P&amp;L'!$A55,'ABA TB'!G:G)</f>
        <v/>
      </c>
      <c r="T55" s="37">
        <f>SUMIF('ABA TB'!$R:$R,'ABA P&amp;L'!$A55,'ABA TB'!H:H)</f>
        <v/>
      </c>
      <c r="U55" s="37">
        <f>SUMIF('ABA TB'!$R:$R,'ABA P&amp;L'!$A55,'ABA TB'!I:I)</f>
        <v/>
      </c>
      <c r="V55" s="38" t="n">
        <v>0</v>
      </c>
      <c r="W55" s="38" t="n">
        <v>0</v>
      </c>
      <c r="X55" s="38" t="n">
        <v>0</v>
      </c>
      <c r="Y55" s="38" t="n">
        <v>0</v>
      </c>
      <c r="Z55" s="38" t="n">
        <v>0</v>
      </c>
      <c r="AA55" s="36">
        <f>SUM(O55:U55)</f>
        <v/>
      </c>
      <c r="AB55" s="36">
        <f>SUM(O55:Z55)</f>
        <v/>
      </c>
      <c r="AC55" s="38" t="n">
        <v>0</v>
      </c>
      <c r="AD55" s="38" t="n">
        <v>0</v>
      </c>
      <c r="AE55" s="38" t="n">
        <v>0</v>
      </c>
      <c r="AF55" s="38" t="n">
        <v>0</v>
      </c>
      <c r="AG55" s="38" t="n">
        <v>0</v>
      </c>
      <c r="AH55" s="38" t="n">
        <v>0</v>
      </c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SUMIF('ABA TB'!$R:$R,'ABA P&amp;L'!$A56,'ABA TB'!C:C)</f>
        <v/>
      </c>
      <c r="P56" s="37">
        <f>SUMIF('ABA TB'!$R:$R,'ABA P&amp;L'!$A56,'ABA TB'!D:D)</f>
        <v/>
      </c>
      <c r="Q56" s="37">
        <f>SUMIF('ABA TB'!$R:$R,'ABA P&amp;L'!$A56,'ABA TB'!E:E)</f>
        <v/>
      </c>
      <c r="R56" s="37">
        <f>SUMIF('ABA TB'!$R:$R,'ABA P&amp;L'!$A56,'ABA TB'!F:F)</f>
        <v/>
      </c>
      <c r="S56" s="37">
        <f>SUMIF('ABA TB'!$R:$R,'ABA P&amp;L'!$A56,'ABA TB'!G:G)</f>
        <v/>
      </c>
      <c r="T56" s="37">
        <f>SUMIF('ABA TB'!$R:$R,'ABA P&amp;L'!$A56,'ABA TB'!H:H)</f>
        <v/>
      </c>
      <c r="U56" s="37">
        <f>SUMIF('ABA TB'!$R:$R,'ABA P&amp;L'!$A56,'ABA TB'!I:I)</f>
        <v/>
      </c>
      <c r="V56" s="38" t="n">
        <v>0</v>
      </c>
      <c r="W56" s="38" t="n">
        <v>0</v>
      </c>
      <c r="X56" s="38" t="n">
        <v>0</v>
      </c>
      <c r="Y56" s="38" t="n">
        <v>0</v>
      </c>
      <c r="Z56" s="38" t="n">
        <v>0</v>
      </c>
      <c r="AA56" s="36">
        <f>SUM(O56:U56)</f>
        <v/>
      </c>
      <c r="AB56" s="36">
        <f>SUM(O56:Z56)</f>
        <v/>
      </c>
      <c r="AC56" s="38" t="n">
        <v>0</v>
      </c>
      <c r="AD56" s="38" t="n">
        <v>0</v>
      </c>
      <c r="AE56" s="38" t="n">
        <v>0</v>
      </c>
      <c r="AF56" s="38" t="n">
        <v>0</v>
      </c>
      <c r="AG56" s="38" t="n">
        <v>0</v>
      </c>
      <c r="AH56" s="38" t="n">
        <v>0</v>
      </c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80</v>
      </c>
      <c r="M57" s="35" t="n">
        <v>321.43</v>
      </c>
      <c r="N57" s="36">
        <f>SUM(B57:M57)</f>
        <v/>
      </c>
      <c r="O57" s="37">
        <f>SUMIF('ABA TB'!$R:$R,'ABA P&amp;L'!$A57,'ABA TB'!C:C)</f>
        <v/>
      </c>
      <c r="P57" s="37">
        <f>SUMIF('ABA TB'!$R:$R,'ABA P&amp;L'!$A57,'ABA TB'!D:D)</f>
        <v/>
      </c>
      <c r="Q57" s="37">
        <f>SUMIF('ABA TB'!$R:$R,'ABA P&amp;L'!$A57,'ABA TB'!E:E)</f>
        <v/>
      </c>
      <c r="R57" s="37">
        <f>SUMIF('ABA TB'!$R:$R,'ABA P&amp;L'!$A57,'ABA TB'!F:F)</f>
        <v/>
      </c>
      <c r="S57" s="37">
        <f>SUMIF('ABA TB'!$R:$R,'ABA P&amp;L'!$A57,'ABA TB'!G:G)</f>
        <v/>
      </c>
      <c r="T57" s="37">
        <f>SUMIF('ABA TB'!$R:$R,'ABA P&amp;L'!$A57,'ABA TB'!H:H)</f>
        <v/>
      </c>
      <c r="U57" s="37">
        <f>SUMIF('ABA TB'!$R:$R,'ABA P&amp;L'!$A57,'ABA TB'!I:I)</f>
        <v/>
      </c>
      <c r="V57" s="38" t="n">
        <v>0</v>
      </c>
      <c r="W57" s="38" t="n">
        <v>0</v>
      </c>
      <c r="X57" s="38" t="n">
        <v>0</v>
      </c>
      <c r="Y57" s="38" t="n">
        <v>0</v>
      </c>
      <c r="Z57" s="38">
        <f>19*30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SUMIF('ABA TB'!$R:$R,'ABA P&amp;L'!$A58,'ABA TB'!C:C)</f>
        <v/>
      </c>
      <c r="P58" s="37">
        <f>SUMIF('ABA TB'!$R:$R,'ABA P&amp;L'!$A58,'ABA TB'!D:D)</f>
        <v/>
      </c>
      <c r="Q58" s="37">
        <f>SUMIF('ABA TB'!$R:$R,'ABA P&amp;L'!$A58,'ABA TB'!E:E)</f>
        <v/>
      </c>
      <c r="R58" s="37">
        <f>SUMIF('ABA TB'!$R:$R,'ABA P&amp;L'!$A58,'ABA TB'!F:F)</f>
        <v/>
      </c>
      <c r="S58" s="37">
        <f>SUMIF('ABA TB'!$R:$R,'ABA P&amp;L'!$A58,'ABA TB'!G:G)</f>
        <v/>
      </c>
      <c r="T58" s="37">
        <f>SUMIF('ABA TB'!$R:$R,'ABA P&amp;L'!$A58,'ABA TB'!H:H)</f>
        <v/>
      </c>
      <c r="U58" s="37">
        <f>SUMIF('ABA TB'!$R:$R,'ABA P&amp;L'!$A58,'ABA TB'!I:I)</f>
        <v/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>
        <f>215*1.06</f>
        <v/>
      </c>
      <c r="W59" s="38">
        <f>215*1.06</f>
        <v/>
      </c>
      <c r="X59" s="38">
        <f>215*1.06</f>
        <v/>
      </c>
      <c r="Y59" s="38">
        <f>215*1.06</f>
        <v/>
      </c>
      <c r="Z59" s="38">
        <f>215*1.06</f>
        <v/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6</v>
      </c>
      <c r="C60" s="35" t="n">
        <v>6.6</v>
      </c>
      <c r="D60" s="35" t="n">
        <v>6.6</v>
      </c>
      <c r="E60" s="35" t="n">
        <v>7.2</v>
      </c>
      <c r="F60" s="35" t="n">
        <v>7.199999999999999</v>
      </c>
      <c r="G60" s="35" t="n">
        <v>6.6</v>
      </c>
      <c r="H60" s="35" t="n">
        <v>7.8</v>
      </c>
      <c r="I60" s="35" t="n">
        <v>6</v>
      </c>
      <c r="J60" s="35" t="n">
        <v>5.4</v>
      </c>
      <c r="K60" s="35" t="n">
        <v>70.59999999999999</v>
      </c>
      <c r="L60" s="35" t="n">
        <v>3.6</v>
      </c>
      <c r="M60" s="35" t="n">
        <v>3</v>
      </c>
      <c r="N60" s="36">
        <f>SUM(B60:M60)</f>
        <v/>
      </c>
      <c r="O60" s="37" t="n">
        <v>3.6</v>
      </c>
      <c r="P60" s="37" t="n">
        <v>1.8</v>
      </c>
      <c r="Q60" s="37" t="n">
        <v>48.15999999999999</v>
      </c>
      <c r="R60" s="37" t="n">
        <v>4.2</v>
      </c>
      <c r="S60" s="37" t="n">
        <v>3</v>
      </c>
      <c r="T60" s="37" t="n">
        <v>6.6</v>
      </c>
      <c r="U60" s="37" t="n">
        <v>4.8</v>
      </c>
      <c r="V60" s="38" t="n">
        <v>5</v>
      </c>
      <c r="W60" s="38" t="n">
        <v>5</v>
      </c>
      <c r="X60" s="38" t="n">
        <v>5</v>
      </c>
      <c r="Y60" s="38" t="n">
        <v>5</v>
      </c>
      <c r="Z60" s="38" t="n">
        <v>5</v>
      </c>
      <c r="AA60" s="36">
        <f>SUM(O60:U60)</f>
        <v/>
      </c>
      <c r="AB60" s="36">
        <f>SUM(O60:Z60)</f>
        <v/>
      </c>
      <c r="AC60" s="38" t="n">
        <v>5</v>
      </c>
      <c r="AD60" s="38" t="n">
        <v>5</v>
      </c>
      <c r="AE60" s="38" t="n">
        <v>5</v>
      </c>
      <c r="AF60" s="38" t="n">
        <v>5</v>
      </c>
      <c r="AG60" s="38" t="n">
        <v>5</v>
      </c>
      <c r="AH60" s="38" t="n">
        <v>5</v>
      </c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22.04</v>
      </c>
      <c r="E61" s="35" t="n">
        <v>21.36</v>
      </c>
      <c r="F61" s="35" t="n">
        <v>39.06</v>
      </c>
      <c r="G61" s="35" t="n">
        <v>6.99</v>
      </c>
      <c r="H61" s="35" t="n">
        <v>0</v>
      </c>
      <c r="I61" s="35" t="n">
        <v>0</v>
      </c>
      <c r="J61" s="35" t="n">
        <v>0</v>
      </c>
      <c r="K61" s="35" t="n">
        <v>52.6</v>
      </c>
      <c r="L61" s="35" t="n">
        <v>54.23</v>
      </c>
      <c r="M61" s="35" t="n">
        <v>0</v>
      </c>
      <c r="N61" s="36">
        <f>SUM(B61:M61)</f>
        <v/>
      </c>
      <c r="O61" s="37">
        <f>SUMIF('ABA TB'!$R:$R,'ABA P&amp;L'!$A61,'ABA TB'!C:C)</f>
        <v/>
      </c>
      <c r="P61" s="37">
        <f>SUMIF('ABA TB'!$R:$R,'ABA P&amp;L'!$A61,'ABA TB'!D:D)</f>
        <v/>
      </c>
      <c r="Q61" s="37">
        <f>SUMIF('ABA TB'!$R:$R,'ABA P&amp;L'!$A61,'ABA TB'!E:E)</f>
        <v/>
      </c>
      <c r="R61" s="37">
        <f>SUMIF('ABA TB'!$R:$R,'ABA P&amp;L'!$A61,'ABA TB'!F:F)</f>
        <v/>
      </c>
      <c r="S61" s="37">
        <f>SUMIF('ABA TB'!$R:$R,'ABA P&amp;L'!$A61,'ABA TB'!G:G)</f>
        <v/>
      </c>
      <c r="T61" s="37">
        <f>SUMIF('ABA TB'!$R:$R,'ABA P&amp;L'!$A61,'ABA TB'!H:H)</f>
        <v/>
      </c>
      <c r="U61" s="37">
        <f>SUMIF('ABA TB'!$R:$R,'ABA P&amp;L'!$A61,'ABA TB'!I:I)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1.5</v>
      </c>
      <c r="D62" s="35" t="n">
        <v>67</v>
      </c>
      <c r="E62" s="35" t="n">
        <v>107</v>
      </c>
      <c r="F62" s="35" t="n">
        <v>58</v>
      </c>
      <c r="G62" s="35" t="n">
        <v>35.6</v>
      </c>
      <c r="H62" s="35" t="n">
        <v>0</v>
      </c>
      <c r="I62" s="35" t="n">
        <v>60</v>
      </c>
      <c r="J62" s="35" t="n">
        <v>0</v>
      </c>
      <c r="K62" s="35" t="n">
        <v>0</v>
      </c>
      <c r="L62" s="35" t="n">
        <v>11.2</v>
      </c>
      <c r="M62" s="35" t="n">
        <v>3.4</v>
      </c>
      <c r="N62" s="36">
        <f>SUM(B62:M62)</f>
        <v/>
      </c>
      <c r="O62" s="37" t="n">
        <v>0</v>
      </c>
      <c r="P62" s="37" t="n">
        <v>0</v>
      </c>
      <c r="Q62" s="37" t="n">
        <v>0</v>
      </c>
      <c r="R62" s="37" t="n">
        <v>30</v>
      </c>
      <c r="S62" s="37" t="n">
        <v>0</v>
      </c>
      <c r="T62" s="37" t="n">
        <v>356</v>
      </c>
      <c r="U62" s="37" t="n">
        <v>179</v>
      </c>
      <c r="V62" s="38" t="n">
        <v>0</v>
      </c>
      <c r="W62" s="38" t="n">
        <v>0</v>
      </c>
      <c r="X62" s="38" t="n">
        <v>0</v>
      </c>
      <c r="Y62" s="38" t="n">
        <v>0</v>
      </c>
      <c r="Z62" s="38" t="n">
        <v>0</v>
      </c>
      <c r="AA62" s="36">
        <f>SUM(O62:U62)</f>
        <v/>
      </c>
      <c r="AB62" s="36">
        <f>SUM(O62:Z62)</f>
        <v/>
      </c>
      <c r="AC62" s="38" t="n">
        <v>0</v>
      </c>
      <c r="AD62" s="38" t="n">
        <v>0</v>
      </c>
      <c r="AE62" s="38" t="n">
        <v>0</v>
      </c>
      <c r="AF62" s="38" t="n">
        <v>0</v>
      </c>
      <c r="AG62" s="38" t="n">
        <v>0</v>
      </c>
      <c r="AH62" s="38" t="n">
        <v>0</v>
      </c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SUMIF('ABA TB'!$R:$R,'ABA P&amp;L'!$A63,'ABA TB'!C:C)</f>
        <v/>
      </c>
      <c r="P63" s="37">
        <f>SUMIF('ABA TB'!$R:$R,'ABA P&amp;L'!$A63,'ABA TB'!D:D)</f>
        <v/>
      </c>
      <c r="Q63" s="37">
        <f>SUMIF('ABA TB'!$R:$R,'ABA P&amp;L'!$A63,'ABA TB'!E:E)</f>
        <v/>
      </c>
      <c r="R63" s="37">
        <f>SUMIF('ABA TB'!$R:$R,'ABA P&amp;L'!$A63,'ABA TB'!F:F)</f>
        <v/>
      </c>
      <c r="S63" s="37">
        <f>SUMIF('ABA TB'!$R:$R,'ABA P&amp;L'!$A63,'ABA TB'!G:G)</f>
        <v/>
      </c>
      <c r="T63" s="37">
        <f>SUMIF('ABA TB'!$R:$R,'ABA P&amp;L'!$A63,'ABA TB'!H:H)</f>
        <v/>
      </c>
      <c r="U63" s="37">
        <f>SUMIF('ABA TB'!$R:$R,'ABA P&amp;L'!$A63,'ABA TB'!I:I)</f>
        <v/>
      </c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</v>
      </c>
      <c r="AA63" s="36">
        <f>SUM(O63:U63)</f>
        <v/>
      </c>
      <c r="AB63" s="36">
        <f>SUM(O63:Z63)</f>
        <v/>
      </c>
      <c r="AC63" s="38" t="n">
        <v>0</v>
      </c>
      <c r="AD63" s="38" t="n">
        <v>0</v>
      </c>
      <c r="AE63" s="38" t="n">
        <v>0</v>
      </c>
      <c r="AF63" s="38" t="n">
        <v>0</v>
      </c>
      <c r="AG63" s="38" t="n">
        <v>0</v>
      </c>
      <c r="AH63" s="38" t="n">
        <v>0</v>
      </c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SUMIF('ABA TB'!$R:$R,'ABA P&amp;L'!$A64,'ABA TB'!C:C)</f>
        <v/>
      </c>
      <c r="P64" s="37">
        <f>SUMIF('ABA TB'!$R:$R,'ABA P&amp;L'!$A64,'ABA TB'!D:D)</f>
        <v/>
      </c>
      <c r="Q64" s="37">
        <f>SUMIF('ABA TB'!$R:$R,'ABA P&amp;L'!$A64,'ABA TB'!E:E)</f>
        <v/>
      </c>
      <c r="R64" s="37">
        <f>SUMIF('ABA TB'!$R:$R,'ABA P&amp;L'!$A64,'ABA TB'!F:F)</f>
        <v/>
      </c>
      <c r="S64" s="37">
        <f>SUMIF('ABA TB'!$R:$R,'ABA P&amp;L'!$A64,'ABA TB'!G:G)</f>
        <v/>
      </c>
      <c r="T64" s="37">
        <f>SUMIF('ABA TB'!$R:$R,'ABA P&amp;L'!$A64,'ABA TB'!H:H)</f>
        <v/>
      </c>
      <c r="U64" s="37">
        <f>SUMIF('ABA TB'!$R:$R,'ABA P&amp;L'!$A64,'ABA TB'!I:I)</f>
        <v/>
      </c>
      <c r="V64" s="38" t="n">
        <v>0</v>
      </c>
      <c r="W64" s="38" t="n">
        <v>0</v>
      </c>
      <c r="X64" s="38" t="n">
        <v>0</v>
      </c>
      <c r="Y64" s="38" t="n">
        <v>0</v>
      </c>
      <c r="Z64" s="38" t="n">
        <v>0</v>
      </c>
      <c r="AA64" s="36">
        <f>SUM(O64:U64)</f>
        <v/>
      </c>
      <c r="AB64" s="36">
        <f>SUM(O64:Z64)</f>
        <v/>
      </c>
      <c r="AC64" s="38" t="n">
        <v>0</v>
      </c>
      <c r="AD64" s="38" t="n">
        <v>0</v>
      </c>
      <c r="AE64" s="38" t="n">
        <v>0</v>
      </c>
      <c r="AF64" s="38" t="n">
        <v>0</v>
      </c>
      <c r="AG64" s="38" t="n">
        <v>0</v>
      </c>
      <c r="AH64" s="38" t="n">
        <v>0</v>
      </c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SUMIF('ABA TB'!$R:$R,'ABA P&amp;L'!$A65,'ABA TB'!C:C)</f>
        <v/>
      </c>
      <c r="P65" s="37">
        <f>SUMIF('ABA TB'!$R:$R,'ABA P&amp;L'!$A65,'ABA TB'!D:D)</f>
        <v/>
      </c>
      <c r="Q65" s="37">
        <f>SUMIF('ABA TB'!$R:$R,'ABA P&amp;L'!$A65,'ABA TB'!E:E)</f>
        <v/>
      </c>
      <c r="R65" s="37">
        <f>SUMIF('ABA TB'!$R:$R,'ABA P&amp;L'!$A65,'ABA TB'!F:F)</f>
        <v/>
      </c>
      <c r="S65" s="37">
        <f>SUMIF('ABA TB'!$R:$R,'ABA P&amp;L'!$A65,'ABA TB'!G:G)</f>
        <v/>
      </c>
      <c r="T65" s="37">
        <f>SUMIF('ABA TB'!$R:$R,'ABA P&amp;L'!$A65,'ABA TB'!H:H)</f>
        <v/>
      </c>
      <c r="U65" s="37">
        <f>SUMIF('ABA TB'!$R:$R,'ABA P&amp;L'!$A65,'ABA TB'!I:I)</f>
        <v/>
      </c>
      <c r="V65" s="38" t="n">
        <v>0</v>
      </c>
      <c r="W65" s="38" t="n">
        <v>0</v>
      </c>
      <c r="X65" s="38" t="n">
        <v>0</v>
      </c>
      <c r="Y65" s="38" t="n">
        <v>0</v>
      </c>
      <c r="Z65" s="38" t="n">
        <v>0</v>
      </c>
      <c r="AA65" s="36">
        <f>SUM(O65:U65)</f>
        <v/>
      </c>
      <c r="AB65" s="36">
        <f>SUM(O65:Z65)</f>
        <v/>
      </c>
      <c r="AC65" s="38" t="n">
        <v>0</v>
      </c>
      <c r="AD65" s="38" t="n">
        <v>0</v>
      </c>
      <c r="AE65" s="38" t="n">
        <v>0</v>
      </c>
      <c r="AF65" s="38" t="n">
        <v>0</v>
      </c>
      <c r="AG65" s="38" t="n">
        <v>0</v>
      </c>
      <c r="AH65" s="38" t="n">
        <v>0</v>
      </c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SUMIF('ABA TB'!$R:$R,'ABA P&amp;L'!$A66,'ABA TB'!C:C)</f>
        <v/>
      </c>
      <c r="P66" s="37">
        <f>SUMIF('ABA TB'!$R:$R,'ABA P&amp;L'!$A66,'ABA TB'!D:D)</f>
        <v/>
      </c>
      <c r="Q66" s="37">
        <f>SUMIF('ABA TB'!$R:$R,'ABA P&amp;L'!$A66,'ABA TB'!E:E)</f>
        <v/>
      </c>
      <c r="R66" s="37">
        <f>SUMIF('ABA TB'!$R:$R,'ABA P&amp;L'!$A66,'ABA TB'!F:F)</f>
        <v/>
      </c>
      <c r="S66" s="37">
        <f>SUMIF('ABA TB'!$R:$R,'ABA P&amp;L'!$A66,'ABA TB'!G:G)</f>
        <v/>
      </c>
      <c r="T66" s="37">
        <f>SUMIF('ABA TB'!$R:$R,'ABA P&amp;L'!$A66,'ABA TB'!H:H)</f>
        <v/>
      </c>
      <c r="U66" s="37">
        <f>SUMIF('ABA TB'!$R:$R,'ABA P&amp;L'!$A66,'ABA TB'!I:I)</f>
        <v/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220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SUMIF('ABA TB'!$R:$R,'ABA P&amp;L'!$A67,'ABA TB'!C:C)</f>
        <v/>
      </c>
      <c r="P67" s="37">
        <f>SUMIF('ABA TB'!$R:$R,'ABA P&amp;L'!$A67,'ABA TB'!D:D)</f>
        <v/>
      </c>
      <c r="Q67" s="37">
        <f>SUMIF('ABA TB'!$R:$R,'ABA P&amp;L'!$A67,'ABA TB'!E:E)</f>
        <v/>
      </c>
      <c r="R67" s="37">
        <f>SUMIF('ABA TB'!$R:$R,'ABA P&amp;L'!$A67,'ABA TB'!F:F)</f>
        <v/>
      </c>
      <c r="S67" s="37">
        <f>SUMIF('ABA TB'!$R:$R,'ABA P&amp;L'!$A67,'ABA TB'!G:G)</f>
        <v/>
      </c>
      <c r="T67" s="37">
        <f>SUMIF('ABA TB'!$R:$R,'ABA P&amp;L'!$A67,'ABA TB'!H:H)</f>
        <v/>
      </c>
      <c r="U67" s="37">
        <f>SUMIF('ABA TB'!$R:$R,'ABA P&amp;L'!$A67,'ABA TB'!I:I)</f>
        <v/>
      </c>
      <c r="V67" s="38" t="n">
        <v>0</v>
      </c>
      <c r="W67" s="38" t="n">
        <v>0</v>
      </c>
      <c r="X67" s="38" t="n">
        <v>0</v>
      </c>
      <c r="Y67" s="38" t="n">
        <v>0</v>
      </c>
      <c r="Z67" s="38" t="n">
        <v>0</v>
      </c>
      <c r="AA67" s="36">
        <f>SUM(O67:U67)</f>
        <v/>
      </c>
      <c r="AB67" s="36">
        <f>SUM(O67:Z67)</f>
        <v/>
      </c>
      <c r="AC67" s="38" t="n">
        <v>0</v>
      </c>
      <c r="AD67" s="38" t="n">
        <v>0</v>
      </c>
      <c r="AE67" s="38" t="n">
        <v>0</v>
      </c>
      <c r="AF67" s="38" t="n">
        <v>0</v>
      </c>
      <c r="AG67" s="38" t="n">
        <v>0</v>
      </c>
      <c r="AH67" s="38" t="n">
        <v>0</v>
      </c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SUMIF('ABA TB'!$R:$R,'ABA P&amp;L'!$A68,'ABA TB'!C:C)</f>
        <v/>
      </c>
      <c r="P68" s="37">
        <f>SUMIF('ABA TB'!$R:$R,'ABA P&amp;L'!$A68,'ABA TB'!D:D)</f>
        <v/>
      </c>
      <c r="Q68" s="37">
        <f>SUMIF('ABA TB'!$R:$R,'ABA P&amp;L'!$A68,'ABA TB'!E:E)</f>
        <v/>
      </c>
      <c r="R68" s="37">
        <f>SUMIF('ABA TB'!$R:$R,'ABA P&amp;L'!$A68,'ABA TB'!F:F)</f>
        <v/>
      </c>
      <c r="S68" s="37">
        <f>SUMIF('ABA TB'!$R:$R,'ABA P&amp;L'!$A68,'ABA TB'!G:G)</f>
        <v/>
      </c>
      <c r="T68" s="37">
        <f>SUMIF('ABA TB'!$R:$R,'ABA P&amp;L'!$A68,'ABA TB'!H:H)</f>
        <v/>
      </c>
      <c r="U68" s="37">
        <f>SUMIF('ABA TB'!$R:$R,'ABA P&amp;L'!$A68,'ABA TB'!I:I)</f>
        <v/>
      </c>
      <c r="V68" s="38" t="n">
        <v>0</v>
      </c>
      <c r="W68" s="38" t="n">
        <v>0</v>
      </c>
      <c r="X68" s="38" t="n">
        <v>0</v>
      </c>
      <c r="Y68" s="38" t="n">
        <v>0</v>
      </c>
      <c r="Z68" s="38" t="n">
        <v>0</v>
      </c>
      <c r="AA68" s="36">
        <f>SUM(O68:U68)</f>
        <v/>
      </c>
      <c r="AB68" s="36">
        <f>SUM(O68:Z68)</f>
        <v/>
      </c>
      <c r="AC68" s="38" t="n">
        <v>0</v>
      </c>
      <c r="AD68" s="38" t="n">
        <v>0</v>
      </c>
      <c r="AE68" s="38" t="n">
        <v>0</v>
      </c>
      <c r="AF68" s="38" t="n">
        <v>0</v>
      </c>
      <c r="AG68" s="38" t="n">
        <v>0</v>
      </c>
      <c r="AH68" s="38" t="n">
        <v>0</v>
      </c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207.38</v>
      </c>
      <c r="C69" s="42" t="n">
        <v>209.48</v>
      </c>
      <c r="D69" s="42" t="n">
        <v>297.02</v>
      </c>
      <c r="E69" s="42" t="n">
        <v>336.94</v>
      </c>
      <c r="F69" s="42" t="n">
        <v>305.64</v>
      </c>
      <c r="G69" s="42" t="n">
        <v>470.57</v>
      </c>
      <c r="H69" s="42" t="n">
        <v>209.18</v>
      </c>
      <c r="I69" s="42" t="n">
        <v>267.38</v>
      </c>
      <c r="J69" s="42" t="n">
        <v>206.78</v>
      </c>
      <c r="K69" s="42" t="n">
        <v>338</v>
      </c>
      <c r="L69" s="42" t="n">
        <v>363.83</v>
      </c>
      <c r="M69" s="42" t="n">
        <v>542.63</v>
      </c>
      <c r="N69" s="43">
        <f>SUM(B69:M69)</f>
        <v/>
      </c>
      <c r="O69" s="44">
        <f>SUM(O53:O68)</f>
        <v/>
      </c>
      <c r="P69" s="44">
        <f>SUM(P53:P68)</f>
        <v/>
      </c>
      <c r="Q69" s="44">
        <f>SUM(Q53:Q68)</f>
        <v/>
      </c>
      <c r="R69" s="44">
        <f>SUM(R53:R68)</f>
        <v/>
      </c>
      <c r="S69" s="44">
        <f>SUM(S53:S68)</f>
        <v/>
      </c>
      <c r="T69" s="44">
        <f>SUM(T53:T68)</f>
        <v/>
      </c>
      <c r="U69" s="44">
        <f>SUM(U53:U68)</f>
        <v/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15777.83</v>
      </c>
      <c r="C70" s="55" t="n">
        <v>31494.3</v>
      </c>
      <c r="D70" s="55" t="n">
        <v>47767.26</v>
      </c>
      <c r="E70" s="55" t="n">
        <v>24032.97000000001</v>
      </c>
      <c r="F70" s="55" t="n">
        <v>13742.18</v>
      </c>
      <c r="G70" s="55" t="n">
        <v>48519.64</v>
      </c>
      <c r="H70" s="55" t="n">
        <v>55791.83</v>
      </c>
      <c r="I70" s="55" t="n">
        <v>10399.73</v>
      </c>
      <c r="J70" s="55" t="n">
        <v>13761.58</v>
      </c>
      <c r="K70" s="55" t="n">
        <v>32819.77</v>
      </c>
      <c r="L70" s="55" t="n">
        <v>32964.98</v>
      </c>
      <c r="M70" s="55" t="n">
        <v>48166.24999999999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SUM(O70:Z70)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8" t="n"/>
      <c r="B71" s="57" t="n"/>
      <c r="C71" s="57" t="n"/>
      <c r="D71" s="57" t="n"/>
      <c r="E71" s="57" t="n"/>
      <c r="F71" s="57" t="n"/>
      <c r="G71" s="57" t="n"/>
      <c r="H71" s="57" t="n"/>
      <c r="I71" s="57" t="n"/>
      <c r="J71" s="57" t="n"/>
      <c r="K71" s="57" t="n"/>
      <c r="L71" s="57" t="n"/>
      <c r="M71" s="57" t="n"/>
      <c r="N71" s="56">
        <f>SUM(B71:M71)</f>
        <v/>
      </c>
      <c r="O71" s="56" t="n"/>
      <c r="P71" s="56" t="n"/>
      <c r="Q71" s="56" t="n"/>
      <c r="R71" s="56" t="n"/>
      <c r="S71" s="56" t="n"/>
      <c r="T71" s="56" t="n"/>
      <c r="U71" s="56" t="n"/>
      <c r="V71" s="58" t="n"/>
      <c r="W71" s="58" t="n"/>
      <c r="X71" s="58" t="n"/>
      <c r="Y71" s="58" t="n"/>
      <c r="Z71" s="58" t="n"/>
      <c r="AA71" s="56">
        <f>SUM(O71:T71)</f>
        <v/>
      </c>
      <c r="AB71" s="56" t="n"/>
      <c r="AC71" s="58" t="n"/>
      <c r="AD71" s="58" t="n"/>
      <c r="AE71" s="58" t="n"/>
      <c r="AF71" s="58" t="n"/>
      <c r="AG71" s="58" t="n"/>
      <c r="AH71" s="58" t="n"/>
      <c r="AI71" s="8" t="n"/>
      <c r="AJ71" s="56" t="n"/>
      <c r="AK71" s="56" t="n"/>
      <c r="AL71" s="56" t="n"/>
      <c r="AM71" s="56" t="n"/>
      <c r="AN71" s="56" t="n"/>
      <c r="AO71" s="56" t="n"/>
      <c r="AP71" s="56" t="n"/>
    </row>
    <row r="72">
      <c r="A72" s="28" t="n"/>
      <c r="B72" s="57" t="n"/>
      <c r="C72" s="57" t="n"/>
      <c r="D72" s="57" t="n"/>
      <c r="E72" s="57" t="n"/>
      <c r="F72" s="57" t="n"/>
      <c r="G72" s="57" t="n"/>
      <c r="H72" s="57" t="n"/>
      <c r="I72" s="57" t="n"/>
      <c r="J72" s="57" t="n"/>
      <c r="K72" s="57" t="n"/>
      <c r="L72" s="57" t="n"/>
      <c r="M72" s="57" t="n"/>
      <c r="N72" s="56">
        <f>SUM(B72:M72)</f>
        <v/>
      </c>
      <c r="O72" s="56" t="n"/>
      <c r="P72" s="56" t="n"/>
      <c r="Q72" s="56" t="n"/>
      <c r="R72" s="56" t="n"/>
      <c r="S72" s="56" t="n"/>
      <c r="T72" s="56" t="n"/>
      <c r="U72" s="56" t="n"/>
      <c r="V72" s="58" t="n"/>
      <c r="W72" s="58" t="n"/>
      <c r="X72" s="58" t="n"/>
      <c r="Y72" s="58" t="n"/>
      <c r="Z72" s="58" t="n"/>
      <c r="AA72" s="56">
        <f>SUM(O72:T72)</f>
        <v/>
      </c>
      <c r="AB72" s="56" t="n"/>
      <c r="AC72" s="58" t="n"/>
      <c r="AD72" s="58" t="n"/>
      <c r="AE72" s="58" t="n"/>
      <c r="AF72" s="58" t="n"/>
      <c r="AG72" s="58" t="n"/>
      <c r="AH72" s="58" t="n"/>
      <c r="AI72" s="8" t="n"/>
      <c r="AJ72" s="56" t="n"/>
      <c r="AK72" s="56" t="n"/>
      <c r="AL72" s="56" t="n"/>
      <c r="AM72" s="56" t="n"/>
      <c r="AN72" s="56" t="n"/>
      <c r="AO72" s="56" t="n"/>
      <c r="AP72" s="56" t="n"/>
    </row>
    <row r="73">
      <c r="A73" s="28" t="n"/>
      <c r="B73" s="57" t="n"/>
      <c r="C73" s="57" t="n"/>
      <c r="D73" s="57" t="n"/>
      <c r="E73" s="57" t="n"/>
      <c r="F73" s="57" t="n"/>
      <c r="G73" s="57" t="n"/>
      <c r="H73" s="57" t="n"/>
      <c r="I73" s="57" t="n"/>
      <c r="J73" s="57" t="n"/>
      <c r="K73" s="57" t="n"/>
      <c r="L73" s="57" t="n"/>
      <c r="M73" s="57" t="n"/>
      <c r="N73" s="56">
        <f>SUM(B73:M73)</f>
        <v/>
      </c>
      <c r="O73" s="56" t="n"/>
      <c r="P73" s="56" t="n"/>
      <c r="Q73" s="56" t="n"/>
      <c r="R73" s="56" t="n"/>
      <c r="S73" s="56" t="n"/>
      <c r="T73" s="56" t="n"/>
      <c r="U73" s="56" t="n"/>
      <c r="V73" s="58" t="n"/>
      <c r="W73" s="58" t="n"/>
      <c r="X73" s="58" t="n"/>
      <c r="Y73" s="58" t="n"/>
      <c r="Z73" s="58" t="n"/>
      <c r="AA73" s="56">
        <f>SUM(O73:T73)</f>
        <v/>
      </c>
      <c r="AB73" s="56" t="n"/>
      <c r="AC73" s="58" t="n"/>
      <c r="AD73" s="58" t="n"/>
      <c r="AE73" s="58" t="n"/>
      <c r="AF73" s="58" t="n"/>
      <c r="AG73" s="58" t="n"/>
      <c r="AH73" s="58" t="n"/>
      <c r="AI73" s="8" t="n"/>
      <c r="AJ73" s="59" t="inlineStr">
        <is>
          <t>Model assumptions 2027:</t>
        </is>
      </c>
      <c r="AK73" s="8" t="n"/>
      <c r="AL73" s="8" t="n"/>
      <c r="AM73" s="8" t="n"/>
      <c r="AN73" s="56" t="n"/>
      <c r="AO73" s="56" t="n"/>
      <c r="AP73" s="56" t="n"/>
    </row>
    <row r="74">
      <c r="A74" s="22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60">
        <f>SUM(B74:M74)</f>
        <v/>
      </c>
      <c r="O74" s="8" t="n"/>
      <c r="P74" s="8" t="n"/>
      <c r="Q74" s="8" t="n"/>
      <c r="R74" s="8" t="n"/>
      <c r="S74" s="8" t="n"/>
      <c r="T74" s="8" t="n"/>
      <c r="U74" s="8" t="n"/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8" t="n"/>
      <c r="AJ74" s="8" t="inlineStr">
        <is>
          <t>Salary Uplift</t>
        </is>
      </c>
      <c r="AK74" s="8" t="n"/>
      <c r="AL74" s="61" t="n">
        <v>0.05</v>
      </c>
      <c r="AM74" s="62" t="n"/>
      <c r="AN74" s="8" t="n"/>
      <c r="AO74" s="8" t="n"/>
      <c r="AP74" s="8" t="n"/>
    </row>
    <row r="75">
      <c r="A75" s="22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60">
        <f>SUM(B75:M75)</f>
        <v/>
      </c>
      <c r="O75" s="8" t="n"/>
      <c r="P75" s="8" t="n"/>
      <c r="Q75" s="8" t="n"/>
      <c r="R75" s="8" t="n"/>
      <c r="S75" s="8" t="n"/>
      <c r="T75" s="8" t="n"/>
      <c r="U75" s="8" t="n"/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8" t="n"/>
      <c r="AJ75" s="8" t="inlineStr">
        <is>
          <t>Fee uplift</t>
        </is>
      </c>
      <c r="AK75" s="8" t="n"/>
      <c r="AL75" s="61" t="n">
        <v>0.07000000000000001</v>
      </c>
      <c r="AM75" s="60" t="inlineStr">
        <is>
          <t>Fee Uplift not yet in calcs - offer changing this is purely on FAMLY current data</t>
        </is>
      </c>
      <c r="AN75" s="8" t="n"/>
      <c r="AO75" s="8" t="n"/>
      <c r="AP75" s="8" t="n"/>
    </row>
    <row r="76">
      <c r="A76" s="63" t="inlineStr">
        <is>
          <t>Memo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60">
        <f>SUM(B76:M76)</f>
        <v/>
      </c>
      <c r="O76" s="8" t="n"/>
      <c r="P76" s="8" t="n"/>
      <c r="Q76" s="8" t="n"/>
      <c r="R76" s="8" t="n"/>
      <c r="S76" s="8" t="n"/>
      <c r="T76" s="8" t="n"/>
      <c r="U76" s="8" t="n"/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8" t="n"/>
      <c r="AJ76" s="8" t="inlineStr">
        <is>
          <t>Monthly volume growth</t>
        </is>
      </c>
      <c r="AK76" s="8" t="n"/>
      <c r="AL76" s="61" t="n">
        <v>0.01</v>
      </c>
      <c r="AM76" s="62" t="n"/>
      <c r="AN76" s="8" t="n"/>
      <c r="AO76" s="8" t="n"/>
      <c r="AP76" s="8" t="n"/>
    </row>
    <row r="77">
      <c r="A77" s="34" t="inlineStr">
        <is>
          <t>Direct - Sales</t>
        </is>
      </c>
      <c r="B77" s="18" t="n">
        <v>57516.53</v>
      </c>
      <c r="C77" s="18" t="n">
        <v>78557.34999999999</v>
      </c>
      <c r="D77" s="18" t="n">
        <v>93456.92</v>
      </c>
      <c r="E77" s="18" t="n">
        <v>71212.94</v>
      </c>
      <c r="F77" s="18" t="n">
        <v>67096.77</v>
      </c>
      <c r="G77" s="18" t="n">
        <v>99081.97</v>
      </c>
      <c r="H77" s="18" t="n">
        <v>109415</v>
      </c>
      <c r="I77" s="18" t="n">
        <v>58043.73</v>
      </c>
      <c r="J77" s="18" t="n">
        <v>59199.65</v>
      </c>
      <c r="K77" s="18" t="n">
        <v>81909.55</v>
      </c>
      <c r="L77" s="18" t="n">
        <v>79250.38</v>
      </c>
      <c r="M77" s="18" t="n">
        <v>96066.59</v>
      </c>
      <c r="N77" s="60">
        <f>SUM(B77:M77)</f>
        <v/>
      </c>
      <c r="O77" s="60">
        <f>-SUMIF('ABA TB'!$T:$T,'ABA P&amp;L'!$A77,'ABA TB'!C:C)</f>
        <v/>
      </c>
      <c r="P77" s="60">
        <f>-SUMIF('ABA TB'!$T:$T,'ABA P&amp;L'!$A77,'ABA TB'!D:D)</f>
        <v/>
      </c>
      <c r="Q77" s="60">
        <f>-SUMIF('ABA TB'!$T:$T,'ABA P&amp;L'!$A77,'ABA TB'!E:E)</f>
        <v/>
      </c>
      <c r="R77" s="60">
        <f>-SUMIF('ABA TB'!$T:$T,'ABA P&amp;L'!$A77,'ABA TB'!F:F)</f>
        <v/>
      </c>
      <c r="S77" s="60">
        <f>-SUMIF('ABA TB'!$T:$T,'ABA P&amp;L'!$A77,'ABA TB'!G:G)</f>
        <v/>
      </c>
      <c r="T77" s="60">
        <f>-SUMIF('ABA TB'!$T:$T,'ABA P&amp;L'!$A77,'ABA TB'!H:H)</f>
        <v/>
      </c>
      <c r="U77" s="60">
        <f>-SUMIF('ABA TB'!$T:$T,'ABA P&amp;L'!$A77,'ABA TB'!I:I)</f>
        <v/>
      </c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8" t="n"/>
      <c r="AJ77" s="8" t="inlineStr">
        <is>
          <t>Easter fallback</t>
        </is>
      </c>
      <c r="AK77" s="8" t="n"/>
      <c r="AL77" s="61" t="n">
        <v>0.04</v>
      </c>
      <c r="AM77" s="62" t="n"/>
      <c r="AN77" s="8" t="n"/>
      <c r="AO77" s="8" t="n"/>
      <c r="AP77" s="8" t="n"/>
    </row>
    <row r="78">
      <c r="A78" s="34" t="inlineStr">
        <is>
          <t>Direct - Staff Cost</t>
        </is>
      </c>
      <c r="B78" s="18" t="n">
        <v>-34574.8</v>
      </c>
      <c r="C78" s="18" t="n">
        <v>-35374.13999999999</v>
      </c>
      <c r="D78" s="18" t="n">
        <v>-36972.91</v>
      </c>
      <c r="E78" s="18" t="n">
        <v>-40300.46999999999</v>
      </c>
      <c r="F78" s="18" t="n">
        <v>-41216.68</v>
      </c>
      <c r="G78" s="18" t="n">
        <v>-41525.89</v>
      </c>
      <c r="H78" s="18" t="n">
        <v>-44824.91999999999</v>
      </c>
      <c r="I78" s="18" t="n">
        <v>-40433.25</v>
      </c>
      <c r="J78" s="18" t="n">
        <v>-40303.59</v>
      </c>
      <c r="K78" s="18" t="n">
        <v>-38404.48</v>
      </c>
      <c r="L78" s="18" t="n">
        <v>-38149.48</v>
      </c>
      <c r="M78" s="18" t="n">
        <v>-39149.26</v>
      </c>
      <c r="N78" s="60">
        <f>SUM(B78:M78)</f>
        <v/>
      </c>
      <c r="O78" s="60">
        <f>-SUMIF('ABA TB'!$T:$T,'ABA P&amp;L'!$A78,'ABA TB'!C:C)</f>
        <v/>
      </c>
      <c r="P78" s="60">
        <f>-SUMIF('ABA TB'!$T:$T,'ABA P&amp;L'!$A78,'ABA TB'!D:D)</f>
        <v/>
      </c>
      <c r="Q78" s="60">
        <f>-SUMIF('ABA TB'!$T:$T,'ABA P&amp;L'!$A78,'ABA TB'!E:E)</f>
        <v/>
      </c>
      <c r="R78" s="60">
        <f>-SUMIF('ABA TB'!$T:$T,'ABA P&amp;L'!$A78,'ABA TB'!F:F)</f>
        <v/>
      </c>
      <c r="S78" s="60">
        <f>-SUMIF('ABA TB'!$T:$T,'ABA P&amp;L'!$A78,'ABA TB'!G:G)</f>
        <v/>
      </c>
      <c r="T78" s="60">
        <f>-SUMIF('ABA TB'!$T:$T,'ABA P&amp;L'!$A78,'ABA TB'!H:H)</f>
        <v/>
      </c>
      <c r="U78" s="60">
        <f>-SUMIF('ABA TB'!$T:$T,'ABA P&amp;L'!$A78,'ABA TB'!I:I)</f>
        <v/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8" t="n"/>
      <c r="AJ78" s="8" t="inlineStr">
        <is>
          <t>Inflation</t>
        </is>
      </c>
      <c r="AK78" s="8" t="n"/>
      <c r="AL78" s="61" t="n">
        <v>0.06</v>
      </c>
      <c r="AM78" s="62" t="n"/>
      <c r="AN78" s="8" t="n"/>
      <c r="AO78" s="8" t="n"/>
      <c r="AP78" s="8" t="n"/>
    </row>
    <row r="79">
      <c r="A79" s="60" t="inlineStr">
        <is>
          <t>Direct - Childcare Cost</t>
        </is>
      </c>
      <c r="B79" s="18" t="n">
        <v>-2176.42</v>
      </c>
      <c r="C79" s="18" t="n">
        <v>-3159.37</v>
      </c>
      <c r="D79" s="18" t="n">
        <v>-2902.21</v>
      </c>
      <c r="E79" s="18" t="n">
        <v>-2149.77</v>
      </c>
      <c r="F79" s="18" t="n">
        <v>-3175.23</v>
      </c>
      <c r="G79" s="18" t="n">
        <v>-3603.37</v>
      </c>
      <c r="H79" s="18" t="n">
        <v>-5241.700000000001</v>
      </c>
      <c r="I79" s="18" t="n">
        <v>-2724.2</v>
      </c>
      <c r="J79" s="18" t="n">
        <v>-1834.64</v>
      </c>
      <c r="K79" s="18" t="n">
        <v>-2350.79</v>
      </c>
      <c r="L79" s="18" t="n">
        <v>-3297.279999999999</v>
      </c>
      <c r="M79" s="18" t="n">
        <v>-2081.55</v>
      </c>
      <c r="N79" s="60">
        <f>SUM(B79:M79)</f>
        <v/>
      </c>
      <c r="O79" s="60">
        <f>-SUMIF('ABA TB'!$T:$T,'ABA P&amp;L'!$A79,'ABA TB'!C:C)</f>
        <v/>
      </c>
      <c r="P79" s="60">
        <f>-SUMIF('ABA TB'!$T:$T,'ABA P&amp;L'!$A79,'ABA TB'!D:D)</f>
        <v/>
      </c>
      <c r="Q79" s="60">
        <f>-SUMIF('ABA TB'!$T:$T,'ABA P&amp;L'!$A79,'ABA TB'!E:E)</f>
        <v/>
      </c>
      <c r="R79" s="60">
        <f>-SUMIF('ABA TB'!$T:$T,'ABA P&amp;L'!$A79,'ABA TB'!F:F)</f>
        <v/>
      </c>
      <c r="S79" s="60">
        <f>-SUMIF('ABA TB'!$T:$T,'ABA P&amp;L'!$A79,'ABA TB'!G:G)</f>
        <v/>
      </c>
      <c r="T79" s="60">
        <f>-SUMIF('ABA TB'!$T:$T,'ABA P&amp;L'!$A79,'ABA TB'!H:H)</f>
        <v/>
      </c>
      <c r="U79" s="60">
        <f>-SUMIF('ABA TB'!$T:$T,'ABA P&amp;L'!$A79,'ABA TB'!I:I)</f>
        <v/>
      </c>
      <c r="V79" s="20" t="n"/>
      <c r="W79" s="20" t="n"/>
      <c r="X79" s="20" t="n"/>
      <c r="Y79" s="20" t="n"/>
      <c r="Z79" s="20" t="n"/>
      <c r="AA79" s="60">
        <f>SUM(O79:T79)</f>
        <v/>
      </c>
      <c r="AB79" s="8" t="n"/>
      <c r="AC79" s="20" t="n"/>
      <c r="AD79" s="20" t="n"/>
      <c r="AE79" s="20" t="n"/>
      <c r="AF79" s="20" t="n"/>
      <c r="AG79" s="20" t="n"/>
      <c r="AH79" s="20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>
      <c r="A80" s="60" t="inlineStr">
        <is>
          <t>Direct - Premises &amp; Admin</t>
        </is>
      </c>
      <c r="B80" s="18" t="n">
        <v>-4780.1</v>
      </c>
      <c r="C80" s="18" t="n">
        <v>-8320.059999999999</v>
      </c>
      <c r="D80" s="18" t="n">
        <v>-5517.520000000001</v>
      </c>
      <c r="E80" s="18" t="n">
        <v>-4392.789999999999</v>
      </c>
      <c r="F80" s="18" t="n">
        <v>-8657.039999999999</v>
      </c>
      <c r="G80" s="18" t="n">
        <v>-4962.5</v>
      </c>
      <c r="H80" s="18" t="n">
        <v>-3347.37</v>
      </c>
      <c r="I80" s="18" t="n">
        <v>-4219.17</v>
      </c>
      <c r="J80" s="18" t="n">
        <v>-3093.06</v>
      </c>
      <c r="K80" s="18" t="n">
        <v>-7996.509999999999</v>
      </c>
      <c r="L80" s="18" t="n">
        <v>-4474.809999999999</v>
      </c>
      <c r="M80" s="18" t="n">
        <v>-6126.900000000001</v>
      </c>
      <c r="N80" s="60">
        <f>SUM(B80:M80)</f>
        <v/>
      </c>
      <c r="O80" s="60">
        <f>-SUMIF('ABA TB'!$T:$T,'ABA P&amp;L'!$A80,'ABA TB'!C:C)</f>
        <v/>
      </c>
      <c r="P80" s="60">
        <f>-SUMIF('ABA TB'!$T:$T,'ABA P&amp;L'!$A80,'ABA TB'!D:D)</f>
        <v/>
      </c>
      <c r="Q80" s="60">
        <f>-SUMIF('ABA TB'!$T:$T,'ABA P&amp;L'!$A80,'ABA TB'!E:E)</f>
        <v/>
      </c>
      <c r="R80" s="60">
        <f>-SUMIF('ABA TB'!$T:$T,'ABA P&amp;L'!$A80,'ABA TB'!F:F)</f>
        <v/>
      </c>
      <c r="S80" s="60">
        <f>-SUMIF('ABA TB'!$T:$T,'ABA P&amp;L'!$A80,'ABA TB'!G:G)</f>
        <v/>
      </c>
      <c r="T80" s="60">
        <f>-SUMIF('ABA TB'!$T:$T,'ABA P&amp;L'!$A80,'ABA TB'!H:H)</f>
        <v/>
      </c>
      <c r="U80" s="60">
        <f>-SUMIF('ABA TB'!$T:$T,'ABA P&amp;L'!$A80,'ABA TB'!I:I)</f>
        <v/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60" t="inlineStr">
        <is>
          <t>In-Direct - Staff Cost</t>
        </is>
      </c>
      <c r="B81" s="60" t="n">
        <v>0</v>
      </c>
      <c r="C81" s="60" t="n">
        <v>0</v>
      </c>
      <c r="D81" s="60" t="n">
        <v>0</v>
      </c>
      <c r="E81" s="60" t="n">
        <v>0</v>
      </c>
      <c r="F81" s="60" t="n">
        <v>0</v>
      </c>
      <c r="G81" s="60" t="n">
        <v>0</v>
      </c>
      <c r="H81" s="60" t="n">
        <v>0</v>
      </c>
      <c r="I81" s="60" t="n">
        <v>0</v>
      </c>
      <c r="J81" s="60" t="n">
        <v>0</v>
      </c>
      <c r="K81" s="60" t="n">
        <v>0</v>
      </c>
      <c r="L81" s="60" t="n">
        <v>0</v>
      </c>
      <c r="M81" s="60" t="n">
        <v>0</v>
      </c>
      <c r="N81" s="60">
        <f>SUM(B81:M81)</f>
        <v/>
      </c>
      <c r="O81" s="60">
        <f>-SUMIF('ABA TB'!$T:$T,'ABA P&amp;L'!$A81,'ABA TB'!C:C)</f>
        <v/>
      </c>
      <c r="P81" s="60">
        <f>-SUMIF('ABA TB'!$T:$T,'ABA P&amp;L'!$A81,'ABA TB'!D:D)</f>
        <v/>
      </c>
      <c r="Q81" s="60">
        <f>-SUMIF('ABA TB'!$T:$T,'ABA P&amp;L'!$A81,'ABA TB'!E:E)</f>
        <v/>
      </c>
      <c r="R81" s="60">
        <f>-SUMIF('ABA TB'!$T:$T,'ABA P&amp;L'!$A81,'ABA TB'!F:F)</f>
        <v/>
      </c>
      <c r="S81" s="60">
        <f>-SUMIF('ABA TB'!$T:$T,'ABA P&amp;L'!$A81,'ABA TB'!G:G)</f>
        <v/>
      </c>
      <c r="T81" s="60">
        <f>-SUMIF('ABA TB'!$T:$T,'ABA P&amp;L'!$A81,'ABA TB'!H:H)</f>
        <v/>
      </c>
      <c r="U81" s="60">
        <f>-SUMIF('ABA TB'!$T:$T,'ABA P&amp;L'!$A81,'ABA TB'!I:I)</f>
        <v/>
      </c>
      <c r="V81" s="60">
        <f>-SUMIF('ABA TB'!$T:$T,'ABA P&amp;L'!$A81,'ABA TB'!J:J)</f>
        <v/>
      </c>
      <c r="W81" s="60">
        <f>-SUMIF('ABA TB'!$T:$T,'ABA P&amp;L'!$A81,'ABA TB'!K:K)</f>
        <v/>
      </c>
      <c r="X81" s="60">
        <f>-SUMIF('ABA TB'!$T:$T,'ABA P&amp;L'!$A81,'ABA TB'!L:L)</f>
        <v/>
      </c>
      <c r="Y81" s="60">
        <f>-SUMIF('ABA TB'!$T:$T,'ABA P&amp;L'!$A81,'ABA TB'!M:M)</f>
        <v/>
      </c>
      <c r="Z81" s="60">
        <f>-SUMIF('ABA TB'!$T:$T,'ABA P&amp;L'!$A81,'ABA TB'!N:N)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60" t="inlineStr">
        <is>
          <t>In-Direct - Overheads</t>
        </is>
      </c>
      <c r="B82" s="18" t="n">
        <v>-207.38</v>
      </c>
      <c r="C82" s="18" t="n">
        <v>-209.48</v>
      </c>
      <c r="D82" s="18" t="n">
        <v>-297.02</v>
      </c>
      <c r="E82" s="18" t="n">
        <v>-336.94</v>
      </c>
      <c r="F82" s="18" t="n">
        <v>-305.64</v>
      </c>
      <c r="G82" s="18" t="n">
        <v>-470.57</v>
      </c>
      <c r="H82" s="18" t="n">
        <v>-209.18</v>
      </c>
      <c r="I82" s="18" t="n">
        <v>-267.38</v>
      </c>
      <c r="J82" s="18" t="n">
        <v>-206.78</v>
      </c>
      <c r="K82" s="18" t="n">
        <v>-338</v>
      </c>
      <c r="L82" s="18" t="n">
        <v>-363.83</v>
      </c>
      <c r="M82" s="18" t="n"/>
      <c r="N82" s="8" t="n"/>
      <c r="O82" s="60">
        <f>-SUMIF('ABA TB'!$T:$T,'ABA P&amp;L'!$A82,'ABA TB'!C:C)</f>
        <v/>
      </c>
      <c r="P82" s="60">
        <f>-SUMIF('ABA TB'!$T:$T,'ABA P&amp;L'!$A82,'ABA TB'!D:D)</f>
        <v/>
      </c>
      <c r="Q82" s="60">
        <f>-SUMIF('ABA TB'!$T:$T,'ABA P&amp;L'!$A82,'ABA TB'!E:E)</f>
        <v/>
      </c>
      <c r="R82" s="60">
        <f>-SUMIF('ABA TB'!$T:$T,'ABA P&amp;L'!$A82,'ABA TB'!F:F)</f>
        <v/>
      </c>
      <c r="S82" s="60">
        <f>-SUMIF('ABA TB'!$T:$T,'ABA P&amp;L'!$A82,'ABA TB'!G:G)</f>
        <v/>
      </c>
      <c r="T82" s="60">
        <f>-SUMIF('ABA TB'!$T:$T,'ABA P&amp;L'!$A82,'ABA TB'!H:H)</f>
        <v/>
      </c>
      <c r="U82" s="60">
        <f>-SUMIF('ABA TB'!$T:$T,'ABA P&amp;L'!$A82,'ABA TB'!I:I)</f>
        <v/>
      </c>
      <c r="V82" s="60">
        <f>-SUMIF('ABA TB'!$T:$T,'ABA P&amp;L'!$A82,'ABA TB'!J:J)</f>
        <v/>
      </c>
      <c r="W82" s="60">
        <f>-SUMIF('ABA TB'!$T:$T,'ABA P&amp;L'!$A82,'ABA TB'!K:K)</f>
        <v/>
      </c>
      <c r="X82" s="60">
        <f>-SUMIF('ABA TB'!$T:$T,'ABA P&amp;L'!$A82,'ABA TB'!L:L)</f>
        <v/>
      </c>
      <c r="Y82" s="60">
        <f>-SUMIF('ABA TB'!$T:$T,'ABA P&amp;L'!$A82,'ABA TB'!M:M)</f>
        <v/>
      </c>
      <c r="Z82" s="60">
        <f>-SUMIF('ABA TB'!$T:$T,'ABA P&amp;L'!$A82,'ABA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 ht="15.75" customHeight="1">
      <c r="A83" s="64" t="n"/>
      <c r="B83" s="64" t="n">
        <v>15777.83</v>
      </c>
      <c r="C83" s="64" t="n">
        <v>31494.3</v>
      </c>
      <c r="D83" s="64" t="n">
        <v>47767.26</v>
      </c>
      <c r="E83" s="64" t="n">
        <v>24032.97000000001</v>
      </c>
      <c r="F83" s="64" t="n">
        <v>13742.18000000001</v>
      </c>
      <c r="G83" s="64" t="n">
        <v>48519.64</v>
      </c>
      <c r="H83" s="64" t="n">
        <v>55791.83</v>
      </c>
      <c r="I83" s="64" t="n">
        <v>10399.73</v>
      </c>
      <c r="J83" s="64" t="n">
        <v>13761.58</v>
      </c>
      <c r="K83" s="64" t="n">
        <v>32819.77</v>
      </c>
      <c r="L83" s="64" t="n">
        <v>32964.98</v>
      </c>
      <c r="M83" s="64" t="n"/>
      <c r="N83" s="64" t="n"/>
      <c r="O83" s="64">
        <f>SUM(O77:O82)</f>
        <v/>
      </c>
      <c r="P83" s="64">
        <f>SUM(P77:P82)</f>
        <v/>
      </c>
      <c r="Q83" s="64">
        <f>SUM(Q77:Q82)</f>
        <v/>
      </c>
      <c r="R83" s="64">
        <f>SUM(R77:R82)</f>
        <v/>
      </c>
      <c r="S83" s="64">
        <f>SUM(S77:S82)</f>
        <v/>
      </c>
      <c r="T83" s="64">
        <f>SUM(T77:T82)</f>
        <v/>
      </c>
      <c r="U83" s="64">
        <f>SUM(U77:U82)</f>
        <v/>
      </c>
      <c r="V83" s="64">
        <f>SUM(V77:V82)</f>
        <v/>
      </c>
      <c r="W83" s="64">
        <f>SUM(W77:W82)</f>
        <v/>
      </c>
      <c r="X83" s="64">
        <f>SUM(X77:X82)</f>
        <v/>
      </c>
      <c r="Y83" s="64">
        <f>SUM(Y77:Y82)</f>
        <v/>
      </c>
      <c r="Z83" s="64">
        <f>SUM(Z77:Z82)</f>
        <v/>
      </c>
      <c r="AA83" s="8" t="n"/>
      <c r="AB83" s="8" t="n"/>
      <c r="AC83" s="64" t="n"/>
      <c r="AD83" s="64" t="n"/>
      <c r="AE83" s="64" t="n"/>
      <c r="AF83" s="64" t="n"/>
      <c r="AG83" s="64" t="n"/>
      <c r="AH83" s="64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 ht="15.75" customHeight="1">
      <c r="A84" s="8" t="n"/>
      <c r="B84" s="60" t="n">
        <v>0</v>
      </c>
      <c r="C84" s="60" t="n">
        <v>0</v>
      </c>
      <c r="D84" s="60" t="n">
        <v>0</v>
      </c>
      <c r="E84" s="60" t="n">
        <v>0</v>
      </c>
      <c r="F84" s="60" t="n">
        <v>0</v>
      </c>
      <c r="G84" s="60" t="n">
        <v>0</v>
      </c>
      <c r="H84" s="60" t="n">
        <v>0</v>
      </c>
      <c r="I84" s="60" t="n">
        <v>0</v>
      </c>
      <c r="J84" s="60" t="n">
        <v>0</v>
      </c>
      <c r="K84" s="60" t="n">
        <v>0</v>
      </c>
      <c r="L84" s="60" t="n">
        <v>0</v>
      </c>
      <c r="M84" s="8" t="n"/>
      <c r="N84" s="8" t="n"/>
      <c r="O84" s="60">
        <f>+O70-O83</f>
        <v/>
      </c>
      <c r="P84" s="60">
        <f>+P70-P83</f>
        <v/>
      </c>
      <c r="Q84" s="60">
        <f>+Q70-Q83</f>
        <v/>
      </c>
      <c r="R84" s="60">
        <f>+R70-R83</f>
        <v/>
      </c>
      <c r="S84" s="60">
        <f>+S70-S83</f>
        <v/>
      </c>
      <c r="T84" s="60">
        <f>+T70-T83</f>
        <v/>
      </c>
      <c r="U84" s="60">
        <f>+U70-U83</f>
        <v/>
      </c>
      <c r="V84" s="60">
        <f>+V70-V83</f>
        <v/>
      </c>
      <c r="W84" s="60">
        <f>+W70-W83</f>
        <v/>
      </c>
      <c r="X84" s="60">
        <f>+X70-X83</f>
        <v/>
      </c>
      <c r="Y84" s="60">
        <f>+Y70-Y83</f>
        <v/>
      </c>
      <c r="Z84" s="60">
        <f>+Z70-Z83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5" t="inlineStr">
        <is>
          <t>CHECK TO TB</t>
        </is>
      </c>
      <c r="B86" s="65" t="n">
        <v>0</v>
      </c>
      <c r="C86" s="65" t="n">
        <v>0</v>
      </c>
      <c r="D86" s="65" t="n">
        <v>0</v>
      </c>
      <c r="E86" s="65" t="n">
        <v>0</v>
      </c>
      <c r="F86" s="65" t="n">
        <v>0</v>
      </c>
      <c r="G86" s="65" t="n">
        <v>0</v>
      </c>
      <c r="H86" s="65" t="n">
        <v>0</v>
      </c>
      <c r="I86" s="65" t="n">
        <v>0</v>
      </c>
      <c r="J86" s="65" t="n">
        <v>0</v>
      </c>
      <c r="K86" s="65" t="n"/>
      <c r="L86" s="65" t="n"/>
      <c r="M86" s="65" t="n"/>
      <c r="N86" s="8" t="n"/>
      <c r="O86" s="65">
        <f>O83+O87</f>
        <v/>
      </c>
      <c r="P86" s="65">
        <f>P83+P87</f>
        <v/>
      </c>
      <c r="Q86" s="65">
        <f>Q83+Q87</f>
        <v/>
      </c>
      <c r="R86" s="65">
        <f>R83+R87</f>
        <v/>
      </c>
      <c r="S86" s="65">
        <f>S83+S87</f>
        <v/>
      </c>
      <c r="T86" s="65">
        <f>T83+T87</f>
        <v/>
      </c>
      <c r="U86" s="65">
        <f>U83+U87</f>
        <v/>
      </c>
      <c r="V86" s="65">
        <f>V83+V87</f>
        <v/>
      </c>
      <c r="W86" s="65">
        <f>W83+W87</f>
        <v/>
      </c>
      <c r="X86" s="65">
        <f>X83+X87</f>
        <v/>
      </c>
      <c r="Y86" s="65">
        <f>Y83+Y87</f>
        <v/>
      </c>
      <c r="Z86" s="65">
        <f>Z83+Z87</f>
        <v/>
      </c>
      <c r="AA86" s="8" t="n"/>
      <c r="AB86" s="8" t="n"/>
      <c r="AC86" s="65" t="n"/>
      <c r="AD86" s="65" t="n"/>
      <c r="AE86" s="65" t="n"/>
      <c r="AF86" s="65" t="n"/>
      <c r="AG86" s="65" t="n"/>
      <c r="AH86" s="65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5" t="n"/>
      <c r="B87" s="65" t="n">
        <v>-15777.83</v>
      </c>
      <c r="C87" s="65" t="n">
        <v>-31494.3</v>
      </c>
      <c r="D87" s="65" t="n">
        <v>-47767.26000000002</v>
      </c>
      <c r="E87" s="65" t="n">
        <v>-24032.97</v>
      </c>
      <c r="F87" s="65" t="n">
        <v>-13742.18</v>
      </c>
      <c r="G87" s="65" t="n">
        <v>-48519.64000000001</v>
      </c>
      <c r="H87" s="65" t="n">
        <v>-55791.83</v>
      </c>
      <c r="I87" s="65" t="n">
        <v>-10399.73</v>
      </c>
      <c r="J87" s="65" t="n">
        <v>-13761.58</v>
      </c>
      <c r="K87" s="65" t="n"/>
      <c r="L87" s="65" t="n"/>
      <c r="M87" s="65" t="n"/>
      <c r="N87" s="8" t="n"/>
      <c r="O87" s="65">
        <f>SUM('ABA TB'!C2:C44)</f>
        <v/>
      </c>
      <c r="P87" s="65">
        <f>SUM('ABA TB'!D2:D44)</f>
        <v/>
      </c>
      <c r="Q87" s="65">
        <f>SUM('ABA TB'!E2:E44)</f>
        <v/>
      </c>
      <c r="R87" s="65">
        <f>SUM('ABA TB'!F2:F44)</f>
        <v/>
      </c>
      <c r="S87" s="65">
        <f>SUM('ABA TB'!G2:G44)</f>
        <v/>
      </c>
      <c r="T87" s="65">
        <f>SUM('ABA TB'!H2:H44)</f>
        <v/>
      </c>
      <c r="U87" s="65">
        <f>SUM('ABA TB'!I2:I44)</f>
        <v/>
      </c>
      <c r="V87" s="65">
        <f>SUM('ABA TB'!J2:J44)</f>
        <v/>
      </c>
      <c r="W87" s="65">
        <f>SUM('ABA TB'!K2:K44)</f>
        <v/>
      </c>
      <c r="X87" s="65">
        <f>SUM('ABA TB'!L2:L44)</f>
        <v/>
      </c>
      <c r="Y87" s="65">
        <f>SUM('ABA TB'!M2:M44)</f>
        <v/>
      </c>
      <c r="Z87" s="65">
        <f>SUM('ABA TB'!N2:N44)</f>
        <v/>
      </c>
      <c r="AA87" s="8" t="n"/>
      <c r="AB87" s="8" t="n"/>
      <c r="AC87" s="65" t="n"/>
      <c r="AD87" s="65" t="n"/>
      <c r="AE87" s="65" t="n"/>
      <c r="AF87" s="65" t="n"/>
      <c r="AG87" s="65" t="n"/>
      <c r="AH87" s="65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22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285156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Bees Knees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>
        <f>SUM(O8:O9)</f>
        <v/>
      </c>
      <c r="P6" s="31">
        <f>SUM(P8:P9)</f>
        <v/>
      </c>
      <c r="Q6" s="31">
        <f>SUM(Q8:Q9)</f>
        <v/>
      </c>
      <c r="R6" s="31">
        <f>SUM(R8:R9)</f>
        <v/>
      </c>
      <c r="S6" s="31">
        <f>SUM(S8:S9)</f>
        <v/>
      </c>
      <c r="T6" s="31">
        <f>SUM(T8:T9)</f>
        <v/>
      </c>
      <c r="U6" s="31">
        <f>SUM(U8:U9)</f>
        <v/>
      </c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28822.91</v>
      </c>
      <c r="C8" s="35" t="n">
        <v>27527.48</v>
      </c>
      <c r="D8" s="35" t="n">
        <v>31969.83</v>
      </c>
      <c r="E8" s="35" t="n">
        <v>35157.71</v>
      </c>
      <c r="F8" s="35" t="n">
        <v>28423.99</v>
      </c>
      <c r="G8" s="35" t="n">
        <v>26822.46</v>
      </c>
      <c r="H8" s="35" t="n">
        <v>35071.73</v>
      </c>
      <c r="I8" s="35" t="n">
        <v>29292.16</v>
      </c>
      <c r="J8" s="35" t="n">
        <v>20414.75</v>
      </c>
      <c r="K8" s="35" t="n">
        <v>19819.13</v>
      </c>
      <c r="L8" s="35" t="n">
        <v>18348.67</v>
      </c>
      <c r="M8" s="35" t="n">
        <v>27249.99</v>
      </c>
      <c r="N8" s="36">
        <f>SUM(B8:M8)</f>
        <v/>
      </c>
      <c r="O8" s="37" t="n">
        <v>23326.89999999999</v>
      </c>
      <c r="P8" s="37" t="n">
        <v>20657.48</v>
      </c>
      <c r="Q8" s="37" t="n">
        <v>21148.33</v>
      </c>
      <c r="R8" s="37" t="n">
        <v>24565.23000000001</v>
      </c>
      <c r="S8" s="37" t="n">
        <v>21826.64</v>
      </c>
      <c r="T8" s="37" t="n">
        <v>23094.61</v>
      </c>
      <c r="U8" s="37" t="n">
        <v>27100.72</v>
      </c>
      <c r="V8" s="38" t="n">
        <v>22776</v>
      </c>
      <c r="W8" s="38" t="n">
        <v>16164</v>
      </c>
      <c r="X8" s="38" t="n">
        <v>15373</v>
      </c>
      <c r="Y8" s="38" t="n">
        <v>14600</v>
      </c>
      <c r="Z8" s="38" t="n">
        <v>19758</v>
      </c>
      <c r="AA8" s="36">
        <f>SUM(O8:U8)</f>
        <v/>
      </c>
      <c r="AB8" s="36">
        <f>SUM(O8:Z8)</f>
        <v/>
      </c>
      <c r="AC8" s="38" t="n">
        <v>33849.27</v>
      </c>
      <c r="AD8" s="38" t="n">
        <v>40863.29</v>
      </c>
      <c r="AE8" s="38" t="n">
        <v>33168.87</v>
      </c>
      <c r="AF8" s="38" t="n">
        <v>37302.1</v>
      </c>
      <c r="AG8" s="38" t="n">
        <v>39624.94</v>
      </c>
      <c r="AH8" s="38" t="n">
        <v>49227.72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8562.4</v>
      </c>
      <c r="C9" s="35" t="n">
        <v>8562.4</v>
      </c>
      <c r="D9" s="35" t="n">
        <v>33256.45</v>
      </c>
      <c r="E9" s="35" t="n">
        <v>10591.2</v>
      </c>
      <c r="F9" s="35" t="n">
        <v>10591.2</v>
      </c>
      <c r="G9" s="35" t="n">
        <v>21480.3</v>
      </c>
      <c r="H9" s="35" t="n">
        <v>21480.3</v>
      </c>
      <c r="I9" s="35" t="n">
        <v>0</v>
      </c>
      <c r="J9" s="35" t="n">
        <v>15872.22</v>
      </c>
      <c r="K9" s="35" t="n">
        <v>15872.22</v>
      </c>
      <c r="L9" s="35" t="n">
        <v>18615.75</v>
      </c>
      <c r="M9" s="35" t="n">
        <v>19798.35</v>
      </c>
      <c r="N9" s="36">
        <f>SUM(B9:M9)</f>
        <v/>
      </c>
      <c r="O9" s="37" t="n">
        <v>18772.32</v>
      </c>
      <c r="P9" s="37" t="n">
        <v>23544.12</v>
      </c>
      <c r="Q9" s="37" t="n">
        <v>23544.12</v>
      </c>
      <c r="R9" s="37" t="n">
        <v>16732.05</v>
      </c>
      <c r="S9" s="37" t="n">
        <v>16732.05</v>
      </c>
      <c r="T9" s="37" t="n">
        <v>18043.28</v>
      </c>
      <c r="U9" s="37" t="n">
        <v>18043.28</v>
      </c>
      <c r="V9" s="38" t="n"/>
      <c r="W9" s="38" t="n">
        <v>16184.02</v>
      </c>
      <c r="X9" s="38" t="n">
        <v>17636</v>
      </c>
      <c r="Y9" s="38" t="n">
        <v>17121</v>
      </c>
      <c r="Z9" s="38" t="n">
        <v>9939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100</v>
      </c>
      <c r="C10" s="35" t="n">
        <v>0</v>
      </c>
      <c r="D10" s="35" t="n">
        <v>100</v>
      </c>
      <c r="E10" s="35" t="n">
        <v>300</v>
      </c>
      <c r="F10" s="35" t="n">
        <v>0</v>
      </c>
      <c r="G10" s="35" t="n">
        <v>300</v>
      </c>
      <c r="H10" s="35" t="n">
        <v>0</v>
      </c>
      <c r="I10" s="35" t="n">
        <v>2568.76</v>
      </c>
      <c r="J10" s="35" t="n">
        <v>450</v>
      </c>
      <c r="K10" s="35" t="n">
        <v>150</v>
      </c>
      <c r="L10" s="35" t="n">
        <v>300</v>
      </c>
      <c r="M10" s="35" t="n">
        <v>300</v>
      </c>
      <c r="N10" s="36">
        <f>SUM(B10:M10)</f>
        <v/>
      </c>
      <c r="O10" s="37" t="n">
        <v>650</v>
      </c>
      <c r="P10" s="37" t="n">
        <v>150</v>
      </c>
      <c r="Q10" s="37" t="n">
        <v>300</v>
      </c>
      <c r="R10" s="37" t="n">
        <v>150</v>
      </c>
      <c r="S10" s="37" t="n">
        <v>150</v>
      </c>
      <c r="T10" s="37" t="n">
        <v>0</v>
      </c>
      <c r="U10" s="37" t="n">
        <v>300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37485.31</v>
      </c>
      <c r="C11" s="42" t="n">
        <v>36089.88</v>
      </c>
      <c r="D11" s="42" t="n">
        <v>65326.28</v>
      </c>
      <c r="E11" s="42" t="n">
        <v>46048.91</v>
      </c>
      <c r="F11" s="42" t="n">
        <v>39015.19</v>
      </c>
      <c r="G11" s="42" t="n">
        <v>48602.76</v>
      </c>
      <c r="H11" s="42" t="n">
        <v>56552.03</v>
      </c>
      <c r="I11" s="42" t="n">
        <v>31860.92</v>
      </c>
      <c r="J11" s="42" t="n">
        <v>36736.97</v>
      </c>
      <c r="K11" s="42" t="n">
        <v>35841.35</v>
      </c>
      <c r="L11" s="42" t="n">
        <v>37264.42</v>
      </c>
      <c r="M11" s="42" t="n">
        <v>47348.34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17812.5</v>
      </c>
      <c r="C16" s="35" t="n">
        <v>17339.68</v>
      </c>
      <c r="D16" s="35" t="n">
        <v>20177.72</v>
      </c>
      <c r="E16" s="35" t="n">
        <v>22232.54</v>
      </c>
      <c r="F16" s="35" t="n">
        <v>22270.94</v>
      </c>
      <c r="G16" s="35" t="n">
        <v>23588.71</v>
      </c>
      <c r="H16" s="35" t="n">
        <v>23343.5</v>
      </c>
      <c r="I16" s="35" t="n">
        <v>23511.85</v>
      </c>
      <c r="J16" s="35" t="n">
        <v>20681.56</v>
      </c>
      <c r="K16" s="35" t="n">
        <v>22301.58</v>
      </c>
      <c r="L16" s="35" t="n">
        <v>19748.45</v>
      </c>
      <c r="M16" s="35" t="n">
        <v>21714.13</v>
      </c>
      <c r="N16" s="36">
        <f>SUM(B16:M16)</f>
        <v/>
      </c>
      <c r="O16" s="37" t="n">
        <v>22032.4</v>
      </c>
      <c r="P16" s="37" t="n">
        <v>23448.09</v>
      </c>
      <c r="Q16" s="37" t="n">
        <v>21766.47</v>
      </c>
      <c r="R16" s="37" t="n">
        <v>24395.78</v>
      </c>
      <c r="S16" s="37" t="n">
        <v>23187.74</v>
      </c>
      <c r="T16" s="37" t="n">
        <v>23614.63</v>
      </c>
      <c r="U16" s="37" t="n">
        <v>23226.6</v>
      </c>
      <c r="V16" s="38" t="n">
        <v>23226.6</v>
      </c>
      <c r="W16" s="38" t="n">
        <v>23226.6</v>
      </c>
      <c r="X16" s="38" t="n">
        <v>23226.6</v>
      </c>
      <c r="Y16" s="38" t="n">
        <v>23226.6</v>
      </c>
      <c r="Z16" s="38" t="n">
        <v>23226.6</v>
      </c>
      <c r="AA16" s="36">
        <f>SUM(O16:U16)</f>
        <v/>
      </c>
      <c r="AB16" s="36">
        <f>SUM(O16:Z16)</f>
        <v/>
      </c>
      <c r="AC16" s="38" t="n">
        <v>23226.6</v>
      </c>
      <c r="AD16" s="38" t="n">
        <v>23226.6</v>
      </c>
      <c r="AE16" s="38" t="n">
        <v>23226.6</v>
      </c>
      <c r="AF16" s="38" t="n">
        <v>23226.6</v>
      </c>
      <c r="AG16" s="38" t="n">
        <v>23226.6</v>
      </c>
      <c r="AH16" s="38" t="n">
        <v>23226.6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1475.26</v>
      </c>
      <c r="C17" s="35" t="n">
        <v>1417.07</v>
      </c>
      <c r="D17" s="35" t="n">
        <v>1686.46</v>
      </c>
      <c r="E17" s="35" t="n">
        <v>2563.92</v>
      </c>
      <c r="F17" s="35" t="n">
        <v>2567.89</v>
      </c>
      <c r="G17" s="35" t="n">
        <v>2767.34</v>
      </c>
      <c r="H17" s="35" t="n">
        <v>2749.77</v>
      </c>
      <c r="I17" s="35" t="n">
        <v>2755.82</v>
      </c>
      <c r="J17" s="35" t="n">
        <v>2340.87</v>
      </c>
      <c r="K17" s="35" t="n">
        <v>2518.95</v>
      </c>
      <c r="L17" s="35" t="n">
        <v>2309.57</v>
      </c>
      <c r="M17" s="35" t="n">
        <v>2480.48</v>
      </c>
      <c r="N17" s="36">
        <f>SUM(B17:M17)</f>
        <v/>
      </c>
      <c r="O17" s="37" t="n">
        <v>2577.7</v>
      </c>
      <c r="P17" s="37" t="n">
        <v>2679.93</v>
      </c>
      <c r="Q17" s="37" t="n">
        <v>2363.36</v>
      </c>
      <c r="R17" s="37" t="n">
        <v>2662.5</v>
      </c>
      <c r="S17" s="37" t="n">
        <v>2390.53</v>
      </c>
      <c r="T17" s="37" t="n">
        <v>2246.22</v>
      </c>
      <c r="U17" s="37" t="n">
        <v>2177.1</v>
      </c>
      <c r="V17" s="38" t="n">
        <v>2177.1</v>
      </c>
      <c r="W17" s="38" t="n">
        <v>2177.1</v>
      </c>
      <c r="X17" s="38" t="n">
        <v>2177.1</v>
      </c>
      <c r="Y17" s="38" t="n">
        <v>2177.1</v>
      </c>
      <c r="Z17" s="38" t="n">
        <v>2177.1</v>
      </c>
      <c r="AA17" s="36">
        <f>SUM(O17:U17)</f>
        <v/>
      </c>
      <c r="AB17" s="36">
        <f>SUM(O17:Z17)</f>
        <v/>
      </c>
      <c r="AC17" s="38" t="n">
        <v>2177.1</v>
      </c>
      <c r="AD17" s="38" t="n">
        <v>2177.1</v>
      </c>
      <c r="AE17" s="38" t="n">
        <v>2177.1</v>
      </c>
      <c r="AF17" s="38" t="n">
        <v>2177.1</v>
      </c>
      <c r="AG17" s="38" t="n">
        <v>2177.1</v>
      </c>
      <c r="AH17" s="38" t="n">
        <v>2177.1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347.13</v>
      </c>
      <c r="C18" s="35" t="n">
        <v>330.13</v>
      </c>
      <c r="D18" s="35" t="n">
        <v>333.41</v>
      </c>
      <c r="E18" s="35" t="n">
        <v>342.51</v>
      </c>
      <c r="F18" s="35" t="n">
        <v>397.67</v>
      </c>
      <c r="G18" s="35" t="n">
        <v>473.08</v>
      </c>
      <c r="H18" s="35" t="n">
        <v>489.34</v>
      </c>
      <c r="I18" s="35" t="n">
        <v>523.3099999999999</v>
      </c>
      <c r="J18" s="35" t="n">
        <v>440.32</v>
      </c>
      <c r="K18" s="35" t="n">
        <v>418.9</v>
      </c>
      <c r="L18" s="35" t="n">
        <v>382.73</v>
      </c>
      <c r="M18" s="35" t="n">
        <v>421.5700000000001</v>
      </c>
      <c r="N18" s="36">
        <f>SUM(B18:M18)</f>
        <v/>
      </c>
      <c r="O18" s="37" t="n">
        <v>404.05</v>
      </c>
      <c r="P18" s="37" t="n">
        <v>451.49</v>
      </c>
      <c r="Q18" s="37" t="n">
        <v>394.61</v>
      </c>
      <c r="R18" s="37" t="n">
        <v>507.74</v>
      </c>
      <c r="S18" s="37" t="n">
        <v>453.36</v>
      </c>
      <c r="T18" s="37" t="n">
        <v>427.58</v>
      </c>
      <c r="U18" s="37" t="n">
        <v>413.76</v>
      </c>
      <c r="V18" s="38" t="n">
        <v>413.76</v>
      </c>
      <c r="W18" s="38" t="n">
        <v>413.76</v>
      </c>
      <c r="X18" s="38" t="n">
        <v>413.76</v>
      </c>
      <c r="Y18" s="38" t="n">
        <v>413.76</v>
      </c>
      <c r="Z18" s="38" t="n">
        <v>413.76</v>
      </c>
      <c r="AA18" s="36">
        <f>SUM(O18:U18)</f>
        <v/>
      </c>
      <c r="AB18" s="36">
        <f>SUM(O18:Z18)</f>
        <v/>
      </c>
      <c r="AC18" s="38" t="n">
        <v>413.76</v>
      </c>
      <c r="AD18" s="38" t="n">
        <v>413.76</v>
      </c>
      <c r="AE18" s="38" t="n">
        <v>413.76</v>
      </c>
      <c r="AF18" s="38" t="n">
        <v>413.76</v>
      </c>
      <c r="AG18" s="38" t="n">
        <v>413.76</v>
      </c>
      <c r="AH18" s="38" t="n">
        <v>413.76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59.28</v>
      </c>
      <c r="D19" s="35" t="n">
        <v>0</v>
      </c>
      <c r="E19" s="35" t="n">
        <v>105.18</v>
      </c>
      <c r="F19" s="35" t="n">
        <v>155.4</v>
      </c>
      <c r="G19" s="35" t="n">
        <v>104.69</v>
      </c>
      <c r="H19" s="35" t="n">
        <v>11.99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401.76</v>
      </c>
      <c r="N19" s="36">
        <f>SUM(B19:M19)</f>
        <v/>
      </c>
      <c r="O19" s="37" t="n">
        <v>0</v>
      </c>
      <c r="P19" s="37" t="n">
        <v>38.12</v>
      </c>
      <c r="Q19" s="37" t="n">
        <v>85.02</v>
      </c>
      <c r="R19" s="37" t="n">
        <v>51.5</v>
      </c>
      <c r="S19" s="37" t="n">
        <v>0</v>
      </c>
      <c r="T19" s="37" t="n">
        <v>0</v>
      </c>
      <c r="U19" s="37" t="n">
        <v>110.94</v>
      </c>
      <c r="V19" s="38" t="n">
        <v>50</v>
      </c>
      <c r="W19" s="38" t="n">
        <v>50</v>
      </c>
      <c r="X19" s="38" t="n">
        <v>50</v>
      </c>
      <c r="Y19" s="38" t="n">
        <v>50</v>
      </c>
      <c r="Z19" s="38" t="n">
        <v>50</v>
      </c>
      <c r="AA19" s="36">
        <f>SUM(O19:U19)</f>
        <v/>
      </c>
      <c r="AB19" s="36">
        <f>SUM(O19:Z19)</f>
        <v/>
      </c>
      <c r="AC19" s="38" t="n">
        <v>50</v>
      </c>
      <c r="AD19" s="38" t="n">
        <v>50</v>
      </c>
      <c r="AE19" s="38" t="n">
        <v>50</v>
      </c>
      <c r="AF19" s="38" t="n">
        <v>50</v>
      </c>
      <c r="AG19" s="38" t="n">
        <v>50</v>
      </c>
      <c r="AH19" s="38" t="n">
        <v>50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57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24</v>
      </c>
      <c r="H20" s="35" t="n">
        <v>0</v>
      </c>
      <c r="I20" s="35" t="n">
        <v>33</v>
      </c>
      <c r="J20" s="35" t="n">
        <v>0</v>
      </c>
      <c r="K20" s="35" t="n">
        <v>684</v>
      </c>
      <c r="L20" s="35" t="n">
        <v>172.6</v>
      </c>
      <c r="M20" s="35" t="n">
        <v>384</v>
      </c>
      <c r="N20" s="36">
        <f>SUM(B20:M20)</f>
        <v/>
      </c>
      <c r="O20" s="37" t="n">
        <v>0</v>
      </c>
      <c r="P20" s="37" t="n">
        <v>114</v>
      </c>
      <c r="Q20" s="37" t="n">
        <v>480</v>
      </c>
      <c r="R20" s="37" t="n">
        <v>0</v>
      </c>
      <c r="S20" s="37" t="n">
        <v>0</v>
      </c>
      <c r="T20" s="37" t="n">
        <v>0</v>
      </c>
      <c r="U20" s="37" t="n">
        <v>83.88</v>
      </c>
      <c r="V20" s="38" t="n">
        <v>0</v>
      </c>
      <c r="W20" s="38" t="n">
        <v>0</v>
      </c>
      <c r="X20" s="38" t="n">
        <v>0</v>
      </c>
      <c r="Y20" s="38" t="n">
        <v>0</v>
      </c>
      <c r="Z20" s="38" t="n">
        <v>0</v>
      </c>
      <c r="AA20" s="36">
        <f>SUM(O20:U20)</f>
        <v/>
      </c>
      <c r="AB20" s="36">
        <f>SUM(O20:Z20)</f>
        <v/>
      </c>
      <c r="AC20" s="38" t="n">
        <v>0</v>
      </c>
      <c r="AD20" s="38" t="n">
        <v>0</v>
      </c>
      <c r="AE20" s="38" t="n">
        <v>0</v>
      </c>
      <c r="AF20" s="38" t="n">
        <v>0</v>
      </c>
      <c r="AG20" s="38" t="n">
        <v>0</v>
      </c>
      <c r="AH20" s="38" t="n">
        <v>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53.68</v>
      </c>
      <c r="C21" s="35" t="n">
        <v>350.21</v>
      </c>
      <c r="D21" s="35" t="n">
        <v>17.06</v>
      </c>
      <c r="E21" s="35" t="n">
        <v>46.05</v>
      </c>
      <c r="F21" s="35" t="n">
        <v>300.11</v>
      </c>
      <c r="G21" s="35" t="n">
        <v>272.05</v>
      </c>
      <c r="H21" s="35" t="n">
        <v>224.64</v>
      </c>
      <c r="I21" s="35" t="n">
        <v>246.79</v>
      </c>
      <c r="J21" s="35" t="n">
        <v>129.2</v>
      </c>
      <c r="K21" s="35" t="n">
        <v>88.43000000000001</v>
      </c>
      <c r="L21" s="35" t="n">
        <v>342.9</v>
      </c>
      <c r="M21" s="35" t="n">
        <v>243.13</v>
      </c>
      <c r="N21" s="36">
        <f>SUM(B21:M21)</f>
        <v/>
      </c>
      <c r="O21" s="37" t="n">
        <v>727.6899999999999</v>
      </c>
      <c r="P21" s="37" t="n">
        <v>91.99000000000001</v>
      </c>
      <c r="Q21" s="37" t="n">
        <v>354.17</v>
      </c>
      <c r="R21" s="37" t="n">
        <v>348.94</v>
      </c>
      <c r="S21" s="37" t="n">
        <v>77.08</v>
      </c>
      <c r="T21" s="37" t="n">
        <v>154.95</v>
      </c>
      <c r="U21" s="37" t="n">
        <v>550.89</v>
      </c>
      <c r="V21" s="38" t="n">
        <v>80</v>
      </c>
      <c r="W21" s="38" t="n">
        <v>80</v>
      </c>
      <c r="X21" s="38" t="n">
        <v>80</v>
      </c>
      <c r="Y21" s="38" t="n">
        <v>80</v>
      </c>
      <c r="Z21" s="38" t="n">
        <v>80</v>
      </c>
      <c r="AA21" s="36">
        <f>SUM(O21:U21)</f>
        <v/>
      </c>
      <c r="AB21" s="36">
        <f>SUM(O21:Z21)</f>
        <v/>
      </c>
      <c r="AC21" s="38" t="n">
        <v>80</v>
      </c>
      <c r="AD21" s="38" t="n">
        <v>80</v>
      </c>
      <c r="AE21" s="38" t="n">
        <v>80</v>
      </c>
      <c r="AF21" s="38" t="n">
        <v>80</v>
      </c>
      <c r="AG21" s="38" t="n">
        <v>80</v>
      </c>
      <c r="AH21" s="38" t="n">
        <v>80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3861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SUMIF('BK TB '!$R:$R,'BK P&amp;L'!$A22,'BK TB '!C:C)</f>
        <v/>
      </c>
      <c r="P22" s="37">
        <f>SUMIF('BK TB '!$R:$R,'BK P&amp;L'!$A22,'BK TB '!D:D)</f>
        <v/>
      </c>
      <c r="Q22" s="37">
        <f>SUMIF('BK TB '!$R:$R,'BK P&amp;L'!$A22,'BK TB '!E:E)</f>
        <v/>
      </c>
      <c r="R22" s="37">
        <f>SUMIF('BK TB '!$R:$R,'BK P&amp;L'!$A22,'BK TB '!F:F)</f>
        <v/>
      </c>
      <c r="S22" s="37">
        <f>SUMIF('BK TB '!$R:$R,'BK P&amp;L'!$A22,'BK TB '!G:G)</f>
        <v/>
      </c>
      <c r="T22" s="37">
        <f>SUMIF('BK TB '!$R:$R,'BK P&amp;L'!$A22,'BK TB '!H:H)</f>
        <v/>
      </c>
      <c r="U22" s="37">
        <f>SUMIF('BK TB '!$R:$R,'BK P&amp;L'!$A22,'BK TB 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12.8</v>
      </c>
      <c r="I23" s="35" t="n">
        <v>0</v>
      </c>
      <c r="J23" s="35" t="n">
        <v>22.88</v>
      </c>
      <c r="K23" s="35" t="n">
        <v>0</v>
      </c>
      <c r="L23" s="35" t="n">
        <v>50.97</v>
      </c>
      <c r="M23" s="35" t="n">
        <v>88.44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55.97</v>
      </c>
      <c r="S23" s="37" t="n">
        <v>47.98</v>
      </c>
      <c r="T23" s="37" t="n">
        <v>7.99</v>
      </c>
      <c r="U23" s="37" t="n">
        <v>38.98</v>
      </c>
      <c r="V23" s="38" t="n">
        <v>33</v>
      </c>
      <c r="W23" s="38" t="n">
        <v>33</v>
      </c>
      <c r="X23" s="38" t="n">
        <v>33</v>
      </c>
      <c r="Y23" s="38" t="n">
        <v>33</v>
      </c>
      <c r="Z23" s="38" t="n">
        <v>33</v>
      </c>
      <c r="AA23" s="36">
        <f>SUM(O23:U23)</f>
        <v/>
      </c>
      <c r="AB23" s="36">
        <f>SUM(O23:Z23)</f>
        <v/>
      </c>
      <c r="AC23" s="38" t="n">
        <v>33</v>
      </c>
      <c r="AD23" s="38" t="n">
        <v>33</v>
      </c>
      <c r="AE23" s="38" t="n">
        <v>33</v>
      </c>
      <c r="AF23" s="38" t="n">
        <v>33</v>
      </c>
      <c r="AG23" s="38" t="n">
        <v>33</v>
      </c>
      <c r="AH23" s="38" t="n">
        <v>33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475.44</v>
      </c>
      <c r="L24" s="35" t="n">
        <v>0</v>
      </c>
      <c r="M24" s="35" t="n">
        <v>0</v>
      </c>
      <c r="N24" s="36">
        <f>SUM(B24:M24)</f>
        <v/>
      </c>
      <c r="O24" s="37">
        <f>SUMIF('BK TB '!$R:$R,'BK P&amp;L'!$A24,'BK TB '!C:C)</f>
        <v/>
      </c>
      <c r="P24" s="37">
        <f>SUMIF('BK TB '!$R:$R,'BK P&amp;L'!$A24,'BK TB '!D:D)</f>
        <v/>
      </c>
      <c r="Q24" s="37">
        <f>SUMIF('BK TB '!$R:$R,'BK P&amp;L'!$A24,'BK TB '!E:E)</f>
        <v/>
      </c>
      <c r="R24" s="37">
        <f>SUMIF('BK TB '!$R:$R,'BK P&amp;L'!$A24,'BK TB '!F:F)</f>
        <v/>
      </c>
      <c r="S24" s="37">
        <f>SUMIF('BK TB '!$R:$R,'BK P&amp;L'!$A24,'BK TB '!G:G)</f>
        <v/>
      </c>
      <c r="T24" s="37">
        <f>SUMIF('BK TB '!$R:$R,'BK P&amp;L'!$A24,'BK TB '!H:H)</f>
        <v/>
      </c>
      <c r="U24" s="37">
        <f>SUMIF('BK TB '!$R:$R,'BK P&amp;L'!$A24,'BK TB 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19745.57</v>
      </c>
      <c r="C25" s="42" t="n">
        <v>19496.37</v>
      </c>
      <c r="D25" s="42" t="n">
        <v>22214.65</v>
      </c>
      <c r="E25" s="42" t="n">
        <v>25290.2</v>
      </c>
      <c r="F25" s="42" t="n">
        <v>25692.01</v>
      </c>
      <c r="G25" s="42" t="n">
        <v>27229.87</v>
      </c>
      <c r="H25" s="42" t="n">
        <v>26832.04</v>
      </c>
      <c r="I25" s="42" t="n">
        <v>27070.77</v>
      </c>
      <c r="J25" s="42" t="n">
        <v>27475.83</v>
      </c>
      <c r="K25" s="42" t="n">
        <v>26487.3</v>
      </c>
      <c r="L25" s="42" t="n">
        <v>23007.22</v>
      </c>
      <c r="M25" s="42" t="n">
        <v>25733.51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1233.99</v>
      </c>
      <c r="C27" s="35" t="n">
        <v>1338.85</v>
      </c>
      <c r="D27" s="35" t="n">
        <v>1128.13</v>
      </c>
      <c r="E27" s="35" t="n">
        <v>869.38</v>
      </c>
      <c r="F27" s="35" t="n">
        <v>1023.76</v>
      </c>
      <c r="G27" s="35" t="n">
        <v>988.9300000000001</v>
      </c>
      <c r="H27" s="35" t="n">
        <v>877.88</v>
      </c>
      <c r="I27" s="35" t="n">
        <v>1121.08</v>
      </c>
      <c r="J27" s="35" t="n">
        <v>1015.23</v>
      </c>
      <c r="K27" s="35" t="n">
        <v>1080.66</v>
      </c>
      <c r="L27" s="35" t="n">
        <v>1029.29</v>
      </c>
      <c r="M27" s="35" t="n">
        <v>1043.87</v>
      </c>
      <c r="N27" s="36">
        <f>SUM(B27:M27)</f>
        <v/>
      </c>
      <c r="O27" s="37" t="n">
        <v>930.5700000000001</v>
      </c>
      <c r="P27" s="37" t="n">
        <v>1165.35</v>
      </c>
      <c r="Q27" s="37" t="n">
        <v>1341.06</v>
      </c>
      <c r="R27" s="37" t="n">
        <v>1180.59</v>
      </c>
      <c r="S27" s="37" t="n">
        <v>1129.19</v>
      </c>
      <c r="T27" s="37" t="n">
        <v>1238.46</v>
      </c>
      <c r="U27" s="37" t="n">
        <v>1343.35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85.72</v>
      </c>
      <c r="C28" s="35" t="n">
        <v>41.48999999999999</v>
      </c>
      <c r="D28" s="35" t="n">
        <v>55.22</v>
      </c>
      <c r="E28" s="35" t="n">
        <v>133.77</v>
      </c>
      <c r="F28" s="35" t="n">
        <v>115.2</v>
      </c>
      <c r="G28" s="35" t="n">
        <v>40.97</v>
      </c>
      <c r="H28" s="35" t="n">
        <v>119.18</v>
      </c>
      <c r="I28" s="35" t="n">
        <v>0</v>
      </c>
      <c r="J28" s="35" t="n">
        <v>937.3900000000001</v>
      </c>
      <c r="K28" s="35" t="n">
        <v>75.81999999999999</v>
      </c>
      <c r="L28" s="35" t="n">
        <v>34</v>
      </c>
      <c r="M28" s="35" t="n">
        <v>44.21</v>
      </c>
      <c r="N28" s="36">
        <f>SUM(B28:M28)</f>
        <v/>
      </c>
      <c r="O28" s="37" t="n">
        <v>158.33</v>
      </c>
      <c r="P28" s="37" t="n">
        <v>73.69</v>
      </c>
      <c r="Q28" s="37" t="n">
        <v>139.02</v>
      </c>
      <c r="R28" s="37" t="n">
        <v>64.22999999999999</v>
      </c>
      <c r="S28" s="37" t="n">
        <v>65.86</v>
      </c>
      <c r="T28" s="37" t="n">
        <v>40.92</v>
      </c>
      <c r="U28" s="37" t="n">
        <v>61.05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17.82</v>
      </c>
      <c r="C29" s="35" t="n">
        <v>8.99</v>
      </c>
      <c r="D29" s="35" t="n">
        <v>190.08</v>
      </c>
      <c r="E29" s="35" t="n">
        <v>3.2</v>
      </c>
      <c r="F29" s="35" t="n">
        <v>10.24</v>
      </c>
      <c r="G29" s="35" t="n">
        <v>47.9</v>
      </c>
      <c r="H29" s="35" t="n">
        <v>43.28</v>
      </c>
      <c r="I29" s="35" t="n">
        <v>42.43</v>
      </c>
      <c r="J29" s="35" t="n">
        <v>148.76</v>
      </c>
      <c r="K29" s="35" t="n">
        <v>21.97</v>
      </c>
      <c r="L29" s="35" t="n">
        <v>152.01</v>
      </c>
      <c r="M29" s="35" t="n">
        <v>29.59</v>
      </c>
      <c r="N29" s="36">
        <f>SUM(B29:M29)</f>
        <v/>
      </c>
      <c r="O29" s="37" t="n">
        <v>36.95</v>
      </c>
      <c r="P29" s="37" t="n">
        <v>132.23</v>
      </c>
      <c r="Q29" s="37" t="n">
        <v>184.1</v>
      </c>
      <c r="R29" s="37" t="n">
        <v>15.97</v>
      </c>
      <c r="S29" s="37" t="n">
        <v>0</v>
      </c>
      <c r="T29" s="37" t="n">
        <v>39.16</v>
      </c>
      <c r="U29" s="37" t="n">
        <v>29.81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0.004160000000000001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7.64</v>
      </c>
      <c r="C30" s="35" t="n">
        <v>23.2</v>
      </c>
      <c r="D30" s="35" t="n">
        <v>31.14</v>
      </c>
      <c r="E30" s="35" t="n">
        <v>14.94</v>
      </c>
      <c r="F30" s="35" t="n">
        <v>11.95</v>
      </c>
      <c r="G30" s="35" t="n">
        <v>23.88</v>
      </c>
      <c r="H30" s="35" t="n">
        <v>107.69</v>
      </c>
      <c r="I30" s="35" t="n">
        <v>201.64</v>
      </c>
      <c r="J30" s="35" t="n">
        <v>13.58</v>
      </c>
      <c r="K30" s="35" t="n">
        <v>61.35</v>
      </c>
      <c r="L30" s="35" t="n">
        <v>13.78</v>
      </c>
      <c r="M30" s="35" t="n">
        <v>158.03</v>
      </c>
      <c r="N30" s="36">
        <f>SUM(B30:M30)</f>
        <v/>
      </c>
      <c r="O30" s="37" t="n">
        <v>72.57000000000001</v>
      </c>
      <c r="P30" s="37" t="n">
        <v>85.80000000000001</v>
      </c>
      <c r="Q30" s="37" t="n">
        <v>0</v>
      </c>
      <c r="R30" s="37" t="n">
        <v>49.71</v>
      </c>
      <c r="S30" s="37" t="n">
        <v>47.25</v>
      </c>
      <c r="T30" s="37" t="n">
        <v>25.12</v>
      </c>
      <c r="U30" s="37" t="n">
        <v>15.98</v>
      </c>
      <c r="V30" s="38" t="n">
        <v>50</v>
      </c>
      <c r="W30" s="38" t="n">
        <v>50</v>
      </c>
      <c r="X30" s="38" t="n">
        <v>50</v>
      </c>
      <c r="Y30" s="38" t="n">
        <v>50</v>
      </c>
      <c r="Z30" s="38" t="n">
        <v>50</v>
      </c>
      <c r="AA30" s="36">
        <f>SUM(O30:U30)</f>
        <v/>
      </c>
      <c r="AB30" s="36">
        <f>SUM(O30:Z30)</f>
        <v/>
      </c>
      <c r="AC30" s="38" t="n">
        <v>50</v>
      </c>
      <c r="AD30" s="38" t="n">
        <v>50</v>
      </c>
      <c r="AE30" s="38" t="n">
        <v>50</v>
      </c>
      <c r="AF30" s="38" t="n">
        <v>50</v>
      </c>
      <c r="AG30" s="38" t="n">
        <v>50</v>
      </c>
      <c r="AH30" s="38" t="n">
        <v>50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7.99</v>
      </c>
      <c r="C31" s="35" t="n">
        <v>25.96</v>
      </c>
      <c r="D31" s="35" t="n">
        <v>0</v>
      </c>
      <c r="E31" s="35" t="n">
        <v>57.87</v>
      </c>
      <c r="F31" s="35" t="n">
        <v>0</v>
      </c>
      <c r="G31" s="35" t="n">
        <v>152.18</v>
      </c>
      <c r="H31" s="35" t="n">
        <v>18.98</v>
      </c>
      <c r="I31" s="35" t="n">
        <v>40.86</v>
      </c>
      <c r="J31" s="35" t="n">
        <v>0</v>
      </c>
      <c r="K31" s="35" t="n">
        <v>337.45</v>
      </c>
      <c r="L31" s="35" t="n">
        <v>777.25</v>
      </c>
      <c r="M31" s="35" t="n">
        <v>160.58</v>
      </c>
      <c r="N31" s="36">
        <f>SUM(B31:M31)</f>
        <v/>
      </c>
      <c r="O31" s="37" t="n">
        <v>42.68</v>
      </c>
      <c r="P31" s="37" t="n">
        <v>26.97</v>
      </c>
      <c r="Q31" s="37" t="n">
        <v>40.95</v>
      </c>
      <c r="R31" s="37" t="n">
        <v>46.3</v>
      </c>
      <c r="S31" s="37" t="n">
        <v>49.99</v>
      </c>
      <c r="T31" s="37" t="n">
        <v>44.99</v>
      </c>
      <c r="U31" s="37" t="n">
        <v>0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57.29</v>
      </c>
      <c r="C32" s="35" t="n">
        <v>0</v>
      </c>
      <c r="D32" s="35" t="n">
        <v>187.84</v>
      </c>
      <c r="E32" s="35" t="n">
        <v>89.67</v>
      </c>
      <c r="F32" s="35" t="n">
        <v>67.45999999999999</v>
      </c>
      <c r="G32" s="35" t="n">
        <v>182.26</v>
      </c>
      <c r="H32" s="35" t="n">
        <v>260.64</v>
      </c>
      <c r="I32" s="35" t="n">
        <v>87.45</v>
      </c>
      <c r="J32" s="35" t="n">
        <v>226.34</v>
      </c>
      <c r="K32" s="35" t="n">
        <v>71.45</v>
      </c>
      <c r="L32" s="35" t="n">
        <v>328.1</v>
      </c>
      <c r="M32" s="35" t="n">
        <v>161.95</v>
      </c>
      <c r="N32" s="36">
        <f>SUM(B32:M32)</f>
        <v/>
      </c>
      <c r="O32" s="37" t="n">
        <v>175.68</v>
      </c>
      <c r="P32" s="37" t="n">
        <v>336.46</v>
      </c>
      <c r="Q32" s="37" t="n">
        <v>254.99</v>
      </c>
      <c r="R32" s="37" t="n">
        <v>144.3</v>
      </c>
      <c r="S32" s="37" t="n">
        <v>200.22</v>
      </c>
      <c r="T32" s="37" t="n">
        <v>395.74</v>
      </c>
      <c r="U32" s="37" t="n">
        <v>20.35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SUMIF('BK TB '!$R:$R,'BK P&amp;L'!$A33,'BK TB '!C:C)</f>
        <v/>
      </c>
      <c r="P33" s="37">
        <f>SUMIF('BK TB '!$R:$R,'BK P&amp;L'!$A33,'BK TB '!D:D)</f>
        <v/>
      </c>
      <c r="Q33" s="37">
        <f>SUMIF('BK TB '!$R:$R,'BK P&amp;L'!$A33,'BK TB '!E:E)</f>
        <v/>
      </c>
      <c r="R33" s="37">
        <f>SUMIF('BK TB '!$R:$R,'BK P&amp;L'!$A33,'BK TB '!F:F)</f>
        <v/>
      </c>
      <c r="S33" s="37">
        <f>SUMIF('BK TB '!$R:$R,'BK P&amp;L'!$A33,'BK TB '!G:G)</f>
        <v/>
      </c>
      <c r="T33" s="37">
        <f>SUMIF('BK TB '!$R:$R,'BK P&amp;L'!$A33,'BK TB '!H:H)</f>
        <v/>
      </c>
      <c r="U33" s="37">
        <f>SUMIF('BK TB '!$R:$R,'BK P&amp;L'!$A33,'BK TB 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1410.45</v>
      </c>
      <c r="C34" s="42" t="n">
        <v>1438.49</v>
      </c>
      <c r="D34" s="42" t="n">
        <v>1592.41</v>
      </c>
      <c r="E34" s="42" t="n">
        <v>1168.83</v>
      </c>
      <c r="F34" s="42" t="n">
        <v>1228.61</v>
      </c>
      <c r="G34" s="42" t="n">
        <v>1436.12</v>
      </c>
      <c r="H34" s="42" t="n">
        <v>1427.65</v>
      </c>
      <c r="I34" s="42" t="n">
        <v>1493.46</v>
      </c>
      <c r="J34" s="42" t="n">
        <v>2341.3</v>
      </c>
      <c r="K34" s="42" t="n">
        <v>1648.7</v>
      </c>
      <c r="L34" s="42" t="n">
        <v>2334.43</v>
      </c>
      <c r="M34" s="42" t="n">
        <v>1598.23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SUMIF('BK TB '!$R:$R,'BK P&amp;L'!$A36,'BK TB '!C:C)</f>
        <v/>
      </c>
      <c r="P36" s="37">
        <f>SUMIF('BK TB '!$R:$R,'BK P&amp;L'!$A36,'BK TB '!D:D)</f>
        <v/>
      </c>
      <c r="Q36" s="37">
        <f>SUMIF('BK TB '!$R:$R,'BK P&amp;L'!$A36,'BK TB '!E:E)</f>
        <v/>
      </c>
      <c r="R36" s="37">
        <f>SUMIF('BK TB '!$R:$R,'BK P&amp;L'!$A36,'BK TB '!F:F)</f>
        <v/>
      </c>
      <c r="S36" s="37">
        <f>SUMIF('BK TB '!$R:$R,'BK P&amp;L'!$A36,'BK TB '!G:G)</f>
        <v/>
      </c>
      <c r="T36" s="37">
        <f>SUMIF('BK TB '!$R:$R,'BK P&amp;L'!$A36,'BK TB '!H:H)</f>
        <v/>
      </c>
      <c r="U36" s="37">
        <f>SUMIF('BK TB '!$R:$R,'BK P&amp;L'!$A36,'BK TB 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1060.38</v>
      </c>
      <c r="C37" s="35" t="n">
        <v>1060.38</v>
      </c>
      <c r="D37" s="35" t="n">
        <v>1060.38</v>
      </c>
      <c r="E37" s="35" t="n">
        <v>1060.38</v>
      </c>
      <c r="F37" s="35" t="n">
        <v>1060.38</v>
      </c>
      <c r="G37" s="35" t="n">
        <v>1060.38</v>
      </c>
      <c r="H37" s="35" t="n">
        <v>1060.38</v>
      </c>
      <c r="I37" s="35" t="n">
        <v>1060.38</v>
      </c>
      <c r="J37" s="35" t="n">
        <v>1060.38</v>
      </c>
      <c r="K37" s="35" t="n">
        <v>1060.38</v>
      </c>
      <c r="L37" s="35" t="n">
        <v>1060.38</v>
      </c>
      <c r="M37" s="35" t="n">
        <v>1060.38</v>
      </c>
      <c r="N37" s="36">
        <f>SUM(B37:M37)</f>
        <v/>
      </c>
      <c r="O37" s="37" t="n">
        <v>1060.36</v>
      </c>
      <c r="P37" s="37" t="n">
        <v>1060.36</v>
      </c>
      <c r="Q37" s="37" t="n">
        <v>1060.36</v>
      </c>
      <c r="R37" s="37" t="n">
        <v>1178.67</v>
      </c>
      <c r="S37" s="37" t="n">
        <v>1178.67</v>
      </c>
      <c r="T37" s="37" t="n">
        <v>1178.67</v>
      </c>
      <c r="U37" s="37" t="n">
        <v>1178.67</v>
      </c>
      <c r="V37" s="38" t="n">
        <v>1178.666666666667</v>
      </c>
      <c r="W37" s="38" t="n">
        <v>1178.666666666667</v>
      </c>
      <c r="X37" s="38" t="n">
        <v>1178.666666666667</v>
      </c>
      <c r="Y37" s="38" t="n">
        <v>1178.666666666667</v>
      </c>
      <c r="Z37" s="38" t="n">
        <v>1178.666666666667</v>
      </c>
      <c r="AA37" s="36">
        <f>SUM(O37:U37)</f>
        <v/>
      </c>
      <c r="AB37" s="36">
        <f>SUM(O37:Z37)</f>
        <v/>
      </c>
      <c r="AC37" s="38" t="n">
        <v>1178.666666666667</v>
      </c>
      <c r="AD37" s="38" t="n">
        <v>1178.666666666667</v>
      </c>
      <c r="AE37" s="38" t="n">
        <v>1178.666666666667</v>
      </c>
      <c r="AF37" s="38" t="n">
        <v>1178.666666666667</v>
      </c>
      <c r="AG37" s="38" t="n">
        <v>1178.666666666667</v>
      </c>
      <c r="AH37" s="38" t="n">
        <v>1178.666666666667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1084.35</v>
      </c>
      <c r="C38" s="35" t="n">
        <v>1856.09</v>
      </c>
      <c r="D38" s="35" t="n">
        <v>680.11</v>
      </c>
      <c r="E38" s="35" t="n">
        <v>1041.36</v>
      </c>
      <c r="F38" s="35" t="n">
        <v>1404.7</v>
      </c>
      <c r="G38" s="35" t="n">
        <v>49.78000000000003</v>
      </c>
      <c r="H38" s="35" t="n">
        <v>566.46</v>
      </c>
      <c r="I38" s="35" t="n">
        <v>748.4400000000001</v>
      </c>
      <c r="J38" s="35" t="n">
        <v>123.63</v>
      </c>
      <c r="K38" s="35" t="n">
        <v>557.7</v>
      </c>
      <c r="L38" s="35" t="n">
        <v>914.73</v>
      </c>
      <c r="M38" s="35" t="n">
        <v>843.45</v>
      </c>
      <c r="N38" s="36">
        <f>SUM(B38:M38)</f>
        <v/>
      </c>
      <c r="O38" s="37" t="n">
        <v>976.8799999999999</v>
      </c>
      <c r="P38" s="37" t="n">
        <v>1232.13</v>
      </c>
      <c r="Q38" s="37" t="n">
        <v>699.2399999999998</v>
      </c>
      <c r="R38" s="37" t="n">
        <v>870</v>
      </c>
      <c r="S38" s="37" t="n">
        <v>652.4200000000001</v>
      </c>
      <c r="T38" s="37" t="n">
        <v>416.51</v>
      </c>
      <c r="U38" s="37" t="n">
        <v>537.1300000000001</v>
      </c>
      <c r="V38" s="38" t="n">
        <v>808</v>
      </c>
      <c r="W38" s="38" t="n">
        <v>808</v>
      </c>
      <c r="X38" s="38" t="n">
        <v>808</v>
      </c>
      <c r="Y38" s="38" t="n">
        <v>808</v>
      </c>
      <c r="Z38" s="38" t="n">
        <v>808</v>
      </c>
      <c r="AA38" s="36">
        <f>SUM(O38:U38)</f>
        <v/>
      </c>
      <c r="AB38" s="36">
        <f>SUM(O38:Z38)</f>
        <v/>
      </c>
      <c r="AC38" s="38" t="n">
        <v>808</v>
      </c>
      <c r="AD38" s="38" t="n">
        <v>808</v>
      </c>
      <c r="AE38" s="38" t="n">
        <v>808</v>
      </c>
      <c r="AF38" s="38" t="n">
        <v>808</v>
      </c>
      <c r="AG38" s="38" t="n">
        <v>808</v>
      </c>
      <c r="AH38" s="38" t="n">
        <v>808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1970.4</v>
      </c>
      <c r="C39" s="35" t="n">
        <v>4574.36</v>
      </c>
      <c r="D39" s="35" t="n">
        <v>3343.43</v>
      </c>
      <c r="E39" s="35" t="n">
        <v>2248.52</v>
      </c>
      <c r="F39" s="35" t="n">
        <v>1000.26</v>
      </c>
      <c r="G39" s="35" t="n">
        <v>36.5</v>
      </c>
      <c r="H39" s="35" t="n">
        <v>1663.64</v>
      </c>
      <c r="I39" s="35" t="n">
        <v>470.86</v>
      </c>
      <c r="J39" s="35" t="n">
        <v>14.64</v>
      </c>
      <c r="K39" s="35" t="n">
        <v>856.8200000000001</v>
      </c>
      <c r="L39" s="35" t="n">
        <v>36</v>
      </c>
      <c r="M39" s="35" t="n">
        <v>171.36</v>
      </c>
      <c r="N39" s="36">
        <f>SUM(B39:M39)</f>
        <v/>
      </c>
      <c r="O39" s="37" t="n">
        <v>0</v>
      </c>
      <c r="P39" s="37" t="n">
        <v>0</v>
      </c>
      <c r="Q39" s="37" t="n">
        <v>9.98</v>
      </c>
      <c r="R39" s="37" t="n">
        <v>0</v>
      </c>
      <c r="S39" s="37" t="n">
        <v>29.27</v>
      </c>
      <c r="T39" s="37" t="n">
        <v>121.79</v>
      </c>
      <c r="U39" s="37" t="n">
        <v>108</v>
      </c>
      <c r="V39" s="38" t="n">
        <v>4000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188.6</v>
      </c>
      <c r="C40" s="35" t="n">
        <v>249.73</v>
      </c>
      <c r="D40" s="35" t="n">
        <v>292.16</v>
      </c>
      <c r="E40" s="35" t="n">
        <v>49.57</v>
      </c>
      <c r="F40" s="35" t="n">
        <v>542.98</v>
      </c>
      <c r="G40" s="35" t="n">
        <v>335.03</v>
      </c>
      <c r="H40" s="35" t="n">
        <v>284.16</v>
      </c>
      <c r="I40" s="35" t="n">
        <v>299.86</v>
      </c>
      <c r="J40" s="35" t="n">
        <v>559.89</v>
      </c>
      <c r="K40" s="35" t="n">
        <v>291.24</v>
      </c>
      <c r="L40" s="35" t="n">
        <v>101.59</v>
      </c>
      <c r="M40" s="35" t="n">
        <v>113.21</v>
      </c>
      <c r="N40" s="36">
        <f>SUM(B40:M40)</f>
        <v/>
      </c>
      <c r="O40" s="37" t="n">
        <v>203.38</v>
      </c>
      <c r="P40" s="37" t="n">
        <v>611.38</v>
      </c>
      <c r="Q40" s="37" t="n">
        <v>303.73</v>
      </c>
      <c r="R40" s="37" t="n">
        <v>143.24</v>
      </c>
      <c r="S40" s="37" t="n">
        <v>217.05</v>
      </c>
      <c r="T40" s="37" t="n">
        <v>365.89</v>
      </c>
      <c r="U40" s="37" t="n">
        <v>206.52</v>
      </c>
      <c r="V40" s="38" t="n">
        <v>310</v>
      </c>
      <c r="W40" s="38" t="n">
        <v>310</v>
      </c>
      <c r="X40" s="38" t="n">
        <v>310</v>
      </c>
      <c r="Y40" s="38" t="n">
        <v>310</v>
      </c>
      <c r="Z40" s="38" t="n">
        <v>310</v>
      </c>
      <c r="AA40" s="36">
        <f>SUM(O40:U40)</f>
        <v/>
      </c>
      <c r="AB40" s="36">
        <f>SUM(O40:Z40)</f>
        <v/>
      </c>
      <c r="AC40" s="38" t="n">
        <v>310</v>
      </c>
      <c r="AD40" s="38" t="n">
        <v>310</v>
      </c>
      <c r="AE40" s="38" t="n">
        <v>310</v>
      </c>
      <c r="AF40" s="38" t="n">
        <v>310</v>
      </c>
      <c r="AG40" s="38" t="n">
        <v>310</v>
      </c>
      <c r="AH40" s="38" t="n">
        <v>310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332.71</v>
      </c>
      <c r="C41" s="35" t="n">
        <v>364.75</v>
      </c>
      <c r="D41" s="35" t="n">
        <v>380.11</v>
      </c>
      <c r="E41" s="35" t="n">
        <v>561.51</v>
      </c>
      <c r="F41" s="35" t="n">
        <v>426.52</v>
      </c>
      <c r="G41" s="35" t="n">
        <v>400.96</v>
      </c>
      <c r="H41" s="35" t="n">
        <v>339.75</v>
      </c>
      <c r="I41" s="35" t="n">
        <v>354.05</v>
      </c>
      <c r="J41" s="35" t="n">
        <v>630.6600000000001</v>
      </c>
      <c r="K41" s="35" t="n">
        <v>354.05</v>
      </c>
      <c r="L41" s="35" t="n">
        <v>404.45</v>
      </c>
      <c r="M41" s="35" t="n">
        <v>415.26</v>
      </c>
      <c r="N41" s="36">
        <f>SUM(B41:M41)</f>
        <v/>
      </c>
      <c r="O41" s="37" t="n">
        <v>354.05</v>
      </c>
      <c r="P41" s="37" t="n">
        <v>363.36</v>
      </c>
      <c r="Q41" s="37" t="n">
        <v>474.96</v>
      </c>
      <c r="R41" s="37" t="n">
        <v>471.4</v>
      </c>
      <c r="S41" s="37" t="n">
        <v>390.36</v>
      </c>
      <c r="T41" s="37" t="n">
        <v>255.3</v>
      </c>
      <c r="U41" s="37" t="n">
        <v>494.27</v>
      </c>
      <c r="V41" s="38" t="n">
        <v>385</v>
      </c>
      <c r="W41" s="38" t="n">
        <v>385</v>
      </c>
      <c r="X41" s="38" t="n">
        <v>385</v>
      </c>
      <c r="Y41" s="38" t="n">
        <v>385</v>
      </c>
      <c r="Z41" s="38" t="n">
        <v>385</v>
      </c>
      <c r="AA41" s="36">
        <f>SUM(O41:U41)</f>
        <v/>
      </c>
      <c r="AB41" s="36">
        <f>SUM(O41:Z41)</f>
        <v/>
      </c>
      <c r="AC41" s="38" t="n">
        <v>385</v>
      </c>
      <c r="AD41" s="38" t="n">
        <v>385</v>
      </c>
      <c r="AE41" s="38" t="n">
        <v>385</v>
      </c>
      <c r="AF41" s="38" t="n">
        <v>385</v>
      </c>
      <c r="AG41" s="38" t="n">
        <v>385</v>
      </c>
      <c r="AH41" s="38" t="n">
        <v>385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52.03</v>
      </c>
      <c r="C42" s="35" t="n">
        <v>23.34</v>
      </c>
      <c r="D42" s="35" t="n">
        <v>21.74</v>
      </c>
      <c r="E42" s="35" t="n">
        <v>61.92</v>
      </c>
      <c r="F42" s="35" t="n">
        <v>81.43000000000001</v>
      </c>
      <c r="G42" s="35" t="n">
        <v>32.69</v>
      </c>
      <c r="H42" s="35" t="n">
        <v>84.15000000000001</v>
      </c>
      <c r="I42" s="35" t="n">
        <v>53.12</v>
      </c>
      <c r="J42" s="35" t="n">
        <v>75.13</v>
      </c>
      <c r="K42" s="35" t="n">
        <v>81.78999999999999</v>
      </c>
      <c r="L42" s="35" t="n">
        <v>68.56999999999999</v>
      </c>
      <c r="M42" s="35" t="n">
        <v>86.96000000000001</v>
      </c>
      <c r="N42" s="36">
        <f>SUM(B42:M42)</f>
        <v/>
      </c>
      <c r="O42" s="37" t="n">
        <v>87.21000000000001</v>
      </c>
      <c r="P42" s="37" t="n">
        <v>82.62</v>
      </c>
      <c r="Q42" s="37" t="n">
        <v>91.55999999999999</v>
      </c>
      <c r="R42" s="37" t="n">
        <v>93.77</v>
      </c>
      <c r="S42" s="37" t="n">
        <v>73.19</v>
      </c>
      <c r="T42" s="37" t="n">
        <v>98.50999999999999</v>
      </c>
      <c r="U42" s="37" t="n">
        <v>78.42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22</v>
      </c>
      <c r="U43" s="37" t="n">
        <v>0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SUMIF('BK TB '!$R:$R,'BK P&amp;L'!$A44,'BK TB '!C:C)</f>
        <v/>
      </c>
      <c r="P44" s="37">
        <f>SUMIF('BK TB '!$R:$R,'BK P&amp;L'!$A44,'BK TB '!D:D)</f>
        <v/>
      </c>
      <c r="Q44" s="37">
        <f>SUMIF('BK TB '!$R:$R,'BK P&amp;L'!$A44,'BK TB '!E:E)</f>
        <v/>
      </c>
      <c r="R44" s="37">
        <f>SUMIF('BK TB '!$R:$R,'BK P&amp;L'!$A44,'BK TB '!F:F)</f>
        <v/>
      </c>
      <c r="S44" s="37">
        <f>SUMIF('BK TB '!$R:$R,'BK P&amp;L'!$A44,'BK TB '!G:G)</f>
        <v/>
      </c>
      <c r="T44" s="37">
        <f>SUMIF('BK TB '!$R:$R,'BK P&amp;L'!$A44,'BK TB '!H:H)</f>
        <v/>
      </c>
      <c r="U44" s="37">
        <f>SUMIF('BK TB '!$R:$R,'BK P&amp;L'!$A44,'BK TB 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14.58</v>
      </c>
      <c r="C45" s="35" t="n">
        <v>14.58</v>
      </c>
      <c r="D45" s="35" t="n">
        <v>149.79</v>
      </c>
      <c r="E45" s="35" t="n">
        <v>234.58</v>
      </c>
      <c r="F45" s="35" t="n">
        <v>1.59</v>
      </c>
      <c r="G45" s="35" t="n">
        <v>46.59</v>
      </c>
      <c r="H45" s="35" t="n">
        <v>-1.3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66</v>
      </c>
      <c r="P45" s="37" t="n">
        <v>0</v>
      </c>
      <c r="Q45" s="37" t="n">
        <v>0</v>
      </c>
      <c r="R45" s="37" t="n">
        <v>72</v>
      </c>
      <c r="S45" s="37" t="n">
        <v>0</v>
      </c>
      <c r="T45" s="37" t="n">
        <v>0</v>
      </c>
      <c r="U45" s="37" t="n">
        <v>4.99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SUMIF('BK TB '!$R:$R,'BK P&amp;L'!$A46,'BK TB '!C:C)</f>
        <v/>
      </c>
      <c r="P46" s="37">
        <f>SUMIF('BK TB '!$R:$R,'BK P&amp;L'!$A46,'BK TB '!D:D)</f>
        <v/>
      </c>
      <c r="Q46" s="37">
        <f>SUMIF('BK TB '!$R:$R,'BK P&amp;L'!$A46,'BK TB '!E:E)</f>
        <v/>
      </c>
      <c r="R46" s="37">
        <f>SUMIF('BK TB '!$R:$R,'BK P&amp;L'!$A46,'BK TB '!F:F)</f>
        <v/>
      </c>
      <c r="S46" s="37">
        <f>SUMIF('BK TB '!$R:$R,'BK P&amp;L'!$A46,'BK TB '!G:G)</f>
        <v/>
      </c>
      <c r="T46" s="37">
        <f>SUMIF('BK TB '!$R:$R,'BK P&amp;L'!$A46,'BK TB '!H:H)</f>
        <v/>
      </c>
      <c r="U46" s="37">
        <f>SUMIF('BK TB '!$R:$R,'BK P&amp;L'!$A46,'BK TB 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4703.050000000001</v>
      </c>
      <c r="C47" s="42" t="n">
        <v>8143.23</v>
      </c>
      <c r="D47" s="42" t="n">
        <v>5927.719999999999</v>
      </c>
      <c r="E47" s="42" t="n">
        <v>5257.84</v>
      </c>
      <c r="F47" s="42" t="n">
        <v>4517.860000000001</v>
      </c>
      <c r="G47" s="42" t="n">
        <v>1961.93</v>
      </c>
      <c r="H47" s="42" t="n">
        <v>3997.24</v>
      </c>
      <c r="I47" s="42" t="n">
        <v>3031.71</v>
      </c>
      <c r="J47" s="42" t="n">
        <v>2464.33</v>
      </c>
      <c r="K47" s="42" t="n">
        <v>3201.98</v>
      </c>
      <c r="L47" s="42" t="n">
        <v>2585.72</v>
      </c>
      <c r="M47" s="42" t="n">
        <v>2690.62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25859.07</v>
      </c>
      <c r="C48" s="23" t="n">
        <v>29078.09</v>
      </c>
      <c r="D48" s="23" t="n">
        <v>29734.78</v>
      </c>
      <c r="E48" s="23" t="n">
        <v>31716.87</v>
      </c>
      <c r="F48" s="23" t="n">
        <v>31438.48</v>
      </c>
      <c r="G48" s="23" t="n">
        <v>30627.92</v>
      </c>
      <c r="H48" s="23" t="n">
        <v>32256.93</v>
      </c>
      <c r="I48" s="23" t="n">
        <v>31595.94</v>
      </c>
      <c r="J48" s="23" t="n">
        <v>32281.46</v>
      </c>
      <c r="K48" s="23" t="n">
        <v>31337.98</v>
      </c>
      <c r="L48" s="23" t="n">
        <v>27927.37</v>
      </c>
      <c r="M48" s="23" t="n">
        <v>30022.36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11626.24</v>
      </c>
      <c r="C50" s="55" t="n">
        <v>7011.790000000001</v>
      </c>
      <c r="D50" s="55" t="n">
        <v>35591.5</v>
      </c>
      <c r="E50" s="55" t="n">
        <v>14332.04</v>
      </c>
      <c r="F50" s="55" t="n">
        <v>7576.710000000003</v>
      </c>
      <c r="G50" s="55" t="n">
        <v>17974.84</v>
      </c>
      <c r="H50" s="55" t="n">
        <v>24295.09999999999</v>
      </c>
      <c r="I50" s="55" t="n">
        <v>264.9799999999996</v>
      </c>
      <c r="J50" s="55" t="n">
        <v>4455.510000000002</v>
      </c>
      <c r="K50" s="55" t="n">
        <v>4503.369999999995</v>
      </c>
      <c r="L50" s="55" t="n">
        <v>9337.049999999996</v>
      </c>
      <c r="M50" s="55" t="n">
        <v>17325.98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SUMIF('BK TB '!$R:$R,'BK P&amp;L'!$A53,'BK TB '!C:C)</f>
        <v/>
      </c>
      <c r="P53" s="37">
        <f>SUMIF('BK TB '!$R:$R,'BK P&amp;L'!$A53,'BK TB '!D:D)</f>
        <v/>
      </c>
      <c r="Q53" s="37">
        <f>SUMIF('BK TB '!$R:$R,'BK P&amp;L'!$A53,'BK TB '!E:E)</f>
        <v/>
      </c>
      <c r="R53" s="37">
        <f>SUMIF('BK TB '!$R:$R,'BK P&amp;L'!$A53,'BK TB '!F:F)</f>
        <v/>
      </c>
      <c r="S53" s="37">
        <f>SUMIF('BK TB '!$R:$R,'BK P&amp;L'!$A53,'BK TB '!G:G)</f>
        <v/>
      </c>
      <c r="T53" s="37">
        <f>SUMIF('BK TB '!$R:$R,'BK P&amp;L'!$A53,'BK TB '!H:H)</f>
        <v/>
      </c>
      <c r="U53" s="37">
        <f>SUMIF('BK TB '!$R:$R,'BK P&amp;L'!$A53,'BK TB '!I:I)</f>
        <v/>
      </c>
      <c r="V53" s="38" t="n">
        <v>0</v>
      </c>
      <c r="W53" s="38" t="n">
        <v>0</v>
      </c>
      <c r="X53" s="38" t="n">
        <v>0</v>
      </c>
      <c r="Y53" s="38" t="n">
        <v>0</v>
      </c>
      <c r="Z53" s="38" t="n">
        <v>0</v>
      </c>
      <c r="AA53" s="36">
        <f>SUM(O53:U53)</f>
        <v/>
      </c>
      <c r="AB53" s="36">
        <f>SUM(O53:Z53)</f>
        <v/>
      </c>
      <c r="AC53" s="38" t="n">
        <v>0</v>
      </c>
      <c r="AD53" s="38" t="n">
        <v>0</v>
      </c>
      <c r="AE53" s="38" t="n">
        <v>0</v>
      </c>
      <c r="AF53" s="38" t="n">
        <v>0</v>
      </c>
      <c r="AG53" s="38" t="n">
        <v>0</v>
      </c>
      <c r="AH53" s="38" t="n">
        <v>0</v>
      </c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SUMIF('BK TB '!$R:$R,'BK P&amp;L'!$A54,'BK TB '!C:C)</f>
        <v/>
      </c>
      <c r="P54" s="37">
        <f>SUMIF('BK TB '!$R:$R,'BK P&amp;L'!$A54,'BK TB '!D:D)</f>
        <v/>
      </c>
      <c r="Q54" s="37">
        <f>SUMIF('BK TB '!$R:$R,'BK P&amp;L'!$A54,'BK TB '!E:E)</f>
        <v/>
      </c>
      <c r="R54" s="37">
        <f>SUMIF('BK TB '!$R:$R,'BK P&amp;L'!$A54,'BK TB '!F:F)</f>
        <v/>
      </c>
      <c r="S54" s="37">
        <f>SUMIF('BK TB '!$R:$R,'BK P&amp;L'!$A54,'BK TB '!G:G)</f>
        <v/>
      </c>
      <c r="T54" s="37">
        <f>SUMIF('BK TB '!$R:$R,'BK P&amp;L'!$A54,'BK TB '!H:H)</f>
        <v/>
      </c>
      <c r="U54" s="37">
        <f>SUMIF('BK TB '!$R:$R,'BK P&amp;L'!$A54,'BK TB '!I:I)</f>
        <v/>
      </c>
      <c r="V54" s="38" t="n">
        <v>0</v>
      </c>
      <c r="W54" s="38" t="n">
        <v>0</v>
      </c>
      <c r="X54" s="38" t="n">
        <v>0</v>
      </c>
      <c r="Y54" s="38" t="n">
        <v>0</v>
      </c>
      <c r="Z54" s="38" t="n">
        <v>0</v>
      </c>
      <c r="AA54" s="36">
        <f>SUM(O54:U54)</f>
        <v/>
      </c>
      <c r="AB54" s="36">
        <f>SUM(O54:Z54)</f>
        <v/>
      </c>
      <c r="AC54" s="38" t="n">
        <v>0</v>
      </c>
      <c r="AD54" s="38" t="n">
        <v>0</v>
      </c>
      <c r="AE54" s="38" t="n">
        <v>0</v>
      </c>
      <c r="AF54" s="38" t="n">
        <v>0</v>
      </c>
      <c r="AG54" s="38" t="n">
        <v>0</v>
      </c>
      <c r="AH54" s="38" t="n">
        <v>0</v>
      </c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SUMIF('BK TB '!$R:$R,'BK P&amp;L'!$A55,'BK TB '!C:C)</f>
        <v/>
      </c>
      <c r="P55" s="37">
        <f>SUMIF('BK TB '!$R:$R,'BK P&amp;L'!$A55,'BK TB '!D:D)</f>
        <v/>
      </c>
      <c r="Q55" s="37">
        <f>SUMIF('BK TB '!$R:$R,'BK P&amp;L'!$A55,'BK TB '!E:E)</f>
        <v/>
      </c>
      <c r="R55" s="37">
        <f>SUMIF('BK TB '!$R:$R,'BK P&amp;L'!$A55,'BK TB '!F:F)</f>
        <v/>
      </c>
      <c r="S55" s="37">
        <f>SUMIF('BK TB '!$R:$R,'BK P&amp;L'!$A55,'BK TB '!G:G)</f>
        <v/>
      </c>
      <c r="T55" s="37">
        <f>SUMIF('BK TB '!$R:$R,'BK P&amp;L'!$A55,'BK TB '!H:H)</f>
        <v/>
      </c>
      <c r="U55" s="37">
        <f>SUMIF('BK TB '!$R:$R,'BK P&amp;L'!$A55,'BK TB '!I:I)</f>
        <v/>
      </c>
      <c r="V55" s="38" t="n">
        <v>0</v>
      </c>
      <c r="W55" s="38" t="n">
        <v>0</v>
      </c>
      <c r="X55" s="38" t="n">
        <v>0</v>
      </c>
      <c r="Y55" s="38" t="n">
        <v>0</v>
      </c>
      <c r="Z55" s="38" t="n">
        <v>0</v>
      </c>
      <c r="AA55" s="36">
        <f>SUM(O55:U55)</f>
        <v/>
      </c>
      <c r="AB55" s="36">
        <f>SUM(O55:Z55)</f>
        <v/>
      </c>
      <c r="AC55" s="38" t="n">
        <v>0</v>
      </c>
      <c r="AD55" s="38" t="n">
        <v>0</v>
      </c>
      <c r="AE55" s="38" t="n">
        <v>0</v>
      </c>
      <c r="AF55" s="38" t="n">
        <v>0</v>
      </c>
      <c r="AG55" s="38" t="n">
        <v>0</v>
      </c>
      <c r="AH55" s="38" t="n">
        <v>0</v>
      </c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SUMIF('BK TB '!$R:$R,'BK P&amp;L'!$A56,'BK TB '!C:C)</f>
        <v/>
      </c>
      <c r="P56" s="37">
        <f>SUMIF('BK TB '!$R:$R,'BK P&amp;L'!$A56,'BK TB '!D:D)</f>
        <v/>
      </c>
      <c r="Q56" s="37">
        <f>SUMIF('BK TB '!$R:$R,'BK P&amp;L'!$A56,'BK TB '!E:E)</f>
        <v/>
      </c>
      <c r="R56" s="37">
        <f>SUMIF('BK TB '!$R:$R,'BK P&amp;L'!$A56,'BK TB '!F:F)</f>
        <v/>
      </c>
      <c r="S56" s="37">
        <f>SUMIF('BK TB '!$R:$R,'BK P&amp;L'!$A56,'BK TB '!G:G)</f>
        <v/>
      </c>
      <c r="T56" s="37">
        <f>SUMIF('BK TB '!$R:$R,'BK P&amp;L'!$A56,'BK TB '!H:H)</f>
        <v/>
      </c>
      <c r="U56" s="37">
        <f>SUMIF('BK TB '!$R:$R,'BK P&amp;L'!$A56,'BK TB '!I:I)</f>
        <v/>
      </c>
      <c r="V56" s="38" t="n">
        <v>0</v>
      </c>
      <c r="W56" s="38" t="n">
        <v>0</v>
      </c>
      <c r="X56" s="38" t="n">
        <v>0</v>
      </c>
      <c r="Y56" s="38" t="n">
        <v>0</v>
      </c>
      <c r="Z56" s="38" t="n">
        <v>0</v>
      </c>
      <c r="AA56" s="36">
        <f>SUM(O56:U56)</f>
        <v/>
      </c>
      <c r="AB56" s="36">
        <f>SUM(O56:Z56)</f>
        <v/>
      </c>
      <c r="AC56" s="38" t="n">
        <v>0</v>
      </c>
      <c r="AD56" s="38" t="n">
        <v>0</v>
      </c>
      <c r="AE56" s="38" t="n">
        <v>0</v>
      </c>
      <c r="AF56" s="38" t="n">
        <v>0</v>
      </c>
      <c r="AG56" s="38" t="n">
        <v>0</v>
      </c>
      <c r="AH56" s="38" t="n">
        <v>0</v>
      </c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>
        <f>SUMIF('BK TB '!$R:$R,'BK P&amp;L'!$A57,'BK TB '!C:C)</f>
        <v/>
      </c>
      <c r="P57" s="37">
        <f>SUMIF('BK TB '!$R:$R,'BK P&amp;L'!$A57,'BK TB '!D:D)</f>
        <v/>
      </c>
      <c r="Q57" s="37">
        <f>SUMIF('BK TB '!$R:$R,'BK P&amp;L'!$A57,'BK TB '!E:E)</f>
        <v/>
      </c>
      <c r="R57" s="37">
        <f>SUMIF('BK TB '!$R:$R,'BK P&amp;L'!$A57,'BK TB '!F:F)</f>
        <v/>
      </c>
      <c r="S57" s="37">
        <f>SUMIF('BK TB '!$R:$R,'BK P&amp;L'!$A57,'BK TB '!G:G)</f>
        <v/>
      </c>
      <c r="T57" s="37">
        <f>SUMIF('BK TB '!$R:$R,'BK P&amp;L'!$A57,'BK TB '!H:H)</f>
        <v/>
      </c>
      <c r="U57" s="37">
        <f>SUMIF('BK TB '!$R:$R,'BK P&amp;L'!$A57,'BK TB '!I:I)</f>
        <v/>
      </c>
      <c r="V57" s="38" t="n">
        <v>0</v>
      </c>
      <c r="W57" s="38" t="n">
        <v>0</v>
      </c>
      <c r="X57" s="38" t="n">
        <v>0</v>
      </c>
      <c r="Y57" s="38" t="n">
        <v>0</v>
      </c>
      <c r="Z57" s="38">
        <f>30*8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SUMIF('BK TB '!$R:$R,'BK P&amp;L'!$A58,'BK TB '!C:C)</f>
        <v/>
      </c>
      <c r="P58" s="37">
        <f>SUMIF('BK TB '!$R:$R,'BK P&amp;L'!$A58,'BK TB '!D:D)</f>
        <v/>
      </c>
      <c r="Q58" s="37">
        <f>SUMIF('BK TB '!$R:$R,'BK P&amp;L'!$A58,'BK TB '!E:E)</f>
        <v/>
      </c>
      <c r="R58" s="37">
        <f>SUMIF('BK TB '!$R:$R,'BK P&amp;L'!$A58,'BK TB '!F:F)</f>
        <v/>
      </c>
      <c r="S58" s="37">
        <f>SUMIF('BK TB '!$R:$R,'BK P&amp;L'!$A58,'BK TB '!G:G)</f>
        <v/>
      </c>
      <c r="T58" s="37">
        <f>SUMIF('BK TB '!$R:$R,'BK P&amp;L'!$A58,'BK TB '!H:H)</f>
        <v/>
      </c>
      <c r="U58" s="37">
        <f>SUMIF('BK TB '!$R:$R,'BK P&amp;L'!$A58,'BK TB '!I:I)</f>
        <v/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345.38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2.4</v>
      </c>
      <c r="C60" s="35" t="n">
        <v>1.2</v>
      </c>
      <c r="D60" s="35" t="n">
        <v>1.2</v>
      </c>
      <c r="E60" s="35" t="n">
        <v>3</v>
      </c>
      <c r="F60" s="35" t="n">
        <v>1.8</v>
      </c>
      <c r="G60" s="35" t="n">
        <v>1.8</v>
      </c>
      <c r="H60" s="35" t="n">
        <v>2.4</v>
      </c>
      <c r="I60" s="35" t="n">
        <v>0.6</v>
      </c>
      <c r="J60" s="35" t="n">
        <v>1.8</v>
      </c>
      <c r="K60" s="35" t="n">
        <v>68.8</v>
      </c>
      <c r="L60" s="35" t="n">
        <v>3.6</v>
      </c>
      <c r="M60" s="35" t="n">
        <v>2.4</v>
      </c>
      <c r="N60" s="36">
        <f>SUM(B60:M60)</f>
        <v/>
      </c>
      <c r="O60" s="37" t="n">
        <v>2.4</v>
      </c>
      <c r="P60" s="37" t="n">
        <v>2.4</v>
      </c>
      <c r="Q60" s="37" t="n">
        <v>2.4</v>
      </c>
      <c r="R60" s="37" t="n">
        <v>2.4</v>
      </c>
      <c r="S60" s="37" t="n">
        <v>1.8</v>
      </c>
      <c r="T60" s="37" t="n">
        <v>2.4</v>
      </c>
      <c r="U60" s="37" t="n">
        <v>2.4</v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6">
        <f>SUM(O60:U60)</f>
        <v/>
      </c>
      <c r="AB60" s="36">
        <f>SUM(O60:Z60)</f>
        <v/>
      </c>
      <c r="AC60" s="38" t="n">
        <v>0</v>
      </c>
      <c r="AD60" s="38" t="n">
        <v>0</v>
      </c>
      <c r="AE60" s="38" t="n">
        <v>0</v>
      </c>
      <c r="AF60" s="38" t="n">
        <v>0</v>
      </c>
      <c r="AG60" s="38" t="n">
        <v>0</v>
      </c>
      <c r="AH60" s="38" t="n">
        <v>0</v>
      </c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28.97</v>
      </c>
      <c r="G61" s="35" t="n">
        <v>0</v>
      </c>
      <c r="H61" s="35" t="n">
        <v>50.14</v>
      </c>
      <c r="I61" s="35" t="n">
        <v>0</v>
      </c>
      <c r="J61" s="35" t="n">
        <v>0</v>
      </c>
      <c r="K61" s="35" t="n">
        <v>25.85</v>
      </c>
      <c r="L61" s="35" t="n">
        <v>26.84</v>
      </c>
      <c r="M61" s="35" t="n">
        <v>79.79999999999998</v>
      </c>
      <c r="N61" s="36">
        <f>SUM(B61:M61)</f>
        <v/>
      </c>
      <c r="O61" s="37">
        <f>SUMIF('BK TB '!$R:$R,'BK P&amp;L'!$A61,'BK TB '!C:C)</f>
        <v/>
      </c>
      <c r="P61" s="37">
        <f>SUMIF('BK TB '!$R:$R,'BK P&amp;L'!$A61,'BK TB '!D:D)</f>
        <v/>
      </c>
      <c r="Q61" s="37">
        <f>SUMIF('BK TB '!$R:$R,'BK P&amp;L'!$A61,'BK TB '!E:E)</f>
        <v/>
      </c>
      <c r="R61" s="37">
        <f>SUMIF('BK TB '!$R:$R,'BK P&amp;L'!$A61,'BK TB '!F:F)</f>
        <v/>
      </c>
      <c r="S61" s="37">
        <f>SUMIF('BK TB '!$R:$R,'BK P&amp;L'!$A61,'BK TB '!G:G)</f>
        <v/>
      </c>
      <c r="T61" s="37">
        <f>SUMIF('BK TB '!$R:$R,'BK P&amp;L'!$A61,'BK TB '!H:H)</f>
        <v/>
      </c>
      <c r="U61" s="37">
        <f>SUMIF('BK TB '!$R:$R,'BK P&amp;L'!$A61,'BK TB 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104</v>
      </c>
      <c r="D62" s="35" t="n">
        <v>36</v>
      </c>
      <c r="E62" s="35" t="n">
        <v>77.34</v>
      </c>
      <c r="F62" s="35" t="n">
        <v>0</v>
      </c>
      <c r="G62" s="35" t="n">
        <v>169</v>
      </c>
      <c r="H62" s="35" t="n">
        <v>22</v>
      </c>
      <c r="I62" s="35" t="n">
        <v>0</v>
      </c>
      <c r="J62" s="35" t="n">
        <v>0</v>
      </c>
      <c r="K62" s="35" t="n">
        <v>150</v>
      </c>
      <c r="L62" s="35" t="n">
        <v>0</v>
      </c>
      <c r="M62" s="35" t="n">
        <v>0</v>
      </c>
      <c r="N62" s="36">
        <f>SUM(B62:M62)</f>
        <v/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65.73999999999999</v>
      </c>
      <c r="U62" s="37" t="n">
        <v>0</v>
      </c>
      <c r="V62" s="38" t="n">
        <v>0</v>
      </c>
      <c r="W62" s="38" t="n">
        <v>0</v>
      </c>
      <c r="X62" s="38" t="n">
        <v>0</v>
      </c>
      <c r="Y62" s="38" t="n">
        <v>0</v>
      </c>
      <c r="Z62" s="38" t="n">
        <v>0</v>
      </c>
      <c r="AA62" s="36">
        <f>SUM(O62:U62)</f>
        <v/>
      </c>
      <c r="AB62" s="36">
        <f>SUM(O62:Z62)</f>
        <v/>
      </c>
      <c r="AC62" s="38" t="n">
        <v>0</v>
      </c>
      <c r="AD62" s="38" t="n">
        <v>0</v>
      </c>
      <c r="AE62" s="38" t="n">
        <v>0</v>
      </c>
      <c r="AF62" s="38" t="n">
        <v>0</v>
      </c>
      <c r="AG62" s="38" t="n">
        <v>0</v>
      </c>
      <c r="AH62" s="38" t="n">
        <v>0</v>
      </c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SUMIF('BK TB '!$R:$R,'BK P&amp;L'!$A63,'BK TB '!C:C)</f>
        <v/>
      </c>
      <c r="P63" s="37">
        <f>SUMIF('BK TB '!$R:$R,'BK P&amp;L'!$A63,'BK TB '!D:D)</f>
        <v/>
      </c>
      <c r="Q63" s="37">
        <f>SUMIF('BK TB '!$R:$R,'BK P&amp;L'!$A63,'BK TB '!E:E)</f>
        <v/>
      </c>
      <c r="R63" s="37">
        <f>SUMIF('BK TB '!$R:$R,'BK P&amp;L'!$A63,'BK TB '!F:F)</f>
        <v/>
      </c>
      <c r="S63" s="37">
        <f>SUMIF('BK TB '!$R:$R,'BK P&amp;L'!$A63,'BK TB '!G:G)</f>
        <v/>
      </c>
      <c r="T63" s="37">
        <f>SUMIF('BK TB '!$R:$R,'BK P&amp;L'!$A63,'BK TB '!H:H)</f>
        <v/>
      </c>
      <c r="U63" s="37">
        <f>SUMIF('BK TB '!$R:$R,'BK P&amp;L'!$A63,'BK TB '!I:I)</f>
        <v/>
      </c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</v>
      </c>
      <c r="AA63" s="36">
        <f>SUM(O63:U63)</f>
        <v/>
      </c>
      <c r="AB63" s="36">
        <f>SUM(O63:Z63)</f>
        <v/>
      </c>
      <c r="AC63" s="38" t="n">
        <v>0</v>
      </c>
      <c r="AD63" s="38" t="n">
        <v>0</v>
      </c>
      <c r="AE63" s="38" t="n">
        <v>0</v>
      </c>
      <c r="AF63" s="38" t="n">
        <v>0</v>
      </c>
      <c r="AG63" s="38" t="n">
        <v>0</v>
      </c>
      <c r="AH63" s="38" t="n">
        <v>0</v>
      </c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SUMIF('BK TB '!$R:$R,'BK P&amp;L'!$A64,'BK TB '!C:C)</f>
        <v/>
      </c>
      <c r="P64" s="37">
        <f>SUMIF('BK TB '!$R:$R,'BK P&amp;L'!$A64,'BK TB '!D:D)</f>
        <v/>
      </c>
      <c r="Q64" s="37">
        <f>SUMIF('BK TB '!$R:$R,'BK P&amp;L'!$A64,'BK TB '!E:E)</f>
        <v/>
      </c>
      <c r="R64" s="37">
        <f>SUMIF('BK TB '!$R:$R,'BK P&amp;L'!$A64,'BK TB '!F:F)</f>
        <v/>
      </c>
      <c r="S64" s="37">
        <f>SUMIF('BK TB '!$R:$R,'BK P&amp;L'!$A64,'BK TB '!G:G)</f>
        <v/>
      </c>
      <c r="T64" s="37">
        <f>SUMIF('BK TB '!$R:$R,'BK P&amp;L'!$A64,'BK TB '!H:H)</f>
        <v/>
      </c>
      <c r="U64" s="37">
        <f>SUMIF('BK TB '!$R:$R,'BK P&amp;L'!$A64,'BK TB '!I:I)</f>
        <v/>
      </c>
      <c r="V64" s="38" t="n">
        <v>0</v>
      </c>
      <c r="W64" s="38" t="n">
        <v>0</v>
      </c>
      <c r="X64" s="38" t="n">
        <v>0</v>
      </c>
      <c r="Y64" s="38" t="n">
        <v>0</v>
      </c>
      <c r="Z64" s="38" t="n">
        <v>0</v>
      </c>
      <c r="AA64" s="36">
        <f>SUM(O64:U64)</f>
        <v/>
      </c>
      <c r="AB64" s="36">
        <f>SUM(O64:Z64)</f>
        <v/>
      </c>
      <c r="AC64" s="38" t="n">
        <v>0</v>
      </c>
      <c r="AD64" s="38" t="n">
        <v>0</v>
      </c>
      <c r="AE64" s="38" t="n">
        <v>0</v>
      </c>
      <c r="AF64" s="38" t="n">
        <v>0</v>
      </c>
      <c r="AG64" s="38" t="n">
        <v>0</v>
      </c>
      <c r="AH64" s="38" t="n">
        <v>0</v>
      </c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SUMIF('BK TB '!$R:$R,'BK P&amp;L'!$A65,'BK TB '!C:C)</f>
        <v/>
      </c>
      <c r="P65" s="37">
        <f>SUMIF('BK TB '!$R:$R,'BK P&amp;L'!$A65,'BK TB '!D:D)</f>
        <v/>
      </c>
      <c r="Q65" s="37">
        <f>SUMIF('BK TB '!$R:$R,'BK P&amp;L'!$A65,'BK TB '!E:E)</f>
        <v/>
      </c>
      <c r="R65" s="37">
        <f>SUMIF('BK TB '!$R:$R,'BK P&amp;L'!$A65,'BK TB '!F:F)</f>
        <v/>
      </c>
      <c r="S65" s="37">
        <f>SUMIF('BK TB '!$R:$R,'BK P&amp;L'!$A65,'BK TB '!G:G)</f>
        <v/>
      </c>
      <c r="T65" s="37">
        <f>SUMIF('BK TB '!$R:$R,'BK P&amp;L'!$A65,'BK TB '!H:H)</f>
        <v/>
      </c>
      <c r="U65" s="37">
        <f>SUMIF('BK TB '!$R:$R,'BK P&amp;L'!$A65,'BK TB '!I:I)</f>
        <v/>
      </c>
      <c r="V65" s="38" t="n">
        <v>0</v>
      </c>
      <c r="W65" s="38" t="n">
        <v>0</v>
      </c>
      <c r="X65" s="38" t="n">
        <v>0</v>
      </c>
      <c r="Y65" s="38" t="n">
        <v>0</v>
      </c>
      <c r="Z65" s="38" t="n">
        <v>0</v>
      </c>
      <c r="AA65" s="36">
        <f>SUM(O65:U65)</f>
        <v/>
      </c>
      <c r="AB65" s="36">
        <f>SUM(O65:Z65)</f>
        <v/>
      </c>
      <c r="AC65" s="38" t="n">
        <v>0</v>
      </c>
      <c r="AD65" s="38" t="n">
        <v>0</v>
      </c>
      <c r="AE65" s="38" t="n">
        <v>0</v>
      </c>
      <c r="AF65" s="38" t="n">
        <v>0</v>
      </c>
      <c r="AG65" s="38" t="n">
        <v>0</v>
      </c>
      <c r="AH65" s="38" t="n">
        <v>0</v>
      </c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SUMIF('BK TB '!$R:$R,'BK P&amp;L'!$A66,'BK TB '!C:C)</f>
        <v/>
      </c>
      <c r="P66" s="37">
        <f>SUMIF('BK TB '!$R:$R,'BK P&amp;L'!$A66,'BK TB '!D:D)</f>
        <v/>
      </c>
      <c r="Q66" s="37">
        <f>SUMIF('BK TB '!$R:$R,'BK P&amp;L'!$A66,'BK TB '!E:E)</f>
        <v/>
      </c>
      <c r="R66" s="37">
        <f>SUMIF('BK TB '!$R:$R,'BK P&amp;L'!$A66,'BK TB '!F:F)</f>
        <v/>
      </c>
      <c r="S66" s="37">
        <f>SUMIF('BK TB '!$R:$R,'BK P&amp;L'!$A66,'BK TB '!G:G)</f>
        <v/>
      </c>
      <c r="T66" s="37">
        <f>SUMIF('BK TB '!$R:$R,'BK P&amp;L'!$A66,'BK TB '!H:H)</f>
        <v/>
      </c>
      <c r="U66" s="37">
        <f>SUMIF('BK TB '!$R:$R,'BK P&amp;L'!$A66,'BK TB '!I:I)</f>
        <v/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SUMIF('BK TB '!$R:$R,'BK P&amp;L'!$A67,'BK TB '!C:C)</f>
        <v/>
      </c>
      <c r="P67" s="37">
        <f>SUMIF('BK TB '!$R:$R,'BK P&amp;L'!$A67,'BK TB '!D:D)</f>
        <v/>
      </c>
      <c r="Q67" s="37">
        <f>SUMIF('BK TB '!$R:$R,'BK P&amp;L'!$A67,'BK TB '!E:E)</f>
        <v/>
      </c>
      <c r="R67" s="37">
        <f>SUMIF('BK TB '!$R:$R,'BK P&amp;L'!$A67,'BK TB '!F:F)</f>
        <v/>
      </c>
      <c r="S67" s="37">
        <f>SUMIF('BK TB '!$R:$R,'BK P&amp;L'!$A67,'BK TB '!G:G)</f>
        <v/>
      </c>
      <c r="T67" s="37">
        <f>SUMIF('BK TB '!$R:$R,'BK P&amp;L'!$A67,'BK TB '!H:H)</f>
        <v/>
      </c>
      <c r="U67" s="37">
        <f>SUMIF('BK TB '!$R:$R,'BK P&amp;L'!$A67,'BK TB '!I:I)</f>
        <v/>
      </c>
      <c r="V67" s="38" t="n">
        <v>0</v>
      </c>
      <c r="W67" s="38" t="n">
        <v>0</v>
      </c>
      <c r="X67" s="38" t="n">
        <v>0</v>
      </c>
      <c r="Y67" s="38" t="n">
        <v>0</v>
      </c>
      <c r="Z67" s="38" t="n">
        <v>0</v>
      </c>
      <c r="AA67" s="36">
        <f>SUM(O67:U67)</f>
        <v/>
      </c>
      <c r="AB67" s="36">
        <f>SUM(O67:Z67)</f>
        <v/>
      </c>
      <c r="AC67" s="38" t="n">
        <v>0</v>
      </c>
      <c r="AD67" s="38" t="n">
        <v>0</v>
      </c>
      <c r="AE67" s="38" t="n">
        <v>0</v>
      </c>
      <c r="AF67" s="38" t="n">
        <v>0</v>
      </c>
      <c r="AG67" s="38" t="n">
        <v>0</v>
      </c>
      <c r="AH67" s="38" t="n">
        <v>0</v>
      </c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SUMIF('BK TB '!$R:$R,'BK P&amp;L'!$A68,'BK TB '!C:C)</f>
        <v/>
      </c>
      <c r="P68" s="37">
        <f>SUMIF('BK TB '!$R:$R,'BK P&amp;L'!$A68,'BK TB '!D:D)</f>
        <v/>
      </c>
      <c r="Q68" s="37">
        <f>SUMIF('BK TB '!$R:$R,'BK P&amp;L'!$A68,'BK TB '!E:E)</f>
        <v/>
      </c>
      <c r="R68" s="37">
        <f>SUMIF('BK TB '!$R:$R,'BK P&amp;L'!$A68,'BK TB '!F:F)</f>
        <v/>
      </c>
      <c r="S68" s="37">
        <f>SUMIF('BK TB '!$R:$R,'BK P&amp;L'!$A68,'BK TB '!G:G)</f>
        <v/>
      </c>
      <c r="T68" s="37">
        <f>SUMIF('BK TB '!$R:$R,'BK P&amp;L'!$A68,'BK TB '!H:H)</f>
        <v/>
      </c>
      <c r="U68" s="37">
        <f>SUMIF('BK TB '!$R:$R,'BK P&amp;L'!$A68,'BK TB '!I:I)</f>
        <v/>
      </c>
      <c r="V68" s="38" t="n">
        <v>0</v>
      </c>
      <c r="W68" s="38" t="n">
        <v>0</v>
      </c>
      <c r="X68" s="38" t="n">
        <v>0</v>
      </c>
      <c r="Y68" s="38" t="n">
        <v>0</v>
      </c>
      <c r="Z68" s="38" t="n">
        <v>0</v>
      </c>
      <c r="AA68" s="36">
        <f>SUM(O68:U68)</f>
        <v/>
      </c>
      <c r="AB68" s="36">
        <f>SUM(O68:Z68)</f>
        <v/>
      </c>
      <c r="AC68" s="38" t="n">
        <v>0</v>
      </c>
      <c r="AD68" s="38" t="n">
        <v>0</v>
      </c>
      <c r="AE68" s="38" t="n">
        <v>0</v>
      </c>
      <c r="AF68" s="38" t="n">
        <v>0</v>
      </c>
      <c r="AG68" s="38" t="n">
        <v>0</v>
      </c>
      <c r="AH68" s="38" t="n">
        <v>0</v>
      </c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347.78</v>
      </c>
      <c r="C69" s="42" t="n">
        <v>306.58</v>
      </c>
      <c r="D69" s="42" t="n">
        <v>238.58</v>
      </c>
      <c r="E69" s="42" t="n">
        <v>281.72</v>
      </c>
      <c r="F69" s="42" t="n">
        <v>232.15</v>
      </c>
      <c r="G69" s="42" t="n">
        <v>372.18</v>
      </c>
      <c r="H69" s="42" t="n">
        <v>275.92</v>
      </c>
      <c r="I69" s="42" t="n">
        <v>201.98</v>
      </c>
      <c r="J69" s="42" t="n">
        <v>203.18</v>
      </c>
      <c r="K69" s="42" t="n">
        <v>459.45</v>
      </c>
      <c r="L69" s="42" t="n">
        <v>245.24</v>
      </c>
      <c r="M69" s="42" t="n">
        <v>297</v>
      </c>
      <c r="N69" s="43">
        <f>SUM(B69:M69)</f>
        <v/>
      </c>
      <c r="O69" s="44">
        <f>SUM(O53:O68)</f>
        <v/>
      </c>
      <c r="P69" s="44">
        <f>SUM(P53:P68)</f>
        <v/>
      </c>
      <c r="Q69" s="44">
        <f>SUM(Q53:Q68)</f>
        <v/>
      </c>
      <c r="R69" s="44">
        <f>SUM(R53:R68)</f>
        <v/>
      </c>
      <c r="S69" s="44">
        <f>SUM(S53:S68)</f>
        <v/>
      </c>
      <c r="T69" s="44">
        <f>SUM(T53:T68)</f>
        <v/>
      </c>
      <c r="U69" s="44">
        <f>SUM(U53:U68)</f>
        <v/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11278.46</v>
      </c>
      <c r="C70" s="55" t="n">
        <v>6705.210000000001</v>
      </c>
      <c r="D70" s="55" t="n">
        <v>35352.92</v>
      </c>
      <c r="E70" s="55" t="n">
        <v>14050.32000000001</v>
      </c>
      <c r="F70" s="55" t="n">
        <v>7344.560000000003</v>
      </c>
      <c r="G70" s="55" t="n">
        <v>17602.66</v>
      </c>
      <c r="H70" s="55" t="n">
        <v>24019.18</v>
      </c>
      <c r="I70" s="55" t="n">
        <v>62.99999999999957</v>
      </c>
      <c r="J70" s="55" t="n">
        <v>4252.330000000002</v>
      </c>
      <c r="K70" s="55" t="n">
        <v>4043.919999999996</v>
      </c>
      <c r="L70" s="55" t="n">
        <v>9091.809999999996</v>
      </c>
      <c r="M70" s="55" t="n">
        <v>17028.98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63" t="inlineStr">
        <is>
          <t>Memo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60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34" t="inlineStr">
        <is>
          <t>Direct - Sales</t>
        </is>
      </c>
      <c r="B73" s="18" t="n">
        <v>37485.31</v>
      </c>
      <c r="C73" s="18" t="n">
        <v>36089.88</v>
      </c>
      <c r="D73" s="18" t="n">
        <v>65326.28</v>
      </c>
      <c r="E73" s="18" t="n">
        <v>46048.91</v>
      </c>
      <c r="F73" s="18" t="n">
        <v>39015.19</v>
      </c>
      <c r="G73" s="18" t="n">
        <v>48602.76</v>
      </c>
      <c r="H73" s="18" t="n">
        <v>56552.03</v>
      </c>
      <c r="I73" s="18" t="n">
        <v>31860.92</v>
      </c>
      <c r="J73" s="18" t="n">
        <v>36736.97</v>
      </c>
      <c r="K73" s="18" t="n">
        <v>35841.35</v>
      </c>
      <c r="L73" s="18" t="n">
        <v>37264.42</v>
      </c>
      <c r="M73" s="18" t="n">
        <v>47348.34</v>
      </c>
      <c r="N73" s="34">
        <f>SUM(B73:M73)</f>
        <v/>
      </c>
      <c r="O73" s="60">
        <f>-SUMIF('BK TB '!$T:$T,'BK P&amp;L'!$A73,'BK TB '!C:C)</f>
        <v/>
      </c>
      <c r="P73" s="60">
        <f>-SUMIF('BK TB '!$T:$T,'BK P&amp;L'!$A73,'BK TB '!D:D)</f>
        <v/>
      </c>
      <c r="Q73" s="60">
        <f>-SUMIF('BK TB '!$T:$T,'BK P&amp;L'!$A73,'BK TB '!E:E)</f>
        <v/>
      </c>
      <c r="R73" s="60">
        <f>-SUMIF('BK TB '!$T:$T,'BK P&amp;L'!$A73,'BK TB '!F:F)</f>
        <v/>
      </c>
      <c r="S73" s="60">
        <f>-SUMIF('BK TB '!$T:$T,'BK P&amp;L'!$A73,'BK TB '!G:G)</f>
        <v/>
      </c>
      <c r="T73" s="60">
        <f>-SUMIF('BK TB '!$T:$T,'BK P&amp;L'!$A73,'BK TB '!H:H)</f>
        <v/>
      </c>
      <c r="U73" s="60">
        <f>-SUMIF('BK TB '!$T:$T,'BK P&amp;L'!$A73,'BK TB '!I:I)</f>
        <v/>
      </c>
      <c r="V73" s="20" t="n"/>
      <c r="W73" s="20" t="n"/>
      <c r="X73" s="20" t="n"/>
      <c r="Y73" s="20" t="n"/>
      <c r="Z73" s="20" t="n"/>
      <c r="AA73" s="34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8" t="n"/>
      <c r="AJ73" s="59" t="inlineStr">
        <is>
          <t>Model assumptions 2027:</t>
        </is>
      </c>
      <c r="AK73" s="8" t="n"/>
      <c r="AL73" s="8" t="n"/>
      <c r="AM73" s="8" t="n"/>
      <c r="AN73" s="34" t="n"/>
      <c r="AO73" s="34" t="n"/>
      <c r="AP73" s="34" t="n"/>
    </row>
    <row r="74">
      <c r="A74" s="34" t="inlineStr">
        <is>
          <t>Direct - Staff Cost</t>
        </is>
      </c>
      <c r="B74" s="18" t="n">
        <v>-19745.57</v>
      </c>
      <c r="C74" s="18" t="n">
        <v>-19496.37</v>
      </c>
      <c r="D74" s="18" t="n">
        <v>-22214.65</v>
      </c>
      <c r="E74" s="18" t="n">
        <v>-25290.2</v>
      </c>
      <c r="F74" s="18" t="n">
        <v>-25692.01</v>
      </c>
      <c r="G74" s="18" t="n">
        <v>-27229.87</v>
      </c>
      <c r="H74" s="18" t="n">
        <v>-26832.04</v>
      </c>
      <c r="I74" s="18" t="n">
        <v>-27070.77</v>
      </c>
      <c r="J74" s="18" t="n">
        <v>-27475.83</v>
      </c>
      <c r="K74" s="18" t="n">
        <v>-26487.3</v>
      </c>
      <c r="L74" s="18" t="n">
        <v>-23007.22</v>
      </c>
      <c r="M74" s="18" t="n">
        <v>-25733.51</v>
      </c>
      <c r="N74" s="34">
        <f>SUM(B74:M74)</f>
        <v/>
      </c>
      <c r="O74" s="60">
        <f>-SUMIF('BK TB '!$T:$T,'BK P&amp;L'!$A74,'BK TB '!C:C)</f>
        <v/>
      </c>
      <c r="P74" s="60">
        <f>-SUMIF('BK TB '!$T:$T,'BK P&amp;L'!$A74,'BK TB '!D:D)</f>
        <v/>
      </c>
      <c r="Q74" s="60">
        <f>-SUMIF('BK TB '!$T:$T,'BK P&amp;L'!$A74,'BK TB '!E:E)</f>
        <v/>
      </c>
      <c r="R74" s="60">
        <f>-SUMIF('BK TB '!$T:$T,'BK P&amp;L'!$A74,'BK TB '!F:F)</f>
        <v/>
      </c>
      <c r="S74" s="60">
        <f>-SUMIF('BK TB '!$T:$T,'BK P&amp;L'!$A74,'BK TB '!G:G)</f>
        <v/>
      </c>
      <c r="T74" s="60">
        <f>-SUMIF('BK TB '!$T:$T,'BK P&amp;L'!$A74,'BK TB '!H:H)</f>
        <v/>
      </c>
      <c r="U74" s="60">
        <f>-SUMIF('BK TB '!$T:$T,'BK P&amp;L'!$A74,'BK TB '!I:I)</f>
        <v/>
      </c>
      <c r="V74" s="20" t="n"/>
      <c r="W74" s="20" t="n"/>
      <c r="X74" s="20" t="n"/>
      <c r="Y74" s="20" t="n"/>
      <c r="Z74" s="20" t="n"/>
      <c r="AA74" s="34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34" t="n"/>
      <c r="AO74" s="34" t="n"/>
      <c r="AP74" s="34" t="n"/>
    </row>
    <row r="75">
      <c r="A75" s="60" t="inlineStr">
        <is>
          <t>Direct - Childcare Cost</t>
        </is>
      </c>
      <c r="B75" s="18" t="n">
        <v>-1410.45</v>
      </c>
      <c r="C75" s="18" t="n">
        <v>-1438.49</v>
      </c>
      <c r="D75" s="18" t="n">
        <v>-1592.41</v>
      </c>
      <c r="E75" s="18" t="n">
        <v>-1168.83</v>
      </c>
      <c r="F75" s="18" t="n">
        <v>-1228.61</v>
      </c>
      <c r="G75" s="18" t="n">
        <v>-1436.12</v>
      </c>
      <c r="H75" s="18" t="n">
        <v>-1427.65</v>
      </c>
      <c r="I75" s="18" t="n">
        <v>-1493.46</v>
      </c>
      <c r="J75" s="18" t="n">
        <v>-2341.3</v>
      </c>
      <c r="K75" s="18" t="n">
        <v>-1648.7</v>
      </c>
      <c r="L75" s="18" t="n">
        <v>-2334.43</v>
      </c>
      <c r="M75" s="18" t="n">
        <v>-1598.23</v>
      </c>
      <c r="N75" s="34">
        <f>SUM(B75:M75)</f>
        <v/>
      </c>
      <c r="O75" s="60">
        <f>-SUMIF('BK TB '!$T:$T,'BK P&amp;L'!$A75,'BK TB '!C:C)</f>
        <v/>
      </c>
      <c r="P75" s="60">
        <f>-SUMIF('BK TB '!$T:$T,'BK P&amp;L'!$A75,'BK TB '!D:D)</f>
        <v/>
      </c>
      <c r="Q75" s="60">
        <f>-SUMIF('BK TB '!$T:$T,'BK P&amp;L'!$A75,'BK TB '!E:E)</f>
        <v/>
      </c>
      <c r="R75" s="60">
        <f>-SUMIF('BK TB '!$T:$T,'BK P&amp;L'!$A75,'BK TB '!F:F)</f>
        <v/>
      </c>
      <c r="S75" s="60">
        <f>-SUMIF('BK TB '!$T:$T,'BK P&amp;L'!$A75,'BK TB '!G:G)</f>
        <v/>
      </c>
      <c r="T75" s="60">
        <f>-SUMIF('BK TB '!$T:$T,'BK P&amp;L'!$A75,'BK TB '!H:H)</f>
        <v/>
      </c>
      <c r="U75" s="60">
        <f>-SUMIF('BK TB '!$T:$T,'BK P&amp;L'!$A75,'BK TB '!I:I)</f>
        <v/>
      </c>
      <c r="V75" s="20" t="n"/>
      <c r="W75" s="20" t="n"/>
      <c r="X75" s="20" t="n"/>
      <c r="Y75" s="20" t="n"/>
      <c r="Z75" s="20" t="n"/>
      <c r="AA75" s="34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34" t="n"/>
      <c r="AO75" s="34" t="n"/>
      <c r="AP75" s="34" t="n"/>
    </row>
    <row r="76">
      <c r="A76" s="60" t="inlineStr">
        <is>
          <t>Direct - Premises &amp; Admin</t>
        </is>
      </c>
      <c r="B76" s="18" t="n">
        <v>-4703.05</v>
      </c>
      <c r="C76" s="18" t="n">
        <v>-8143.23</v>
      </c>
      <c r="D76" s="18" t="n">
        <v>-5927.719999999999</v>
      </c>
      <c r="E76" s="18" t="n">
        <v>-5257.84</v>
      </c>
      <c r="F76" s="18" t="n">
        <v>-4517.860000000001</v>
      </c>
      <c r="G76" s="18" t="n">
        <v>-1961.93</v>
      </c>
      <c r="H76" s="18" t="n">
        <v>-3997.24</v>
      </c>
      <c r="I76" s="18" t="n">
        <v>-3031.71</v>
      </c>
      <c r="J76" s="18" t="n">
        <v>-2464.33</v>
      </c>
      <c r="K76" s="18" t="n">
        <v>-3201.98</v>
      </c>
      <c r="L76" s="18" t="n">
        <v>-2585.72</v>
      </c>
      <c r="M76" s="18" t="n">
        <v>-2690.62</v>
      </c>
      <c r="N76" s="8">
        <f>SUM(B76:M76)</f>
        <v/>
      </c>
      <c r="O76" s="60">
        <f>-SUMIF('BK TB '!$T:$T,'BK P&amp;L'!$A76,'BK TB '!C:C)</f>
        <v/>
      </c>
      <c r="P76" s="60">
        <f>-SUMIF('BK TB '!$T:$T,'BK P&amp;L'!$A76,'BK TB '!D:D)</f>
        <v/>
      </c>
      <c r="Q76" s="60">
        <f>-SUMIF('BK TB '!$T:$T,'BK P&amp;L'!$A76,'BK TB '!E:E)</f>
        <v/>
      </c>
      <c r="R76" s="60">
        <f>-SUMIF('BK TB '!$T:$T,'BK P&amp;L'!$A76,'BK TB '!F:F)</f>
        <v/>
      </c>
      <c r="S76" s="60">
        <f>-SUMIF('BK TB '!$T:$T,'BK P&amp;L'!$A76,'BK TB '!G:G)</f>
        <v/>
      </c>
      <c r="T76" s="60">
        <f>-SUMIF('BK TB '!$T:$T,'BK P&amp;L'!$A76,'BK TB '!H:H)</f>
        <v/>
      </c>
      <c r="U76" s="60">
        <f>-SUMIF('BK TB '!$T:$T,'BK P&amp;L'!$A76,'BK TB '!I:I)</f>
        <v/>
      </c>
      <c r="V76" s="20" t="n"/>
      <c r="W76" s="20" t="n"/>
      <c r="X76" s="20" t="n"/>
      <c r="Y76" s="20" t="n"/>
      <c r="Z76" s="20" t="n"/>
      <c r="AA76" s="8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In-Direct - Staff Cost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  <c r="G77" s="18" t="n">
        <v>0</v>
      </c>
      <c r="H77" s="18" t="n">
        <v>0</v>
      </c>
      <c r="I77" s="18" t="n">
        <v>0</v>
      </c>
      <c r="J77" s="18" t="n">
        <v>0</v>
      </c>
      <c r="K77" s="18" t="n">
        <v>0</v>
      </c>
      <c r="L77" s="18" t="n">
        <v>0</v>
      </c>
      <c r="M77" s="18" t="n">
        <v>0</v>
      </c>
      <c r="N77" s="8">
        <f>SUM(B77:M77)</f>
        <v/>
      </c>
      <c r="O77" s="60">
        <f>-SUMIF('BK TB '!$T:$T,'BK P&amp;L'!$A77,'BK TB '!C:C)</f>
        <v/>
      </c>
      <c r="P77" s="60">
        <f>-SUMIF('BK TB '!$T:$T,'BK P&amp;L'!$A77,'BK TB '!D:D)</f>
        <v/>
      </c>
      <c r="Q77" s="60">
        <f>-SUMIF('BK TB '!$T:$T,'BK P&amp;L'!$A77,'BK TB '!E:E)</f>
        <v/>
      </c>
      <c r="R77" s="60">
        <f>-SUMIF('BK TB '!$T:$T,'BK P&amp;L'!$A77,'BK TB '!F:F)</f>
        <v/>
      </c>
      <c r="S77" s="60">
        <f>-SUMIF('BK TB '!$T:$T,'BK P&amp;L'!$A77,'BK TB '!G:G)</f>
        <v/>
      </c>
      <c r="T77" s="60">
        <f>-SUMIF('BK TB '!$T:$T,'BK P&amp;L'!$A77,'BK TB '!H:H)</f>
        <v/>
      </c>
      <c r="U77" s="60">
        <f>-SUMIF('BK TB '!$T:$T,'BK P&amp;L'!$A77,'BK TB '!I:I)</f>
        <v/>
      </c>
      <c r="V77" s="20" t="n"/>
      <c r="W77" s="20" t="n"/>
      <c r="X77" s="20" t="n"/>
      <c r="Y77" s="20" t="n"/>
      <c r="Z77" s="20" t="n"/>
      <c r="AA77" s="8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Overheads</t>
        </is>
      </c>
      <c r="B78" s="18" t="n">
        <v>-347.78</v>
      </c>
      <c r="C78" s="18" t="n">
        <v>-306.58</v>
      </c>
      <c r="D78" s="18" t="n">
        <v>-238.58</v>
      </c>
      <c r="E78" s="18" t="n">
        <v>-281.72</v>
      </c>
      <c r="F78" s="18" t="n">
        <v>-232.15</v>
      </c>
      <c r="G78" s="18" t="n">
        <v>-372.18</v>
      </c>
      <c r="H78" s="18" t="n">
        <v>-275.92</v>
      </c>
      <c r="I78" s="18" t="n">
        <v>-201.98</v>
      </c>
      <c r="J78" s="18" t="n">
        <v>-203.18</v>
      </c>
      <c r="K78" s="18" t="n">
        <v>-459.45</v>
      </c>
      <c r="L78" s="18" t="n">
        <v>-245.24</v>
      </c>
      <c r="M78" s="18" t="n">
        <v>-297</v>
      </c>
      <c r="N78" s="8">
        <f>SUM(B78:M78)</f>
        <v/>
      </c>
      <c r="O78" s="60">
        <f>-SUMIF('BK TB '!$T:$T,'BK P&amp;L'!$A78,'BK TB '!C:C)</f>
        <v/>
      </c>
      <c r="P78" s="60">
        <f>-SUMIF('BK TB '!$T:$T,'BK P&amp;L'!$A78,'BK TB '!D:D)</f>
        <v/>
      </c>
      <c r="Q78" s="60">
        <f>-SUMIF('BK TB '!$T:$T,'BK P&amp;L'!$A78,'BK TB '!E:E)</f>
        <v/>
      </c>
      <c r="R78" s="60">
        <f>-SUMIF('BK TB '!$T:$T,'BK P&amp;L'!$A78,'BK TB '!F:F)</f>
        <v/>
      </c>
      <c r="S78" s="60">
        <f>-SUMIF('BK TB '!$T:$T,'BK P&amp;L'!$A78,'BK TB '!G:G)</f>
        <v/>
      </c>
      <c r="T78" s="60">
        <f>-SUMIF('BK TB '!$T:$T,'BK P&amp;L'!$A78,'BK TB '!H:H)</f>
        <v/>
      </c>
      <c r="U78" s="60">
        <f>-SUMIF('BK TB '!$T:$T,'BK P&amp;L'!$A78,'BK TB '!I:I)</f>
        <v/>
      </c>
      <c r="V78" s="20" t="n"/>
      <c r="W78" s="20" t="n"/>
      <c r="X78" s="20" t="n"/>
      <c r="Y78" s="20" t="n"/>
      <c r="Z78" s="20" t="n"/>
      <c r="AA78" s="8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 ht="15.75" customHeight="1">
      <c r="A79" s="8" t="n"/>
      <c r="B79" s="67" t="n">
        <v>11278.46</v>
      </c>
      <c r="C79" s="67" t="n">
        <v>6705.209999999999</v>
      </c>
      <c r="D79" s="67" t="n">
        <v>35352.91999999999</v>
      </c>
      <c r="E79" s="67" t="n">
        <v>14050.32000000001</v>
      </c>
      <c r="F79" s="67" t="n">
        <v>7344.560000000003</v>
      </c>
      <c r="G79" s="67" t="n">
        <v>17602.66</v>
      </c>
      <c r="H79" s="67" t="n">
        <v>24019.18</v>
      </c>
      <c r="I79" s="67" t="n">
        <v>62.9999999999973</v>
      </c>
      <c r="J79" s="67" t="n">
        <v>4252.329999999999</v>
      </c>
      <c r="K79" s="67" t="n">
        <v>4043.919999999996</v>
      </c>
      <c r="L79" s="67" t="n">
        <v>9091.809999999996</v>
      </c>
      <c r="M79" s="67" t="n">
        <v>17028.98</v>
      </c>
      <c r="N79" s="8">
        <f>SUM(B79:M79)</f>
        <v/>
      </c>
      <c r="O79" s="64">
        <f>SUM(O73:O78)</f>
        <v/>
      </c>
      <c r="P79" s="64">
        <f>SUM(P73:P78)</f>
        <v/>
      </c>
      <c r="Q79" s="64">
        <f>SUM(Q73:Q78)</f>
        <v/>
      </c>
      <c r="R79" s="64">
        <f>SUM(R73:R78)</f>
        <v/>
      </c>
      <c r="S79" s="64">
        <f>SUM(S73:S78)</f>
        <v/>
      </c>
      <c r="T79" s="64">
        <f>SUM(T73:T78)</f>
        <v/>
      </c>
      <c r="U79" s="64">
        <f>SUM(U73:U78)</f>
        <v/>
      </c>
      <c r="V79" s="68" t="n"/>
      <c r="W79" s="68" t="n"/>
      <c r="X79" s="68" t="n"/>
      <c r="Y79" s="68" t="n"/>
      <c r="Z79" s="68" t="n"/>
      <c r="AA79" s="8">
        <f>SUM(O79:T79)</f>
        <v/>
      </c>
      <c r="AB79" s="8" t="n"/>
      <c r="AC79" s="68" t="n"/>
      <c r="AD79" s="68" t="n"/>
      <c r="AE79" s="68" t="n"/>
      <c r="AF79" s="68" t="n"/>
      <c r="AG79" s="68" t="n"/>
      <c r="AH79" s="6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18" t="n">
        <v>0</v>
      </c>
      <c r="C80" s="18" t="n">
        <v>0</v>
      </c>
      <c r="D80" s="18" t="n">
        <v>0</v>
      </c>
      <c r="E80" s="18" t="n">
        <v>0</v>
      </c>
      <c r="F80" s="18" t="n">
        <v>0</v>
      </c>
      <c r="G80" s="18" t="n">
        <v>0</v>
      </c>
      <c r="H80" s="18" t="n">
        <v>0</v>
      </c>
      <c r="I80" s="18" t="n">
        <v>2.273736754432321e-12</v>
      </c>
      <c r="J80" s="18" t="n">
        <v>0</v>
      </c>
      <c r="K80" s="18" t="n">
        <v>0</v>
      </c>
      <c r="L80" s="18" t="n">
        <v>0</v>
      </c>
      <c r="M80" s="18" t="n">
        <v>0</v>
      </c>
      <c r="N80" s="60">
        <f>SUM(B80:M80)</f>
        <v/>
      </c>
      <c r="O80" s="60">
        <f>+O70-O79</f>
        <v/>
      </c>
      <c r="P80" s="60">
        <f>+P70-P79</f>
        <v/>
      </c>
      <c r="Q80" s="60">
        <f>+Q70-Q79</f>
        <v/>
      </c>
      <c r="R80" s="60">
        <f>+R70-R79</f>
        <v/>
      </c>
      <c r="S80" s="60">
        <f>+S70-S79</f>
        <v/>
      </c>
      <c r="T80" s="60">
        <f>+T70-T79</f>
        <v/>
      </c>
      <c r="U80" s="60">
        <f>+U70-U79</f>
        <v/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69" t="inlineStr">
        <is>
          <t>CHECK TO TB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-3.460343123151688e-12</v>
      </c>
      <c r="J82" s="18" t="n">
        <v>0</v>
      </c>
      <c r="K82" s="18" t="n">
        <v>0</v>
      </c>
      <c r="L82" s="18" t="n">
        <v>0</v>
      </c>
      <c r="M82" s="18" t="n"/>
      <c r="N82" s="65" t="n"/>
      <c r="O82" s="65">
        <f>O79+O83</f>
        <v/>
      </c>
      <c r="P82" s="65">
        <f>P79+P83</f>
        <v/>
      </c>
      <c r="Q82" s="65">
        <f>Q79+Q83</f>
        <v/>
      </c>
      <c r="R82" s="65">
        <f>R79+R83</f>
        <v/>
      </c>
      <c r="S82" s="65">
        <f>S79+S83</f>
        <v/>
      </c>
      <c r="T82" s="65">
        <f>T79+T83</f>
        <v/>
      </c>
      <c r="U82" s="65">
        <f>U79+U83</f>
        <v/>
      </c>
      <c r="V82" s="65">
        <f>V79+V83</f>
        <v/>
      </c>
      <c r="W82" s="65">
        <f>W79+W83</f>
        <v/>
      </c>
      <c r="X82" s="65">
        <f>X79+X83</f>
        <v/>
      </c>
      <c r="Y82" s="65">
        <f>Y79+Y83</f>
        <v/>
      </c>
      <c r="Z82" s="65">
        <f>Z79+Z83</f>
        <v/>
      </c>
      <c r="AA82" s="65" t="n"/>
      <c r="AB82" s="8" t="n"/>
      <c r="AC82" s="65" t="n"/>
      <c r="AD82" s="65" t="n"/>
      <c r="AE82" s="65" t="n"/>
      <c r="AF82" s="65" t="n"/>
      <c r="AG82" s="65" t="n"/>
      <c r="AH82" s="65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65" t="n"/>
      <c r="B83" s="65" t="n">
        <v>-11278.46</v>
      </c>
      <c r="C83" s="65" t="n">
        <v>-6705.21</v>
      </c>
      <c r="D83" s="65" t="n">
        <v>-35352.92</v>
      </c>
      <c r="E83" s="65" t="n">
        <v>-14050.32000000001</v>
      </c>
      <c r="F83" s="65" t="n">
        <v>-7344.56</v>
      </c>
      <c r="G83" s="65" t="n">
        <v>-17602.66</v>
      </c>
      <c r="H83" s="65" t="n">
        <v>-24019.17999999999</v>
      </c>
      <c r="I83" s="65" t="n">
        <v>-63.00000000000076</v>
      </c>
      <c r="J83" s="65" t="n">
        <v>-4252.330000000001</v>
      </c>
      <c r="K83" s="65" t="n">
        <v>-4043.919999999996</v>
      </c>
      <c r="L83" s="65" t="n">
        <v>-9091.809999999998</v>
      </c>
      <c r="M83" s="65" t="n"/>
      <c r="N83" s="65" t="n"/>
      <c r="O83" s="65">
        <f>SUM('BK TB '!C2:C44)</f>
        <v/>
      </c>
      <c r="P83" s="65">
        <f>SUM('BK TB '!D2:D44)</f>
        <v/>
      </c>
      <c r="Q83" s="65">
        <f>SUM('BK TB '!E2:E44)</f>
        <v/>
      </c>
      <c r="R83" s="65">
        <f>SUM('BK TB '!F2:F44)</f>
        <v/>
      </c>
      <c r="S83" s="65">
        <f>SUM('BK TB '!G2:G44)</f>
        <v/>
      </c>
      <c r="T83" s="65">
        <f>SUM('BK TB '!H2:H44)</f>
        <v/>
      </c>
      <c r="U83" s="65">
        <f>SUM('BK TB '!I2:I44)</f>
        <v/>
      </c>
      <c r="V83" s="65">
        <f>SUM('BK TB '!J2:J44)</f>
        <v/>
      </c>
      <c r="W83" s="65">
        <f>SUM('BK TB '!K2:K44)</f>
        <v/>
      </c>
      <c r="X83" s="65">
        <f>SUM('BK TB '!L2:L44)</f>
        <v/>
      </c>
      <c r="Y83" s="65">
        <f>SUM('BK TB '!M2:M44)</f>
        <v/>
      </c>
      <c r="Z83" s="65">
        <f>SUM('BK TB '!N2:N44)</f>
        <v/>
      </c>
      <c r="AA83" s="65" t="n"/>
      <c r="AB83" s="8" t="n"/>
      <c r="AC83" s="65" t="n"/>
      <c r="AD83" s="65" t="n"/>
      <c r="AE83" s="65" t="n"/>
      <c r="AF83" s="65" t="n"/>
      <c r="AG83" s="65" t="n"/>
      <c r="AH83" s="65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pane xSplit="19" ySplit="32" topLeftCell="T3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12.85546875" customWidth="1" min="27" max="27"/>
    <col width="13.140625" customWidth="1" min="28" max="28"/>
    <col width="13.28515625" customWidth="1" min="29" max="29"/>
    <col width="7.42578125" customWidth="1" min="35" max="35"/>
    <col width="12" customWidth="1" min="36" max="36"/>
    <col width="5.7109375" customWidth="1" min="40" max="40"/>
    <col width="12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Bramleywood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5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122156.52</v>
      </c>
      <c r="C8" s="35" t="n">
        <v>106947.36</v>
      </c>
      <c r="D8" s="35" t="n">
        <v>128166.24</v>
      </c>
      <c r="E8" s="35" t="n">
        <v>139357.58</v>
      </c>
      <c r="F8" s="35" t="n">
        <v>114644.73</v>
      </c>
      <c r="G8" s="35" t="n">
        <v>108480.27</v>
      </c>
      <c r="H8" s="35" t="n">
        <v>145137.16</v>
      </c>
      <c r="I8" s="35" t="n">
        <v>119462.05</v>
      </c>
      <c r="J8" s="35" t="n">
        <v>97287.09</v>
      </c>
      <c r="K8" s="35" t="n">
        <v>96101.48</v>
      </c>
      <c r="L8" s="35" t="n">
        <v>84850.06000000001</v>
      </c>
      <c r="M8" s="35" t="n">
        <v>119634.28</v>
      </c>
      <c r="N8" s="36">
        <f>SUM(B8:M8)</f>
        <v/>
      </c>
      <c r="O8" s="37" t="n">
        <v>92712.5</v>
      </c>
      <c r="P8" s="37" t="n">
        <v>82084.3</v>
      </c>
      <c r="Q8" s="37" t="n">
        <v>99688.3</v>
      </c>
      <c r="R8" s="37" t="n">
        <v>113186</v>
      </c>
      <c r="S8" s="37" t="n">
        <v>93282.10000000001</v>
      </c>
      <c r="T8" s="37" t="n">
        <v>104024</v>
      </c>
      <c r="U8" s="37" t="n">
        <v>127224</v>
      </c>
      <c r="V8" s="38" t="n">
        <v>113672.68</v>
      </c>
      <c r="W8" s="38" t="n">
        <v>79799</v>
      </c>
      <c r="X8" s="38" t="n">
        <v>72350</v>
      </c>
      <c r="Y8" s="38" t="n">
        <v>69625</v>
      </c>
      <c r="Z8" s="38" t="n">
        <v>102181</v>
      </c>
      <c r="AA8" s="36">
        <f>SUM(O8:U8)</f>
        <v/>
      </c>
      <c r="AB8" s="36">
        <f>SUM(O8:Z8)</f>
        <v/>
      </c>
      <c r="AC8" s="38" t="n">
        <v>144535.68</v>
      </c>
      <c r="AD8" s="38" t="n">
        <v>132031.1</v>
      </c>
      <c r="AE8" s="38" t="n">
        <v>158165.89</v>
      </c>
      <c r="AF8" s="38" t="n">
        <v>141527.16</v>
      </c>
      <c r="AG8" s="38" t="n">
        <v>148240.86</v>
      </c>
      <c r="AH8" s="38" t="n">
        <v>153396.96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33585.45</v>
      </c>
      <c r="C9" s="35" t="n">
        <v>66581.12</v>
      </c>
      <c r="D9" s="35" t="n">
        <v>66581.12</v>
      </c>
      <c r="E9" s="35" t="n">
        <v>28706.8</v>
      </c>
      <c r="F9" s="35" t="n">
        <v>28706.8</v>
      </c>
      <c r="G9" s="35" t="n">
        <v>67317.07000000001</v>
      </c>
      <c r="H9" s="35" t="n">
        <v>67317.05</v>
      </c>
      <c r="I9" s="35" t="n">
        <v>0</v>
      </c>
      <c r="J9" s="35" t="n">
        <v>35210.21</v>
      </c>
      <c r="K9" s="35" t="n">
        <v>33827.21</v>
      </c>
      <c r="L9" s="35" t="n">
        <v>97735.45</v>
      </c>
      <c r="M9" s="35" t="n">
        <v>101444.41</v>
      </c>
      <c r="N9" s="36">
        <f>SUM(B9:M9)</f>
        <v/>
      </c>
      <c r="O9" s="37" t="n">
        <v>44989.2</v>
      </c>
      <c r="P9" s="37" t="n">
        <v>94001.8</v>
      </c>
      <c r="Q9" s="37" t="n">
        <v>103241</v>
      </c>
      <c r="R9" s="37" t="n">
        <v>48659.8</v>
      </c>
      <c r="S9" s="37" t="n">
        <v>48659.8</v>
      </c>
      <c r="T9" s="37" t="n">
        <v>112571</v>
      </c>
      <c r="U9" s="37" t="n">
        <v>69963.39999999999</v>
      </c>
      <c r="V9" s="38" t="n"/>
      <c r="W9" s="38" t="n">
        <v>64770</v>
      </c>
      <c r="X9" s="38" t="n">
        <v>75327</v>
      </c>
      <c r="Y9" s="38" t="n">
        <v>72680</v>
      </c>
      <c r="Z9" s="38" t="n">
        <v>31680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200</v>
      </c>
      <c r="C10" s="35" t="n">
        <v>200</v>
      </c>
      <c r="D10" s="35" t="n">
        <v>250</v>
      </c>
      <c r="E10" s="35" t="n">
        <v>150</v>
      </c>
      <c r="F10" s="35" t="n">
        <v>150</v>
      </c>
      <c r="G10" s="35" t="n">
        <v>150</v>
      </c>
      <c r="H10" s="35" t="n">
        <v>150</v>
      </c>
      <c r="I10" s="35" t="n">
        <v>12901.66</v>
      </c>
      <c r="J10" s="35" t="n">
        <v>150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 t="n">
        <v>150</v>
      </c>
      <c r="P10" s="37" t="n">
        <v>150</v>
      </c>
      <c r="Q10" s="37" t="n">
        <v>150</v>
      </c>
      <c r="R10" s="37" t="n">
        <v>150</v>
      </c>
      <c r="S10" s="37" t="n">
        <v>150</v>
      </c>
      <c r="T10" s="37" t="n">
        <v>450</v>
      </c>
      <c r="U10" s="37" t="n">
        <v>150</v>
      </c>
      <c r="V10" s="38" t="n"/>
      <c r="W10" s="38" t="n">
        <v>0</v>
      </c>
      <c r="X10" s="38" t="n">
        <v>0</v>
      </c>
      <c r="Y10" s="38" t="n">
        <v>0</v>
      </c>
      <c r="Z10" s="38" t="n">
        <v>0</v>
      </c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155941.97</v>
      </c>
      <c r="C11" s="42" t="n">
        <v>173728.48</v>
      </c>
      <c r="D11" s="42" t="n">
        <v>194997.36</v>
      </c>
      <c r="E11" s="42" t="n">
        <v>168214.38</v>
      </c>
      <c r="F11" s="42" t="n">
        <v>143501.53</v>
      </c>
      <c r="G11" s="42" t="n">
        <v>175947.34</v>
      </c>
      <c r="H11" s="42" t="n">
        <v>212604.21</v>
      </c>
      <c r="I11" s="42" t="n">
        <v>132363.71</v>
      </c>
      <c r="J11" s="42" t="n">
        <v>132647.3</v>
      </c>
      <c r="K11" s="42" t="n">
        <v>130078.69</v>
      </c>
      <c r="L11" s="42" t="n">
        <v>182735.51</v>
      </c>
      <c r="M11" s="42" t="n">
        <v>221228.69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68586.24000000001</v>
      </c>
      <c r="C16" s="35" t="n">
        <v>60676.75</v>
      </c>
      <c r="D16" s="35" t="n">
        <v>61011.57</v>
      </c>
      <c r="E16" s="35" t="n">
        <v>67443.19</v>
      </c>
      <c r="F16" s="35" t="n">
        <v>72917.98</v>
      </c>
      <c r="G16" s="35" t="n">
        <v>67825.41</v>
      </c>
      <c r="H16" s="35" t="n">
        <v>75334.7</v>
      </c>
      <c r="I16" s="35" t="n">
        <v>72777.63</v>
      </c>
      <c r="J16" s="35" t="n">
        <v>80807.62</v>
      </c>
      <c r="K16" s="35" t="n">
        <v>70161.91</v>
      </c>
      <c r="L16" s="35" t="n">
        <v>67160.5</v>
      </c>
      <c r="M16" s="35" t="n">
        <v>64917.87</v>
      </c>
      <c r="N16" s="36">
        <f>SUM(B16:M16)</f>
        <v/>
      </c>
      <c r="O16" s="37" t="n">
        <v>67397.78999999999</v>
      </c>
      <c r="P16" s="37" t="n">
        <v>65169.32</v>
      </c>
      <c r="Q16" s="37" t="n">
        <v>57920.38</v>
      </c>
      <c r="R16" s="37" t="n">
        <v>61937.98</v>
      </c>
      <c r="S16" s="37" t="n">
        <v>66920.32000000001</v>
      </c>
      <c r="T16" s="37" t="n">
        <v>67131.92999999999</v>
      </c>
      <c r="U16" s="37" t="n">
        <v>67043.3</v>
      </c>
      <c r="V16" s="38" t="n">
        <v>67043.3</v>
      </c>
      <c r="W16" s="38" t="n">
        <v>67043.3</v>
      </c>
      <c r="X16" s="38" t="n">
        <v>67043.3</v>
      </c>
      <c r="Y16" s="38" t="n">
        <v>67043.3</v>
      </c>
      <c r="Z16" s="38" t="n">
        <v>67043.3</v>
      </c>
      <c r="AA16" s="36">
        <f>SUM(O16:U16)</f>
        <v/>
      </c>
      <c r="AB16" s="36">
        <f>SUM(O16:Z16)</f>
        <v/>
      </c>
      <c r="AC16" s="38" t="n">
        <v>67043.3</v>
      </c>
      <c r="AD16" s="38" t="n">
        <v>67043.3</v>
      </c>
      <c r="AE16" s="38" t="n">
        <v>67043.3</v>
      </c>
      <c r="AF16" s="38" t="n">
        <v>67043.3</v>
      </c>
      <c r="AG16" s="38" t="n">
        <v>67043.3</v>
      </c>
      <c r="AH16" s="38" t="n">
        <v>67043.3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5300.22</v>
      </c>
      <c r="C17" s="35" t="n">
        <v>4463.01</v>
      </c>
      <c r="D17" s="35" t="n">
        <v>4517.4</v>
      </c>
      <c r="E17" s="35" t="n">
        <v>6985.94</v>
      </c>
      <c r="F17" s="35" t="n">
        <v>7294.24</v>
      </c>
      <c r="G17" s="35" t="n">
        <v>6627.99</v>
      </c>
      <c r="H17" s="35" t="n">
        <v>7346.36</v>
      </c>
      <c r="I17" s="35" t="n">
        <v>7134.49</v>
      </c>
      <c r="J17" s="35" t="n">
        <v>9821.09</v>
      </c>
      <c r="K17" s="35" t="n">
        <v>6696.34</v>
      </c>
      <c r="L17" s="35" t="n">
        <v>6289.94</v>
      </c>
      <c r="M17" s="35" t="n">
        <v>6024.82</v>
      </c>
      <c r="N17" s="36">
        <f>SUM(B17:M17)</f>
        <v/>
      </c>
      <c r="O17" s="37" t="n">
        <v>6420.59</v>
      </c>
      <c r="P17" s="37" t="n">
        <v>5749.78</v>
      </c>
      <c r="Q17" s="37" t="n">
        <v>5741.09</v>
      </c>
      <c r="R17" s="37" t="n">
        <v>6217.05</v>
      </c>
      <c r="S17" s="37" t="n">
        <v>6359.57</v>
      </c>
      <c r="T17" s="37" t="n">
        <v>6618.61</v>
      </c>
      <c r="U17" s="37" t="n">
        <v>6517.08</v>
      </c>
      <c r="V17" s="38" t="n">
        <v>6517.08</v>
      </c>
      <c r="W17" s="38" t="n">
        <v>6517.08</v>
      </c>
      <c r="X17" s="38" t="n">
        <v>6517.08</v>
      </c>
      <c r="Y17" s="38" t="n">
        <v>6517.08</v>
      </c>
      <c r="Z17" s="38" t="n">
        <v>6517.08</v>
      </c>
      <c r="AA17" s="36">
        <f>SUM(O17:U17)</f>
        <v/>
      </c>
      <c r="AB17" s="36">
        <f>SUM(O17:Z17)</f>
        <v/>
      </c>
      <c r="AC17" s="38" t="n">
        <v>6517.08</v>
      </c>
      <c r="AD17" s="38" t="n">
        <v>6517.08</v>
      </c>
      <c r="AE17" s="38" t="n">
        <v>6517.08</v>
      </c>
      <c r="AF17" s="38" t="n">
        <v>6517.08</v>
      </c>
      <c r="AG17" s="38" t="n">
        <v>6517.08</v>
      </c>
      <c r="AH17" s="38" t="n">
        <v>6517.08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1186.64</v>
      </c>
      <c r="C18" s="35" t="n">
        <v>1102.67</v>
      </c>
      <c r="D18" s="35" t="n">
        <v>1084.37</v>
      </c>
      <c r="E18" s="35" t="n">
        <v>1172.06</v>
      </c>
      <c r="F18" s="35" t="n">
        <v>1236.3</v>
      </c>
      <c r="G18" s="35" t="n">
        <v>1145.18</v>
      </c>
      <c r="H18" s="35" t="n">
        <v>1293.63</v>
      </c>
      <c r="I18" s="35" t="n">
        <v>1252.61</v>
      </c>
      <c r="J18" s="35" t="n">
        <v>1273.7</v>
      </c>
      <c r="K18" s="35" t="n">
        <v>1200.38</v>
      </c>
      <c r="L18" s="35" t="n">
        <v>1188.64</v>
      </c>
      <c r="M18" s="35" t="n">
        <v>1124.16</v>
      </c>
      <c r="N18" s="36">
        <f>SUM(B18:M18)</f>
        <v/>
      </c>
      <c r="O18" s="37" t="n">
        <v>1190.11</v>
      </c>
      <c r="P18" s="37" t="n">
        <v>1065.61</v>
      </c>
      <c r="Q18" s="37" t="n">
        <v>997.11</v>
      </c>
      <c r="R18" s="37" t="n">
        <v>1098.81</v>
      </c>
      <c r="S18" s="37" t="n">
        <v>1034.65</v>
      </c>
      <c r="T18" s="37" t="n">
        <v>1054.41</v>
      </c>
      <c r="U18" s="37" t="n">
        <v>1087.65</v>
      </c>
      <c r="V18" s="38" t="n">
        <v>1087.65</v>
      </c>
      <c r="W18" s="38" t="n">
        <v>1087.65</v>
      </c>
      <c r="X18" s="38" t="n">
        <v>1087.65</v>
      </c>
      <c r="Y18" s="38" t="n">
        <v>1087.65</v>
      </c>
      <c r="Z18" s="38" t="n">
        <v>1087.65</v>
      </c>
      <c r="AA18" s="36">
        <f>SUM(O18:U18)</f>
        <v/>
      </c>
      <c r="AB18" s="36">
        <f>SUM(O18:Z18)</f>
        <v/>
      </c>
      <c r="AC18" s="38" t="n">
        <v>1087.65</v>
      </c>
      <c r="AD18" s="38" t="n">
        <v>1087.65</v>
      </c>
      <c r="AE18" s="38" t="n">
        <v>1087.65</v>
      </c>
      <c r="AF18" s="38" t="n">
        <v>1087.65</v>
      </c>
      <c r="AG18" s="38" t="n">
        <v>1087.65</v>
      </c>
      <c r="AH18" s="38" t="n">
        <v>1087.65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149.22</v>
      </c>
      <c r="C19" s="35" t="n">
        <v>0</v>
      </c>
      <c r="D19" s="35" t="n">
        <v>79.08</v>
      </c>
      <c r="E19" s="35" t="n">
        <v>0</v>
      </c>
      <c r="F19" s="35" t="n">
        <v>0</v>
      </c>
      <c r="G19" s="35" t="n">
        <v>350.58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77.22</v>
      </c>
      <c r="M19" s="35" t="n">
        <v>1091.59</v>
      </c>
      <c r="N19" s="36">
        <f>SUM(B19:M19)</f>
        <v/>
      </c>
      <c r="O19" s="37" t="n">
        <v>145.8</v>
      </c>
      <c r="P19" s="37" t="n">
        <v>0</v>
      </c>
      <c r="Q19" s="37" t="n">
        <v>0</v>
      </c>
      <c r="R19" s="37" t="n">
        <v>114.42</v>
      </c>
      <c r="S19" s="37" t="n">
        <v>0</v>
      </c>
      <c r="T19" s="37" t="n">
        <v>0</v>
      </c>
      <c r="U19" s="37" t="n">
        <v>0</v>
      </c>
      <c r="V19" s="38" t="n">
        <v>176</v>
      </c>
      <c r="W19" s="38" t="n">
        <v>176</v>
      </c>
      <c r="X19" s="38" t="n">
        <v>176</v>
      </c>
      <c r="Y19" s="38" t="n">
        <v>176</v>
      </c>
      <c r="Z19" s="38" t="n">
        <v>176</v>
      </c>
      <c r="AA19" s="36">
        <f>SUM(O19:U19)</f>
        <v/>
      </c>
      <c r="AB19" s="36">
        <f>SUM(O19:Z19)</f>
        <v/>
      </c>
      <c r="AC19" s="38" t="n">
        <v>176</v>
      </c>
      <c r="AD19" s="38" t="n">
        <v>176</v>
      </c>
      <c r="AE19" s="38" t="n">
        <v>176</v>
      </c>
      <c r="AF19" s="38" t="n">
        <v>176</v>
      </c>
      <c r="AG19" s="38" t="n">
        <v>176</v>
      </c>
      <c r="AH19" s="38" t="n">
        <v>176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30</v>
      </c>
      <c r="D20" s="35" t="n">
        <v>480</v>
      </c>
      <c r="E20" s="35" t="n">
        <v>0</v>
      </c>
      <c r="F20" s="35" t="n">
        <v>18</v>
      </c>
      <c r="G20" s="35" t="n">
        <v>540</v>
      </c>
      <c r="H20" s="35" t="n">
        <v>189.28</v>
      </c>
      <c r="I20" s="35" t="n">
        <v>0</v>
      </c>
      <c r="J20" s="35" t="n">
        <v>0</v>
      </c>
      <c r="K20" s="35" t="n">
        <v>384</v>
      </c>
      <c r="L20" s="35" t="n">
        <v>50</v>
      </c>
      <c r="M20" s="35" t="n">
        <v>-156</v>
      </c>
      <c r="N20" s="36">
        <f>SUM(B20:M20)</f>
        <v/>
      </c>
      <c r="O20" s="37" t="n">
        <v>1254</v>
      </c>
      <c r="P20" s="37" t="n">
        <v>100</v>
      </c>
      <c r="Q20" s="37" t="n">
        <v>0</v>
      </c>
      <c r="R20" s="37" t="n">
        <v>335</v>
      </c>
      <c r="S20" s="37" t="n">
        <v>-7.87</v>
      </c>
      <c r="T20" s="37" t="n">
        <v>55.86</v>
      </c>
      <c r="U20" s="37" t="n">
        <v>0</v>
      </c>
      <c r="V20" s="38" t="n">
        <v>500</v>
      </c>
      <c r="W20" s="38" t="n">
        <v>500</v>
      </c>
      <c r="X20" s="38" t="n">
        <v>500</v>
      </c>
      <c r="Y20" s="38" t="n">
        <v>500</v>
      </c>
      <c r="Z20" s="38" t="n">
        <v>500</v>
      </c>
      <c r="AA20" s="36">
        <f>SUM(O20:U20)</f>
        <v/>
      </c>
      <c r="AB20" s="36">
        <f>SUM(O20:Z20)</f>
        <v/>
      </c>
      <c r="AC20" s="38" t="n">
        <v>500</v>
      </c>
      <c r="AD20" s="38" t="n">
        <v>500</v>
      </c>
      <c r="AE20" s="38" t="n">
        <v>500</v>
      </c>
      <c r="AF20" s="38" t="n">
        <v>500</v>
      </c>
      <c r="AG20" s="38" t="n">
        <v>500</v>
      </c>
      <c r="AH20" s="38" t="n">
        <v>500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292.56</v>
      </c>
      <c r="C21" s="35" t="n">
        <v>327.49</v>
      </c>
      <c r="D21" s="35" t="n">
        <v>190</v>
      </c>
      <c r="E21" s="35" t="n">
        <v>238.69</v>
      </c>
      <c r="F21" s="35" t="n">
        <v>147.43</v>
      </c>
      <c r="G21" s="35" t="n">
        <v>436.17</v>
      </c>
      <c r="H21" s="35" t="n">
        <v>265.44</v>
      </c>
      <c r="I21" s="35" t="n">
        <v>187.74</v>
      </c>
      <c r="J21" s="35" t="n">
        <v>173.74</v>
      </c>
      <c r="K21" s="35" t="n">
        <v>173.74</v>
      </c>
      <c r="L21" s="35" t="n">
        <v>327.78</v>
      </c>
      <c r="M21" s="35" t="n">
        <v>302.37</v>
      </c>
      <c r="N21" s="36">
        <f>SUM(B21:M21)</f>
        <v/>
      </c>
      <c r="O21" s="37" t="n">
        <v>0</v>
      </c>
      <c r="P21" s="37" t="n">
        <v>212.72</v>
      </c>
      <c r="Q21" s="37" t="n">
        <v>232.51</v>
      </c>
      <c r="R21" s="37" t="n">
        <v>452.35</v>
      </c>
      <c r="S21" s="37" t="n">
        <v>231.54</v>
      </c>
      <c r="T21" s="37" t="n">
        <v>29.19</v>
      </c>
      <c r="U21" s="37" t="n">
        <v>139.62</v>
      </c>
      <c r="V21" s="38" t="n">
        <v>360</v>
      </c>
      <c r="W21" s="38" t="n">
        <v>360</v>
      </c>
      <c r="X21" s="38" t="n">
        <v>360</v>
      </c>
      <c r="Y21" s="38" t="n">
        <v>360</v>
      </c>
      <c r="Z21" s="38" t="n">
        <v>360</v>
      </c>
      <c r="AA21" s="36">
        <f>SUM(O21:U21)</f>
        <v/>
      </c>
      <c r="AB21" s="36">
        <f>SUM(O21:Z21)</f>
        <v/>
      </c>
      <c r="AC21" s="38" t="n">
        <v>360</v>
      </c>
      <c r="AD21" s="38" t="n">
        <v>360</v>
      </c>
      <c r="AE21" s="38" t="n">
        <v>360</v>
      </c>
      <c r="AF21" s="38" t="n">
        <v>360</v>
      </c>
      <c r="AG21" s="38" t="n">
        <v>360</v>
      </c>
      <c r="AH21" s="38" t="n">
        <v>360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64.8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SUMIF('BW TB'!$R:$R,'BW P&amp;L'!$A22,'BW TB'!C:C)</f>
        <v/>
      </c>
      <c r="P22" s="37">
        <f>SUMIF('BW TB'!$R:$R,'BW P&amp;L'!$A22,'BW TB'!D:D)</f>
        <v/>
      </c>
      <c r="Q22" s="37">
        <f>SUMIF('BW TB'!$R:$R,'BW P&amp;L'!$A22,'BW TB'!E:E)</f>
        <v/>
      </c>
      <c r="R22" s="37">
        <f>SUMIF('BW TB'!$R:$R,'BW P&amp;L'!$A22,'BW TB'!F:F)</f>
        <v/>
      </c>
      <c r="S22" s="37">
        <f>SUMIF('BW TB'!$R:$R,'BW P&amp;L'!$A22,'BW TB'!G:G)</f>
        <v/>
      </c>
      <c r="T22" s="37">
        <f>SUMIF('BW TB'!$R:$R,'BW P&amp;L'!$A22,'BW TB'!H:H)</f>
        <v/>
      </c>
      <c r="U22" s="37">
        <f>SUMIF('BW TB'!$R:$R,'BW P&amp;L'!$A22,'BW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47.96</v>
      </c>
      <c r="L23" s="35" t="n">
        <v>101.16</v>
      </c>
      <c r="M23" s="35" t="n">
        <v>0</v>
      </c>
      <c r="N23" s="36">
        <f>SUM(B23:M23)</f>
        <v/>
      </c>
      <c r="O23" s="37">
        <f>SUMIF('BW TB'!$R:$R,'BW P&amp;L'!$A23,'BW TB'!C:C)</f>
        <v/>
      </c>
      <c r="P23" s="37">
        <f>SUMIF('BW TB'!$R:$R,'BW P&amp;L'!$A23,'BW TB'!D:D)</f>
        <v/>
      </c>
      <c r="Q23" s="37">
        <f>SUMIF('BW TB'!$R:$R,'BW P&amp;L'!$A23,'BW TB'!E:E)</f>
        <v/>
      </c>
      <c r="R23" s="37">
        <f>SUMIF('BW TB'!$R:$R,'BW P&amp;L'!$A23,'BW TB'!F:F)</f>
        <v/>
      </c>
      <c r="S23" s="37">
        <f>SUMIF('BW TB'!$R:$R,'BW P&amp;L'!$A23,'BW TB'!G:G)</f>
        <v/>
      </c>
      <c r="T23" s="37">
        <f>SUMIF('BW TB'!$R:$R,'BW P&amp;L'!$A23,'BW TB'!H:H)</f>
        <v/>
      </c>
      <c r="U23" s="37">
        <f>SUMIF('BW TB'!$R:$R,'BW P&amp;L'!$A23,'BW TB'!I:I)</f>
        <v/>
      </c>
      <c r="V23" s="38" t="n">
        <v>150</v>
      </c>
      <c r="W23" s="38" t="n">
        <v>150</v>
      </c>
      <c r="X23" s="38" t="n">
        <v>150</v>
      </c>
      <c r="Y23" s="38" t="n">
        <v>150</v>
      </c>
      <c r="Z23" s="38" t="n">
        <v>150</v>
      </c>
      <c r="AA23" s="36">
        <f>SUM(O23:U23)</f>
        <v/>
      </c>
      <c r="AB23" s="36">
        <f>SUM(O23:Z23)</f>
        <v/>
      </c>
      <c r="AC23" s="38" t="n">
        <v>150</v>
      </c>
      <c r="AD23" s="38" t="n">
        <v>150</v>
      </c>
      <c r="AE23" s="38" t="n">
        <v>150</v>
      </c>
      <c r="AF23" s="38" t="n">
        <v>150</v>
      </c>
      <c r="AG23" s="38" t="n">
        <v>150</v>
      </c>
      <c r="AH23" s="38" t="n">
        <v>150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SUMIF('BW TB'!$R:$R,'BW P&amp;L'!$A24,'BW TB'!C:C)</f>
        <v/>
      </c>
      <c r="P24" s="37">
        <f>SUMIF('BW TB'!$R:$R,'BW P&amp;L'!$A24,'BW TB'!D:D)</f>
        <v/>
      </c>
      <c r="Q24" s="37">
        <f>SUMIF('BW TB'!$R:$R,'BW P&amp;L'!$A24,'BW TB'!E:E)</f>
        <v/>
      </c>
      <c r="R24" s="37">
        <f>SUMIF('BW TB'!$R:$R,'BW P&amp;L'!$A24,'BW TB'!F:F)</f>
        <v/>
      </c>
      <c r="S24" s="37">
        <f>SUMIF('BW TB'!$R:$R,'BW P&amp;L'!$A24,'BW TB'!G:G)</f>
        <v/>
      </c>
      <c r="T24" s="37">
        <f>SUMIF('BW TB'!$R:$R,'BW P&amp;L'!$A24,'BW TB'!H:H)</f>
        <v/>
      </c>
      <c r="U24" s="37">
        <f>SUMIF('BW TB'!$R:$R,'BW P&amp;L'!$A24,'BW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75514.88</v>
      </c>
      <c r="C25" s="42" t="n">
        <v>66664.72000000002</v>
      </c>
      <c r="D25" s="42" t="n">
        <v>67362.42</v>
      </c>
      <c r="E25" s="42" t="n">
        <v>75839.88</v>
      </c>
      <c r="F25" s="42" t="n">
        <v>81613.95</v>
      </c>
      <c r="G25" s="42" t="n">
        <v>76925.33</v>
      </c>
      <c r="H25" s="42" t="n">
        <v>84429.41</v>
      </c>
      <c r="I25" s="42" t="n">
        <v>81352.47000000002</v>
      </c>
      <c r="J25" s="42" t="n">
        <v>92076.14999999999</v>
      </c>
      <c r="K25" s="42" t="n">
        <v>78664.33000000002</v>
      </c>
      <c r="L25" s="42" t="n">
        <v>75195.24000000001</v>
      </c>
      <c r="M25" s="42" t="n">
        <v>73304.81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3976.44</v>
      </c>
      <c r="C27" s="35" t="n">
        <v>5535.73</v>
      </c>
      <c r="D27" s="35" t="n">
        <v>5538.81</v>
      </c>
      <c r="E27" s="35" t="n">
        <v>4291.04</v>
      </c>
      <c r="F27" s="35" t="n">
        <v>4795.09</v>
      </c>
      <c r="G27" s="35" t="n">
        <v>4504.63</v>
      </c>
      <c r="H27" s="35" t="n">
        <v>4768.150000000001</v>
      </c>
      <c r="I27" s="35" t="n">
        <v>4288.04</v>
      </c>
      <c r="J27" s="35" t="n">
        <v>4177.65</v>
      </c>
      <c r="K27" s="35" t="n">
        <v>4478.409999999999</v>
      </c>
      <c r="L27" s="35" t="n">
        <v>5151.79</v>
      </c>
      <c r="M27" s="35" t="n">
        <v>3622.1</v>
      </c>
      <c r="N27" s="36">
        <f>SUM(B27:M27)</f>
        <v/>
      </c>
      <c r="O27" s="37" t="n">
        <v>4148.71</v>
      </c>
      <c r="P27" s="37" t="n">
        <v>4930.31</v>
      </c>
      <c r="Q27" s="37" t="n">
        <v>5124.93</v>
      </c>
      <c r="R27" s="37" t="n">
        <v>4010.78</v>
      </c>
      <c r="S27" s="37" t="n">
        <v>5788.22</v>
      </c>
      <c r="T27" s="37" t="n">
        <v>5150.48</v>
      </c>
      <c r="U27" s="37" t="n">
        <v>4936.23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330.13</v>
      </c>
      <c r="C28" s="35" t="n">
        <v>1111.29</v>
      </c>
      <c r="D28" s="35" t="n">
        <v>135.72</v>
      </c>
      <c r="E28" s="35" t="n">
        <v>172.74</v>
      </c>
      <c r="F28" s="35" t="n">
        <v>1014.7</v>
      </c>
      <c r="G28" s="35" t="n">
        <v>1919.79</v>
      </c>
      <c r="H28" s="35" t="n">
        <v>265.47</v>
      </c>
      <c r="I28" s="35" t="n">
        <v>171.34</v>
      </c>
      <c r="J28" s="35" t="n">
        <v>0</v>
      </c>
      <c r="K28" s="35" t="n">
        <v>183.06</v>
      </c>
      <c r="L28" s="35" t="n">
        <v>257.43</v>
      </c>
      <c r="M28" s="35" t="n">
        <v>59.92</v>
      </c>
      <c r="N28" s="36">
        <f>SUM(B28:M28)</f>
        <v/>
      </c>
      <c r="O28" s="37" t="n">
        <v>91.2</v>
      </c>
      <c r="P28" s="37" t="n">
        <v>89.62</v>
      </c>
      <c r="Q28" s="37" t="n">
        <v>249.67</v>
      </c>
      <c r="R28" s="37" t="n">
        <v>456.76</v>
      </c>
      <c r="S28" s="37" t="n">
        <v>98.94</v>
      </c>
      <c r="T28" s="37" t="n">
        <v>1175.49</v>
      </c>
      <c r="U28" s="37" t="n">
        <v>39.09</v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254.49</v>
      </c>
      <c r="C29" s="35" t="n">
        <v>156.01</v>
      </c>
      <c r="D29" s="35" t="n">
        <v>409.77</v>
      </c>
      <c r="E29" s="35" t="n">
        <v>42.94</v>
      </c>
      <c r="F29" s="35" t="n">
        <v>33.34</v>
      </c>
      <c r="G29" s="35" t="n">
        <v>272.97</v>
      </c>
      <c r="H29" s="35" t="n">
        <v>83.72</v>
      </c>
      <c r="I29" s="35" t="n">
        <v>57.63</v>
      </c>
      <c r="J29" s="35" t="n">
        <v>102.12</v>
      </c>
      <c r="K29" s="35" t="n">
        <v>759.96</v>
      </c>
      <c r="L29" s="35" t="n">
        <v>355.62</v>
      </c>
      <c r="M29" s="35" t="n">
        <v>390.02</v>
      </c>
      <c r="N29" s="36">
        <f>SUM(B29:M29)</f>
        <v/>
      </c>
      <c r="O29" s="37" t="n">
        <v>0</v>
      </c>
      <c r="P29" s="37" t="n">
        <v>160.57</v>
      </c>
      <c r="Q29" s="37" t="n">
        <v>230.91</v>
      </c>
      <c r="R29" s="37" t="n">
        <v>143.14</v>
      </c>
      <c r="S29" s="37" t="n">
        <v>88.79000000000001</v>
      </c>
      <c r="T29" s="37" t="n">
        <v>256.61</v>
      </c>
      <c r="U29" s="37" t="n">
        <v>223.33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0.00208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15</v>
      </c>
      <c r="C30" s="35" t="n">
        <v>63.01</v>
      </c>
      <c r="D30" s="35" t="n">
        <v>61.27</v>
      </c>
      <c r="E30" s="35" t="n">
        <v>3.06</v>
      </c>
      <c r="F30" s="35" t="n">
        <v>1.38</v>
      </c>
      <c r="G30" s="35" t="n">
        <v>44.8</v>
      </c>
      <c r="H30" s="35" t="n">
        <v>112.74</v>
      </c>
      <c r="I30" s="35" t="n">
        <v>0</v>
      </c>
      <c r="J30" s="35" t="n">
        <v>104.18</v>
      </c>
      <c r="K30" s="35" t="n">
        <v>88.44</v>
      </c>
      <c r="L30" s="35" t="n">
        <v>41.01</v>
      </c>
      <c r="M30" s="35" t="n">
        <v>38.29</v>
      </c>
      <c r="N30" s="36">
        <f>SUM(B30:M30)</f>
        <v/>
      </c>
      <c r="O30" s="37" t="n">
        <v>6.39</v>
      </c>
      <c r="P30" s="37" t="n">
        <v>72.61</v>
      </c>
      <c r="Q30" s="37" t="n">
        <v>43.57</v>
      </c>
      <c r="R30" s="37" t="n">
        <v>35.07</v>
      </c>
      <c r="S30" s="37" t="n">
        <v>16.02</v>
      </c>
      <c r="T30" s="37" t="n">
        <v>69.76000000000001</v>
      </c>
      <c r="U30" s="37" t="n">
        <v>48.33</v>
      </c>
      <c r="V30" s="38" t="n">
        <v>278</v>
      </c>
      <c r="W30" s="38" t="n">
        <v>278</v>
      </c>
      <c r="X30" s="38" t="n">
        <v>278</v>
      </c>
      <c r="Y30" s="38" t="n">
        <v>278</v>
      </c>
      <c r="Z30" s="38" t="n">
        <v>278</v>
      </c>
      <c r="AA30" s="36">
        <f>SUM(O30:U30)</f>
        <v/>
      </c>
      <c r="AB30" s="36">
        <f>SUM(O30:Z30)</f>
        <v/>
      </c>
      <c r="AC30" s="38" t="n">
        <v>278</v>
      </c>
      <c r="AD30" s="38" t="n">
        <v>278</v>
      </c>
      <c r="AE30" s="38" t="n">
        <v>278</v>
      </c>
      <c r="AF30" s="38" t="n">
        <v>278</v>
      </c>
      <c r="AG30" s="38" t="n">
        <v>278</v>
      </c>
      <c r="AH30" s="38" t="n">
        <v>278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134.83</v>
      </c>
      <c r="C31" s="35" t="n">
        <v>92.94</v>
      </c>
      <c r="D31" s="35" t="n">
        <v>339.69</v>
      </c>
      <c r="E31" s="35" t="n">
        <v>63.56</v>
      </c>
      <c r="F31" s="35" t="n">
        <v>390.09</v>
      </c>
      <c r="G31" s="35" t="n">
        <v>775.99</v>
      </c>
      <c r="H31" s="35" t="n">
        <v>63.76</v>
      </c>
      <c r="I31" s="35" t="n">
        <v>35.62</v>
      </c>
      <c r="J31" s="35" t="n">
        <v>45.98</v>
      </c>
      <c r="K31" s="35" t="n">
        <v>380.46</v>
      </c>
      <c r="L31" s="35" t="n">
        <v>86.03999999999999</v>
      </c>
      <c r="M31" s="35" t="n">
        <v>54.77</v>
      </c>
      <c r="N31" s="36">
        <f>SUM(B31:M31)</f>
        <v/>
      </c>
      <c r="O31" s="37" t="n">
        <v>55.86</v>
      </c>
      <c r="P31" s="37" t="n">
        <v>123.78</v>
      </c>
      <c r="Q31" s="37" t="n">
        <v>0</v>
      </c>
      <c r="R31" s="37" t="n">
        <v>22.45</v>
      </c>
      <c r="S31" s="37" t="n">
        <v>59.08</v>
      </c>
      <c r="T31" s="37" t="n">
        <v>466.76</v>
      </c>
      <c r="U31" s="37" t="n">
        <v>206.96</v>
      </c>
      <c r="V31" s="38" t="n">
        <v>100</v>
      </c>
      <c r="W31" s="38" t="n">
        <v>100</v>
      </c>
      <c r="X31" s="38" t="n">
        <v>100</v>
      </c>
      <c r="Y31" s="38" t="n">
        <v>100</v>
      </c>
      <c r="Z31" s="38" t="n">
        <v>100</v>
      </c>
      <c r="AA31" s="36">
        <f>SUM(O31:U31)</f>
        <v/>
      </c>
      <c r="AB31" s="36">
        <f>SUM(O31:Z31)</f>
        <v/>
      </c>
      <c r="AC31" s="38" t="n">
        <v>100</v>
      </c>
      <c r="AD31" s="38" t="n">
        <v>100</v>
      </c>
      <c r="AE31" s="38" t="n">
        <v>100</v>
      </c>
      <c r="AF31" s="38" t="n">
        <v>100</v>
      </c>
      <c r="AG31" s="38" t="n">
        <v>100</v>
      </c>
      <c r="AH31" s="38" t="n">
        <v>100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613.9399999999999</v>
      </c>
      <c r="C32" s="35" t="n">
        <v>594.12</v>
      </c>
      <c r="D32" s="35" t="n">
        <v>559.58</v>
      </c>
      <c r="E32" s="35" t="n">
        <v>836.4699999999999</v>
      </c>
      <c r="F32" s="35" t="n">
        <v>1013.37</v>
      </c>
      <c r="G32" s="35" t="n">
        <v>899.1799999999999</v>
      </c>
      <c r="H32" s="35" t="n">
        <v>727.6099999999999</v>
      </c>
      <c r="I32" s="35" t="n">
        <v>927.6</v>
      </c>
      <c r="J32" s="35" t="n">
        <v>674.42</v>
      </c>
      <c r="K32" s="35" t="n">
        <v>746.21</v>
      </c>
      <c r="L32" s="35" t="n">
        <v>746.59</v>
      </c>
      <c r="M32" s="35" t="n">
        <v>1042.1</v>
      </c>
      <c r="N32" s="36">
        <f>SUM(B32:M32)</f>
        <v/>
      </c>
      <c r="O32" s="37" t="n">
        <v>1014.79</v>
      </c>
      <c r="P32" s="37" t="n">
        <v>667.24</v>
      </c>
      <c r="Q32" s="37" t="n">
        <v>625.97</v>
      </c>
      <c r="R32" s="37" t="n">
        <v>1223.46</v>
      </c>
      <c r="S32" s="37" t="n">
        <v>1072.87</v>
      </c>
      <c r="T32" s="37" t="n">
        <v>248.7</v>
      </c>
      <c r="U32" s="37" t="n">
        <v>985.75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SUMIF('BW TB'!$R:$R,'BW P&amp;L'!$A33,'BW TB'!C:C)</f>
        <v/>
      </c>
      <c r="P33" s="37">
        <f>SUMIF('BW TB'!$R:$R,'BW P&amp;L'!$A33,'BW TB'!D:D)</f>
        <v/>
      </c>
      <c r="Q33" s="37">
        <f>SUMIF('BW TB'!$R:$R,'BW P&amp;L'!$A33,'BW TB'!E:E)</f>
        <v/>
      </c>
      <c r="R33" s="37">
        <f>SUMIF('BW TB'!$R:$R,'BW P&amp;L'!$A33,'BW TB'!F:F)</f>
        <v/>
      </c>
      <c r="S33" s="37">
        <f>SUMIF('BW TB'!$R:$R,'BW P&amp;L'!$A33,'BW TB'!G:G)</f>
        <v/>
      </c>
      <c r="T33" s="37">
        <f>SUMIF('BW TB'!$R:$R,'BW P&amp;L'!$A33,'BW TB'!H:H)</f>
        <v/>
      </c>
      <c r="U33" s="37">
        <f>SUMIF('BW TB'!$R:$R,'BW P&amp;L'!$A33,'BW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5324.829999999999</v>
      </c>
      <c r="C34" s="42" t="n">
        <v>7553.1</v>
      </c>
      <c r="D34" s="42" t="n">
        <v>7044.840000000001</v>
      </c>
      <c r="E34" s="42" t="n">
        <v>5409.81</v>
      </c>
      <c r="F34" s="42" t="n">
        <v>7247.97</v>
      </c>
      <c r="G34" s="42" t="n">
        <v>8417.360000000001</v>
      </c>
      <c r="H34" s="42" t="n">
        <v>6021.450000000001</v>
      </c>
      <c r="I34" s="42" t="n">
        <v>5480.23</v>
      </c>
      <c r="J34" s="42" t="n">
        <v>5104.349999999999</v>
      </c>
      <c r="K34" s="42" t="n">
        <v>6636.539999999999</v>
      </c>
      <c r="L34" s="42" t="n">
        <v>6638.48</v>
      </c>
      <c r="M34" s="42" t="n">
        <v>5207.200000000001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SUMIF('BW TB'!$R:$R,'BW P&amp;L'!$A36,'BW TB'!C:C)</f>
        <v/>
      </c>
      <c r="P36" s="37">
        <f>SUMIF('BW TB'!$R:$R,'BW P&amp;L'!$A36,'BW TB'!D:D)</f>
        <v/>
      </c>
      <c r="Q36" s="37">
        <f>SUMIF('BW TB'!$R:$R,'BW P&amp;L'!$A36,'BW TB'!E:E)</f>
        <v/>
      </c>
      <c r="R36" s="37">
        <f>SUMIF('BW TB'!$R:$R,'BW P&amp;L'!$A36,'BW TB'!F:F)</f>
        <v/>
      </c>
      <c r="S36" s="37">
        <f>SUMIF('BW TB'!$R:$R,'BW P&amp;L'!$A36,'BW TB'!G:G)</f>
        <v/>
      </c>
      <c r="T36" s="37">
        <f>SUMIF('BW TB'!$R:$R,'BW P&amp;L'!$A36,'BW TB'!H:H)</f>
        <v/>
      </c>
      <c r="U36" s="37">
        <f>SUMIF('BW TB'!$R:$R,'BW P&amp;L'!$A36,'BW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3025.75</v>
      </c>
      <c r="C37" s="35" t="n">
        <v>3025.75</v>
      </c>
      <c r="D37" s="35" t="n">
        <v>3025.75</v>
      </c>
      <c r="E37" s="35" t="n">
        <v>3075.63</v>
      </c>
      <c r="F37" s="35" t="n">
        <v>3075.63</v>
      </c>
      <c r="G37" s="35" t="n">
        <v>3075.63</v>
      </c>
      <c r="H37" s="35" t="n">
        <v>3075.63</v>
      </c>
      <c r="I37" s="35" t="n">
        <v>3075.63</v>
      </c>
      <c r="J37" s="35" t="n">
        <v>3075.63</v>
      </c>
      <c r="K37" s="35" t="n">
        <v>3075.63</v>
      </c>
      <c r="L37" s="35" t="n">
        <v>3075.63</v>
      </c>
      <c r="M37" s="35" t="n">
        <v>3075.63</v>
      </c>
      <c r="N37" s="36">
        <f>SUM(B37:M37)</f>
        <v/>
      </c>
      <c r="O37" s="37" t="n">
        <v>3075.61</v>
      </c>
      <c r="P37" s="37" t="n">
        <v>3075.61</v>
      </c>
      <c r="Q37" s="37" t="n">
        <v>3075.61</v>
      </c>
      <c r="R37" s="37" t="n">
        <v>3123.75</v>
      </c>
      <c r="S37" s="37" t="n">
        <v>3123.75</v>
      </c>
      <c r="T37" s="37" t="n">
        <v>3123.75</v>
      </c>
      <c r="U37" s="37" t="n">
        <v>3123.75</v>
      </c>
      <c r="V37" s="38" t="n">
        <v>3123.75</v>
      </c>
      <c r="W37" s="38" t="n">
        <v>3123.75</v>
      </c>
      <c r="X37" s="38" t="n">
        <v>3123.75</v>
      </c>
      <c r="Y37" s="38" t="n">
        <v>3123.75</v>
      </c>
      <c r="Z37" s="38" t="n">
        <v>3123.75</v>
      </c>
      <c r="AA37" s="36">
        <f>SUM(O37:U37)</f>
        <v/>
      </c>
      <c r="AB37" s="36">
        <f>SUM(O37:Z37)</f>
        <v/>
      </c>
      <c r="AC37" s="38" t="n">
        <v>3123.75</v>
      </c>
      <c r="AD37" s="38" t="n">
        <v>3123.75</v>
      </c>
      <c r="AE37" s="38" t="n">
        <v>3123.75</v>
      </c>
      <c r="AF37" s="38" t="n">
        <v>3123.75</v>
      </c>
      <c r="AG37" s="38" t="n">
        <v>3123.75</v>
      </c>
      <c r="AH37" s="38" t="n">
        <v>3123.75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2790.8</v>
      </c>
      <c r="C38" s="35" t="n">
        <v>2628.84</v>
      </c>
      <c r="D38" s="35" t="n">
        <v>4292.94</v>
      </c>
      <c r="E38" s="35" t="n">
        <v>5529.950000000001</v>
      </c>
      <c r="F38" s="35" t="n">
        <v>1656.64</v>
      </c>
      <c r="G38" s="35" t="n">
        <v>2428.37</v>
      </c>
      <c r="H38" s="35" t="n">
        <v>1773.3</v>
      </c>
      <c r="I38" s="35" t="n">
        <v>1422.35</v>
      </c>
      <c r="J38" s="35" t="n">
        <v>2223.76</v>
      </c>
      <c r="K38" s="35" t="n">
        <v>3805.35</v>
      </c>
      <c r="L38" s="35" t="n">
        <v>3193.73</v>
      </c>
      <c r="M38" s="35" t="n">
        <v>3368.92</v>
      </c>
      <c r="N38" s="36">
        <f>SUM(B38:M38)</f>
        <v/>
      </c>
      <c r="O38" s="37" t="n">
        <v>4087.64</v>
      </c>
      <c r="P38" s="37" t="n">
        <v>4314.61</v>
      </c>
      <c r="Q38" s="37" t="n">
        <v>2945.05</v>
      </c>
      <c r="R38" s="37" t="n">
        <v>2778.49</v>
      </c>
      <c r="S38" s="37" t="n">
        <v>2142.48</v>
      </c>
      <c r="T38" s="37" t="n">
        <v>2285.87</v>
      </c>
      <c r="U38" s="37" t="n">
        <v>1722.41</v>
      </c>
      <c r="V38" s="38" t="n">
        <v>3138</v>
      </c>
      <c r="W38" s="38" t="n">
        <v>3138</v>
      </c>
      <c r="X38" s="38" t="n">
        <v>3138</v>
      </c>
      <c r="Y38" s="38" t="n">
        <v>3138</v>
      </c>
      <c r="Z38" s="38" t="n">
        <v>3138</v>
      </c>
      <c r="AA38" s="36">
        <f>SUM(O38:U38)</f>
        <v/>
      </c>
      <c r="AB38" s="36">
        <f>SUM(O38:Z38)</f>
        <v/>
      </c>
      <c r="AC38" s="38" t="n">
        <v>3138</v>
      </c>
      <c r="AD38" s="38" t="n">
        <v>3138</v>
      </c>
      <c r="AE38" s="38" t="n">
        <v>3138</v>
      </c>
      <c r="AF38" s="38" t="n">
        <v>3138</v>
      </c>
      <c r="AG38" s="38" t="n">
        <v>3138</v>
      </c>
      <c r="AH38" s="38" t="n">
        <v>3138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924.6799999999999</v>
      </c>
      <c r="C39" s="35" t="n">
        <v>752.58</v>
      </c>
      <c r="D39" s="35" t="n">
        <v>409.33</v>
      </c>
      <c r="E39" s="35" t="n">
        <v>1010.79</v>
      </c>
      <c r="F39" s="35" t="n">
        <v>213.72</v>
      </c>
      <c r="G39" s="35" t="n">
        <v>535.9799999999999</v>
      </c>
      <c r="H39" s="35" t="n">
        <v>2248.4</v>
      </c>
      <c r="I39" s="35" t="n">
        <v>2709.69</v>
      </c>
      <c r="J39" s="35" t="n">
        <v>912.3100000000001</v>
      </c>
      <c r="K39" s="35" t="n">
        <v>1226.69</v>
      </c>
      <c r="L39" s="35" t="n">
        <v>65.19</v>
      </c>
      <c r="M39" s="35" t="n">
        <v>192.39</v>
      </c>
      <c r="N39" s="36">
        <f>SUM(B39:M39)</f>
        <v/>
      </c>
      <c r="O39" s="37" t="n">
        <v>482.98</v>
      </c>
      <c r="P39" s="37" t="n">
        <v>65.19</v>
      </c>
      <c r="Q39" s="37" t="n">
        <v>81.48</v>
      </c>
      <c r="R39" s="37" t="n">
        <v>217.62</v>
      </c>
      <c r="S39" s="37" t="n">
        <v>546.64</v>
      </c>
      <c r="T39" s="37" t="n">
        <v>445.08</v>
      </c>
      <c r="U39" s="37" t="n">
        <v>1103.45</v>
      </c>
      <c r="V39" s="38" t="n">
        <v>1500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3992.33</v>
      </c>
      <c r="C40" s="35" t="n">
        <v>3985.5</v>
      </c>
      <c r="D40" s="35" t="n">
        <v>3876.24</v>
      </c>
      <c r="E40" s="35" t="n">
        <v>4757.82</v>
      </c>
      <c r="F40" s="35" t="n">
        <v>3752.54</v>
      </c>
      <c r="G40" s="35" t="n">
        <v>3993.33</v>
      </c>
      <c r="H40" s="35" t="n">
        <v>4752.64</v>
      </c>
      <c r="I40" s="35" t="n">
        <v>8059.97</v>
      </c>
      <c r="J40" s="35" t="n">
        <v>4609.84</v>
      </c>
      <c r="K40" s="35" t="n">
        <v>755.6900000000001</v>
      </c>
      <c r="L40" s="35" t="n">
        <v>4164.74</v>
      </c>
      <c r="M40" s="35" t="n">
        <v>4041.48</v>
      </c>
      <c r="N40" s="36">
        <f>SUM(B40:M40)</f>
        <v/>
      </c>
      <c r="O40" s="37" t="n">
        <v>3097.61</v>
      </c>
      <c r="P40" s="37" t="n">
        <v>7311.5</v>
      </c>
      <c r="Q40" s="37" t="n">
        <v>416.9</v>
      </c>
      <c r="R40" s="37" t="n">
        <v>4015.5</v>
      </c>
      <c r="S40" s="37" t="n">
        <v>4246.18</v>
      </c>
      <c r="T40" s="37" t="n">
        <v>4420.44</v>
      </c>
      <c r="U40" s="37" t="n">
        <v>4546.02</v>
      </c>
      <c r="V40" s="38" t="n">
        <v>4300</v>
      </c>
      <c r="W40" s="38" t="n">
        <v>4300</v>
      </c>
      <c r="X40" s="38" t="n">
        <v>4300</v>
      </c>
      <c r="Y40" s="38" t="n">
        <v>4300</v>
      </c>
      <c r="Z40" s="38" t="n">
        <v>4300</v>
      </c>
      <c r="AA40" s="36">
        <f>SUM(O40:U40)</f>
        <v/>
      </c>
      <c r="AB40" s="36">
        <f>SUM(O40:Z40)</f>
        <v/>
      </c>
      <c r="AC40" s="38" t="n">
        <v>4300</v>
      </c>
      <c r="AD40" s="38" t="n">
        <v>4300</v>
      </c>
      <c r="AE40" s="38" t="n">
        <v>4300</v>
      </c>
      <c r="AF40" s="38" t="n">
        <v>4300</v>
      </c>
      <c r="AG40" s="38" t="n">
        <v>4300</v>
      </c>
      <c r="AH40" s="38" t="n">
        <v>4300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623.08</v>
      </c>
      <c r="C41" s="35" t="n">
        <v>831.76</v>
      </c>
      <c r="D41" s="35" t="n">
        <v>836.49</v>
      </c>
      <c r="E41" s="35" t="n">
        <v>747.74</v>
      </c>
      <c r="F41" s="35" t="n">
        <v>481.62</v>
      </c>
      <c r="G41" s="35" t="n">
        <v>810.6499999999999</v>
      </c>
      <c r="H41" s="35" t="n">
        <v>662.91</v>
      </c>
      <c r="I41" s="35" t="n">
        <v>701.49</v>
      </c>
      <c r="J41" s="35" t="n">
        <v>1035.73</v>
      </c>
      <c r="K41" s="35" t="n">
        <v>720.8</v>
      </c>
      <c r="L41" s="35" t="n">
        <v>715.36</v>
      </c>
      <c r="M41" s="35" t="n">
        <v>834.1999999999999</v>
      </c>
      <c r="N41" s="36">
        <f>SUM(B41:M41)</f>
        <v/>
      </c>
      <c r="O41" s="37" t="n">
        <v>715.36</v>
      </c>
      <c r="P41" s="37" t="n">
        <v>715.36</v>
      </c>
      <c r="Q41" s="37" t="n">
        <v>843.86</v>
      </c>
      <c r="R41" s="37" t="n">
        <v>1039.5</v>
      </c>
      <c r="S41" s="37" t="n">
        <v>796.4</v>
      </c>
      <c r="T41" s="37" t="n">
        <v>429.02</v>
      </c>
      <c r="U41" s="37" t="n">
        <v>1016.67</v>
      </c>
      <c r="V41" s="38" t="n">
        <v>746</v>
      </c>
      <c r="W41" s="38" t="n">
        <v>746</v>
      </c>
      <c r="X41" s="38" t="n">
        <v>746</v>
      </c>
      <c r="Y41" s="38" t="n">
        <v>746</v>
      </c>
      <c r="Z41" s="38" t="n">
        <v>746</v>
      </c>
      <c r="AA41" s="36">
        <f>SUM(O41:U41)</f>
        <v/>
      </c>
      <c r="AB41" s="36">
        <f>SUM(O41:Z41)</f>
        <v/>
      </c>
      <c r="AC41" s="38" t="n">
        <v>746</v>
      </c>
      <c r="AD41" s="38" t="n">
        <v>746</v>
      </c>
      <c r="AE41" s="38" t="n">
        <v>746</v>
      </c>
      <c r="AF41" s="38" t="n">
        <v>746</v>
      </c>
      <c r="AG41" s="38" t="n">
        <v>746</v>
      </c>
      <c r="AH41" s="38" t="n">
        <v>746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72.16</v>
      </c>
      <c r="C42" s="35" t="n">
        <v>108.21</v>
      </c>
      <c r="D42" s="35" t="n">
        <v>93.42</v>
      </c>
      <c r="E42" s="35" t="n">
        <v>86.88</v>
      </c>
      <c r="F42" s="35" t="n">
        <v>91.48</v>
      </c>
      <c r="G42" s="35" t="n">
        <v>133.56</v>
      </c>
      <c r="H42" s="35" t="n">
        <v>135.07</v>
      </c>
      <c r="I42" s="35" t="n">
        <v>63.11</v>
      </c>
      <c r="J42" s="35" t="n">
        <v>156.44</v>
      </c>
      <c r="K42" s="35" t="n">
        <v>93.01000000000001</v>
      </c>
      <c r="L42" s="35" t="n">
        <v>12.84</v>
      </c>
      <c r="M42" s="35" t="n">
        <v>72.92</v>
      </c>
      <c r="N42" s="36">
        <f>SUM(B42:M42)</f>
        <v/>
      </c>
      <c r="O42" s="37" t="n">
        <v>75.37</v>
      </c>
      <c r="P42" s="37" t="n">
        <v>96.28</v>
      </c>
      <c r="Q42" s="37" t="n">
        <v>268.58</v>
      </c>
      <c r="R42" s="37" t="n">
        <v>106.13</v>
      </c>
      <c r="S42" s="37" t="n">
        <v>149.21</v>
      </c>
      <c r="T42" s="37" t="n">
        <v>172.86</v>
      </c>
      <c r="U42" s="37" t="n">
        <v>64.59999999999999</v>
      </c>
      <c r="V42" s="38" t="n">
        <v>150</v>
      </c>
      <c r="W42" s="38" t="n">
        <v>150</v>
      </c>
      <c r="X42" s="38" t="n">
        <v>150</v>
      </c>
      <c r="Y42" s="38" t="n">
        <v>150</v>
      </c>
      <c r="Z42" s="38" t="n">
        <v>150</v>
      </c>
      <c r="AA42" s="36">
        <f>SUM(O42:U42)</f>
        <v/>
      </c>
      <c r="AB42" s="36">
        <f>SUM(O42:Z42)</f>
        <v/>
      </c>
      <c r="AC42" s="38" t="n">
        <v>150</v>
      </c>
      <c r="AD42" s="38" t="n">
        <v>150</v>
      </c>
      <c r="AE42" s="38" t="n">
        <v>150</v>
      </c>
      <c r="AF42" s="38" t="n">
        <v>150</v>
      </c>
      <c r="AG42" s="38" t="n">
        <v>150</v>
      </c>
      <c r="AH42" s="38" t="n">
        <v>150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SUMIF('BW TB'!$R:$R,'BW P&amp;L'!$A43,'BW TB'!C:C)</f>
        <v/>
      </c>
      <c r="P43" s="37">
        <f>SUMIF('BW TB'!$R:$R,'BW P&amp;L'!$A43,'BW TB'!D:D)</f>
        <v/>
      </c>
      <c r="Q43" s="37">
        <f>SUMIF('BW TB'!$R:$R,'BW P&amp;L'!$A43,'BW TB'!E:E)</f>
        <v/>
      </c>
      <c r="R43" s="37">
        <f>SUMIF('BW TB'!$R:$R,'BW P&amp;L'!$A43,'BW TB'!F:F)</f>
        <v/>
      </c>
      <c r="S43" s="37">
        <f>SUMIF('BW TB'!$R:$R,'BW P&amp;L'!$A43,'BW TB'!G:G)</f>
        <v/>
      </c>
      <c r="T43" s="37">
        <f>SUMIF('BW TB'!$R:$R,'BW P&amp;L'!$A43,'BW TB'!H:H)</f>
        <v/>
      </c>
      <c r="U43" s="37">
        <f>SUMIF('BW TB'!$R:$R,'BW P&amp;L'!$A43,'BW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SUMIF('BW TB'!$R:$R,'BW P&amp;L'!$A44,'BW TB'!C:C)</f>
        <v/>
      </c>
      <c r="P44" s="37">
        <f>SUMIF('BW TB'!$R:$R,'BW P&amp;L'!$A44,'BW TB'!D:D)</f>
        <v/>
      </c>
      <c r="Q44" s="37">
        <f>SUMIF('BW TB'!$R:$R,'BW P&amp;L'!$A44,'BW TB'!E:E)</f>
        <v/>
      </c>
      <c r="R44" s="37">
        <f>SUMIF('BW TB'!$R:$R,'BW P&amp;L'!$A44,'BW TB'!F:F)</f>
        <v/>
      </c>
      <c r="S44" s="37">
        <f>SUMIF('BW TB'!$R:$R,'BW P&amp;L'!$A44,'BW TB'!G:G)</f>
        <v/>
      </c>
      <c r="T44" s="37">
        <f>SUMIF('BW TB'!$R:$R,'BW P&amp;L'!$A44,'BW TB'!H:H)</f>
        <v/>
      </c>
      <c r="U44" s="37">
        <f>SUMIF('BW TB'!$R:$R,'BW P&amp;L'!$A44,'BW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64.8</v>
      </c>
      <c r="D45" s="35" t="n">
        <v>345.62</v>
      </c>
      <c r="E45" s="35" t="n">
        <v>0</v>
      </c>
      <c r="F45" s="35" t="n">
        <v>129.6</v>
      </c>
      <c r="G45" s="35" t="n">
        <v>45</v>
      </c>
      <c r="H45" s="35" t="n">
        <v>0</v>
      </c>
      <c r="I45" s="35" t="n">
        <v>90</v>
      </c>
      <c r="J45" s="35" t="n">
        <v>0</v>
      </c>
      <c r="K45" s="35" t="n">
        <v>0</v>
      </c>
      <c r="L45" s="35" t="n">
        <v>220</v>
      </c>
      <c r="M45" s="35" t="n">
        <v>0</v>
      </c>
      <c r="N45" s="36">
        <f>SUM(B45:M45)</f>
        <v/>
      </c>
      <c r="O45" s="37" t="n">
        <v>264</v>
      </c>
      <c r="P45" s="37" t="n">
        <v>0</v>
      </c>
      <c r="Q45" s="37" t="n">
        <v>0</v>
      </c>
      <c r="R45" s="37" t="n">
        <v>282</v>
      </c>
      <c r="S45" s="37" t="n">
        <v>0</v>
      </c>
      <c r="T45" s="37" t="n">
        <v>0</v>
      </c>
      <c r="U45" s="37" t="n">
        <v>3.75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SUMIF('BW TB'!$R:$R,'BW P&amp;L'!$A46,'BW TB'!C:C)</f>
        <v/>
      </c>
      <c r="P46" s="37">
        <f>SUMIF('BW TB'!$R:$R,'BW P&amp;L'!$A46,'BW TB'!D:D)</f>
        <v/>
      </c>
      <c r="Q46" s="37">
        <f>SUMIF('BW TB'!$R:$R,'BW P&amp;L'!$A46,'BW TB'!E:E)</f>
        <v/>
      </c>
      <c r="R46" s="37">
        <f>SUMIF('BW TB'!$R:$R,'BW P&amp;L'!$A46,'BW TB'!F:F)</f>
        <v/>
      </c>
      <c r="S46" s="37">
        <f>SUMIF('BW TB'!$R:$R,'BW P&amp;L'!$A46,'BW TB'!G:G)</f>
        <v/>
      </c>
      <c r="T46" s="37">
        <f>SUMIF('BW TB'!$R:$R,'BW P&amp;L'!$A46,'BW TB'!H:H)</f>
        <v/>
      </c>
      <c r="U46" s="37">
        <f>SUMIF('BW TB'!$R:$R,'BW P&amp;L'!$A46,'BW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11428.8</v>
      </c>
      <c r="C47" s="42" t="n">
        <v>11397.44</v>
      </c>
      <c r="D47" s="42" t="n">
        <v>12879.79</v>
      </c>
      <c r="E47" s="42" t="n">
        <v>15208.81</v>
      </c>
      <c r="F47" s="42" t="n">
        <v>9401.230000000001</v>
      </c>
      <c r="G47" s="42" t="n">
        <v>11022.52</v>
      </c>
      <c r="H47" s="42" t="n">
        <v>12647.95</v>
      </c>
      <c r="I47" s="42" t="n">
        <v>16122.24</v>
      </c>
      <c r="J47" s="42" t="n">
        <v>12013.71</v>
      </c>
      <c r="K47" s="42" t="n">
        <v>9677.17</v>
      </c>
      <c r="L47" s="42" t="n">
        <v>11447.49</v>
      </c>
      <c r="M47" s="42" t="n">
        <v>11585.54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92268.51000000001</v>
      </c>
      <c r="C48" s="23" t="n">
        <v>85615.26000000001</v>
      </c>
      <c r="D48" s="23" t="n">
        <v>87287.04999999999</v>
      </c>
      <c r="E48" s="23" t="n">
        <v>96458.5</v>
      </c>
      <c r="F48" s="23" t="n">
        <v>98263.14999999999</v>
      </c>
      <c r="G48" s="23" t="n">
        <v>96365.21000000001</v>
      </c>
      <c r="H48" s="23" t="n">
        <v>103098.81</v>
      </c>
      <c r="I48" s="23" t="n">
        <v>102954.94</v>
      </c>
      <c r="J48" s="23" t="n">
        <v>109194.21</v>
      </c>
      <c r="K48" s="23" t="n">
        <v>94978.04000000001</v>
      </c>
      <c r="L48" s="23" t="n">
        <v>93281.21000000001</v>
      </c>
      <c r="M48" s="23" t="n">
        <v>90097.54999999999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63673.45999999999</v>
      </c>
      <c r="C50" s="55" t="n">
        <v>88113.21999999997</v>
      </c>
      <c r="D50" s="55" t="n">
        <v>107710.31</v>
      </c>
      <c r="E50" s="55" t="n">
        <v>71755.87999999998</v>
      </c>
      <c r="F50" s="55" t="n">
        <v>45238.38</v>
      </c>
      <c r="G50" s="55" t="n">
        <v>79582.13000000002</v>
      </c>
      <c r="H50" s="55" t="n">
        <v>109505.4</v>
      </c>
      <c r="I50" s="55" t="n">
        <v>29408.76999999997</v>
      </c>
      <c r="J50" s="55" t="n">
        <v>23453.08999999998</v>
      </c>
      <c r="K50" s="55" t="n">
        <v>35100.64999999999</v>
      </c>
      <c r="L50" s="55" t="n">
        <v>89454.3</v>
      </c>
      <c r="M50" s="55" t="n">
        <v>131131.14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SUMIF('BW TB'!$R:$R,'BW P&amp;L'!$A53,'BW TB'!C:C)</f>
        <v/>
      </c>
      <c r="P53" s="37">
        <f>SUMIF('BW TB'!$R:$R,'BW P&amp;L'!$A53,'BW TB'!D:D)</f>
        <v/>
      </c>
      <c r="Q53" s="37">
        <f>SUMIF('BW TB'!$R:$R,'BW P&amp;L'!$A53,'BW TB'!E:E)</f>
        <v/>
      </c>
      <c r="R53" s="37">
        <f>SUMIF('BW TB'!$R:$R,'BW P&amp;L'!$A53,'BW TB'!F:F)</f>
        <v/>
      </c>
      <c r="S53" s="37">
        <f>SUMIF('BW TB'!$R:$R,'BW P&amp;L'!$A53,'BW TB'!G:G)</f>
        <v/>
      </c>
      <c r="T53" s="37">
        <f>SUMIF('BW TB'!$R:$R,'BW P&amp;L'!$A53,'BW TB'!H:H)</f>
        <v/>
      </c>
      <c r="U53" s="37">
        <f>SUMIF('BW TB'!$R:$R,'BW P&amp;L'!$A53,'BW TB'!I:I)</f>
        <v/>
      </c>
      <c r="V53" s="38" t="n">
        <v>0</v>
      </c>
      <c r="W53" s="38" t="n">
        <v>0</v>
      </c>
      <c r="X53" s="38" t="n">
        <v>0</v>
      </c>
      <c r="Y53" s="38" t="n">
        <v>0</v>
      </c>
      <c r="Z53" s="38" t="n">
        <v>0</v>
      </c>
      <c r="AA53" s="36">
        <f>SUM(O53:U53)</f>
        <v/>
      </c>
      <c r="AB53" s="36">
        <f>SUM(O53:Z53)</f>
        <v/>
      </c>
      <c r="AC53" s="38" t="n">
        <v>0</v>
      </c>
      <c r="AD53" s="38" t="n">
        <v>0</v>
      </c>
      <c r="AE53" s="38" t="n">
        <v>0</v>
      </c>
      <c r="AF53" s="38" t="n">
        <v>0</v>
      </c>
      <c r="AG53" s="38" t="n">
        <v>0</v>
      </c>
      <c r="AH53" s="38" t="n">
        <v>0</v>
      </c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SUMIF('BW TB'!$R:$R,'BW P&amp;L'!$A54,'BW TB'!C:C)</f>
        <v/>
      </c>
      <c r="P54" s="37">
        <f>SUMIF('BW TB'!$R:$R,'BW P&amp;L'!$A54,'BW TB'!D:D)</f>
        <v/>
      </c>
      <c r="Q54" s="37">
        <f>SUMIF('BW TB'!$R:$R,'BW P&amp;L'!$A54,'BW TB'!E:E)</f>
        <v/>
      </c>
      <c r="R54" s="37">
        <f>SUMIF('BW TB'!$R:$R,'BW P&amp;L'!$A54,'BW TB'!F:F)</f>
        <v/>
      </c>
      <c r="S54" s="37">
        <f>SUMIF('BW TB'!$R:$R,'BW P&amp;L'!$A54,'BW TB'!G:G)</f>
        <v/>
      </c>
      <c r="T54" s="37">
        <f>SUMIF('BW TB'!$R:$R,'BW P&amp;L'!$A54,'BW TB'!H:H)</f>
        <v/>
      </c>
      <c r="U54" s="37">
        <f>SUMIF('BW TB'!$R:$R,'BW P&amp;L'!$A54,'BW TB'!I:I)</f>
        <v/>
      </c>
      <c r="V54" s="38" t="n">
        <v>0</v>
      </c>
      <c r="W54" s="38" t="n">
        <v>0</v>
      </c>
      <c r="X54" s="38" t="n">
        <v>0</v>
      </c>
      <c r="Y54" s="38" t="n">
        <v>0</v>
      </c>
      <c r="Z54" s="38" t="n">
        <v>0</v>
      </c>
      <c r="AA54" s="36">
        <f>SUM(O54:U54)</f>
        <v/>
      </c>
      <c r="AB54" s="36">
        <f>SUM(O54:Z54)</f>
        <v/>
      </c>
      <c r="AC54" s="38" t="n">
        <v>0</v>
      </c>
      <c r="AD54" s="38" t="n">
        <v>0</v>
      </c>
      <c r="AE54" s="38" t="n">
        <v>0</v>
      </c>
      <c r="AF54" s="38" t="n">
        <v>0</v>
      </c>
      <c r="AG54" s="38" t="n">
        <v>0</v>
      </c>
      <c r="AH54" s="38" t="n">
        <v>0</v>
      </c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SUMIF('BW TB'!$R:$R,'BW P&amp;L'!$A55,'BW TB'!C:C)</f>
        <v/>
      </c>
      <c r="P55" s="37">
        <f>SUMIF('BW TB'!$R:$R,'BW P&amp;L'!$A55,'BW TB'!D:D)</f>
        <v/>
      </c>
      <c r="Q55" s="37">
        <f>SUMIF('BW TB'!$R:$R,'BW P&amp;L'!$A55,'BW TB'!E:E)</f>
        <v/>
      </c>
      <c r="R55" s="37">
        <f>SUMIF('BW TB'!$R:$R,'BW P&amp;L'!$A55,'BW TB'!F:F)</f>
        <v/>
      </c>
      <c r="S55" s="37">
        <f>SUMIF('BW TB'!$R:$R,'BW P&amp;L'!$A55,'BW TB'!G:G)</f>
        <v/>
      </c>
      <c r="T55" s="37">
        <f>SUMIF('BW TB'!$R:$R,'BW P&amp;L'!$A55,'BW TB'!H:H)</f>
        <v/>
      </c>
      <c r="U55" s="37">
        <f>SUMIF('BW TB'!$R:$R,'BW P&amp;L'!$A55,'BW TB'!I:I)</f>
        <v/>
      </c>
      <c r="V55" s="38" t="n">
        <v>0</v>
      </c>
      <c r="W55" s="38" t="n">
        <v>0</v>
      </c>
      <c r="X55" s="38" t="n">
        <v>0</v>
      </c>
      <c r="Y55" s="38" t="n">
        <v>0</v>
      </c>
      <c r="Z55" s="38" t="n">
        <v>0</v>
      </c>
      <c r="AA55" s="36">
        <f>SUM(O55:U55)</f>
        <v/>
      </c>
      <c r="AB55" s="36">
        <f>SUM(O55:Z55)</f>
        <v/>
      </c>
      <c r="AC55" s="38" t="n">
        <v>0</v>
      </c>
      <c r="AD55" s="38" t="n">
        <v>0</v>
      </c>
      <c r="AE55" s="38" t="n">
        <v>0</v>
      </c>
      <c r="AF55" s="38" t="n">
        <v>0</v>
      </c>
      <c r="AG55" s="38" t="n">
        <v>0</v>
      </c>
      <c r="AH55" s="38" t="n">
        <v>0</v>
      </c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SUMIF('BW TB'!$R:$R,'BW P&amp;L'!$A56,'BW TB'!C:C)</f>
        <v/>
      </c>
      <c r="P56" s="37">
        <f>SUMIF('BW TB'!$R:$R,'BW P&amp;L'!$A56,'BW TB'!D:D)</f>
        <v/>
      </c>
      <c r="Q56" s="37">
        <f>SUMIF('BW TB'!$R:$R,'BW P&amp;L'!$A56,'BW TB'!E:E)</f>
        <v/>
      </c>
      <c r="R56" s="37">
        <f>SUMIF('BW TB'!$R:$R,'BW P&amp;L'!$A56,'BW TB'!F:F)</f>
        <v/>
      </c>
      <c r="S56" s="37">
        <f>SUMIF('BW TB'!$R:$R,'BW P&amp;L'!$A56,'BW TB'!G:G)</f>
        <v/>
      </c>
      <c r="T56" s="37">
        <f>SUMIF('BW TB'!$R:$R,'BW P&amp;L'!$A56,'BW TB'!H:H)</f>
        <v/>
      </c>
      <c r="U56" s="37">
        <f>SUMIF('BW TB'!$R:$R,'BW P&amp;L'!$A56,'BW TB'!I:I)</f>
        <v/>
      </c>
      <c r="V56" s="38" t="n">
        <v>0</v>
      </c>
      <c r="W56" s="38" t="n">
        <v>0</v>
      </c>
      <c r="X56" s="38" t="n">
        <v>0</v>
      </c>
      <c r="Y56" s="38" t="n">
        <v>0</v>
      </c>
      <c r="Z56" s="38" t="n">
        <v>0</v>
      </c>
      <c r="AA56" s="36">
        <f>SUM(O56:U56)</f>
        <v/>
      </c>
      <c r="AB56" s="36">
        <f>SUM(O56:Z56)</f>
        <v/>
      </c>
      <c r="AC56" s="38" t="n">
        <v>0</v>
      </c>
      <c r="AD56" s="38" t="n">
        <v>0</v>
      </c>
      <c r="AE56" s="38" t="n">
        <v>0</v>
      </c>
      <c r="AF56" s="38" t="n">
        <v>0</v>
      </c>
      <c r="AG56" s="38" t="n">
        <v>0</v>
      </c>
      <c r="AH56" s="38" t="n">
        <v>0</v>
      </c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310</v>
      </c>
      <c r="M57" s="35" t="n">
        <v>0</v>
      </c>
      <c r="N57" s="36">
        <f>SUM(B57:M57)</f>
        <v/>
      </c>
      <c r="O57" s="37">
        <f>SUMIF('BW TB'!$R:$R,'BW P&amp;L'!$A57,'BW TB'!C:C)</f>
        <v/>
      </c>
      <c r="P57" s="37">
        <f>SUMIF('BW TB'!$R:$R,'BW P&amp;L'!$A57,'BW TB'!D:D)</f>
        <v/>
      </c>
      <c r="Q57" s="37">
        <f>SUMIF('BW TB'!$R:$R,'BW P&amp;L'!$A57,'BW TB'!E:E)</f>
        <v/>
      </c>
      <c r="R57" s="37">
        <f>SUMIF('BW TB'!$R:$R,'BW P&amp;L'!$A57,'BW TB'!F:F)</f>
        <v/>
      </c>
      <c r="S57" s="37">
        <f>SUMIF('BW TB'!$R:$R,'BW P&amp;L'!$A57,'BW TB'!G:G)</f>
        <v/>
      </c>
      <c r="T57" s="37">
        <f>SUMIF('BW TB'!$R:$R,'BW P&amp;L'!$A57,'BW TB'!H:H)</f>
        <v/>
      </c>
      <c r="U57" s="37">
        <f>SUMIF('BW TB'!$R:$R,'BW P&amp;L'!$A57,'BW TB'!I:I)</f>
        <v/>
      </c>
      <c r="V57" s="38" t="n">
        <v>0</v>
      </c>
      <c r="W57" s="38" t="n">
        <v>0</v>
      </c>
      <c r="X57" s="38" t="n">
        <v>0</v>
      </c>
      <c r="Y57" s="38" t="n">
        <v>0</v>
      </c>
      <c r="Z57" s="38">
        <f>36*30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SUMIF('BW TB'!$R:$R,'BW P&amp;L'!$A58,'BW TB'!C:C)</f>
        <v/>
      </c>
      <c r="P58" s="37">
        <f>SUMIF('BW TB'!$R:$R,'BW P&amp;L'!$A58,'BW TB'!D:D)</f>
        <v/>
      </c>
      <c r="Q58" s="37">
        <f>SUMIF('BW TB'!$R:$R,'BW P&amp;L'!$A58,'BW TB'!E:E)</f>
        <v/>
      </c>
      <c r="R58" s="37">
        <f>SUMIF('BW TB'!$R:$R,'BW P&amp;L'!$A58,'BW TB'!F:F)</f>
        <v/>
      </c>
      <c r="S58" s="37">
        <f>SUMIF('BW TB'!$R:$R,'BW P&amp;L'!$A58,'BW TB'!G:G)</f>
        <v/>
      </c>
      <c r="T58" s="37">
        <f>SUMIF('BW TB'!$R:$R,'BW P&amp;L'!$A58,'BW TB'!H:H)</f>
        <v/>
      </c>
      <c r="U58" s="37">
        <f>SUMIF('BW TB'!$R:$R,'BW P&amp;L'!$A58,'BW TB'!I:I)</f>
        <v/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296.28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214.8</v>
      </c>
      <c r="W59" s="38" t="n">
        <v>214.8</v>
      </c>
      <c r="X59" s="38" t="n">
        <v>214.8</v>
      </c>
      <c r="Y59" s="38" t="n">
        <v>214.8</v>
      </c>
      <c r="Z59" s="38" t="n">
        <v>214.8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8.399999999999999</v>
      </c>
      <c r="C60" s="35" t="n">
        <v>8.399999999999999</v>
      </c>
      <c r="D60" s="35" t="n">
        <v>8.4</v>
      </c>
      <c r="E60" s="35" t="n">
        <v>7.2</v>
      </c>
      <c r="F60" s="35" t="n">
        <v>7.2</v>
      </c>
      <c r="G60" s="35" t="n">
        <v>7.799999999999999</v>
      </c>
      <c r="H60" s="35" t="n">
        <v>9</v>
      </c>
      <c r="I60" s="35" t="n">
        <v>7.800000000000001</v>
      </c>
      <c r="J60" s="35" t="n">
        <v>5.4</v>
      </c>
      <c r="K60" s="35" t="n">
        <v>73</v>
      </c>
      <c r="L60" s="35" t="n">
        <v>4.2</v>
      </c>
      <c r="M60" s="35" t="n">
        <v>4.2</v>
      </c>
      <c r="N60" s="36">
        <f>SUM(B60:M60)</f>
        <v/>
      </c>
      <c r="O60" s="37" t="n">
        <v>34.15</v>
      </c>
      <c r="P60" s="37" t="n">
        <v>3.6</v>
      </c>
      <c r="Q60" s="37" t="n">
        <v>4.2</v>
      </c>
      <c r="R60" s="37" t="n">
        <v>4.8</v>
      </c>
      <c r="S60" s="37" t="n">
        <v>3.6</v>
      </c>
      <c r="T60" s="37" t="n">
        <v>3</v>
      </c>
      <c r="U60" s="37" t="n">
        <v>5.4</v>
      </c>
      <c r="V60" s="38" t="n">
        <v>3.6</v>
      </c>
      <c r="W60" s="38" t="n">
        <v>3.6</v>
      </c>
      <c r="X60" s="38" t="n">
        <v>3.6</v>
      </c>
      <c r="Y60" s="38" t="n">
        <v>3.6</v>
      </c>
      <c r="Z60" s="38" t="n">
        <v>3.6</v>
      </c>
      <c r="AA60" s="36">
        <f>SUM(O60:U60)</f>
        <v/>
      </c>
      <c r="AB60" s="36">
        <f>SUM(O60:Z60)</f>
        <v/>
      </c>
      <c r="AC60" s="38" t="n">
        <v>3.6</v>
      </c>
      <c r="AD60" s="38" t="n">
        <v>3.6</v>
      </c>
      <c r="AE60" s="38" t="n">
        <v>3.6</v>
      </c>
      <c r="AF60" s="38" t="n">
        <v>3.6</v>
      </c>
      <c r="AG60" s="38" t="n">
        <v>3.6</v>
      </c>
      <c r="AH60" s="38" t="n">
        <v>3.6</v>
      </c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20.17</v>
      </c>
      <c r="C61" s="35" t="n">
        <v>52.95</v>
      </c>
      <c r="D61" s="35" t="n">
        <v>830.5</v>
      </c>
      <c r="E61" s="35" t="n">
        <v>0</v>
      </c>
      <c r="F61" s="35" t="n">
        <v>98.28</v>
      </c>
      <c r="G61" s="35" t="n">
        <v>571.5899999999999</v>
      </c>
      <c r="H61" s="35" t="n">
        <v>155.06</v>
      </c>
      <c r="I61" s="35" t="n">
        <v>54.99</v>
      </c>
      <c r="J61" s="35" t="n">
        <v>0</v>
      </c>
      <c r="K61" s="35" t="n">
        <v>51.66</v>
      </c>
      <c r="L61" s="35" t="n">
        <v>133.75</v>
      </c>
      <c r="M61" s="35" t="n">
        <v>0</v>
      </c>
      <c r="N61" s="36">
        <f>SUM(B61:M61)</f>
        <v/>
      </c>
      <c r="O61" s="37">
        <f>SUMIF('BW TB'!$R:$R,'BW P&amp;L'!$A61,'BW TB'!C:C)</f>
        <v/>
      </c>
      <c r="P61" s="37">
        <f>SUMIF('BW TB'!$R:$R,'BW P&amp;L'!$A61,'BW TB'!D:D)</f>
        <v/>
      </c>
      <c r="Q61" s="37">
        <f>SUMIF('BW TB'!$R:$R,'BW P&amp;L'!$A61,'BW TB'!E:E)</f>
        <v/>
      </c>
      <c r="R61" s="37">
        <f>SUMIF('BW TB'!$R:$R,'BW P&amp;L'!$A61,'BW TB'!F:F)</f>
        <v/>
      </c>
      <c r="S61" s="37">
        <f>SUMIF('BW TB'!$R:$R,'BW P&amp;L'!$A61,'BW TB'!G:G)</f>
        <v/>
      </c>
      <c r="T61" s="37">
        <f>SUMIF('BW TB'!$R:$R,'BW P&amp;L'!$A61,'BW TB'!H:H)</f>
        <v/>
      </c>
      <c r="U61" s="37">
        <f>SUMIF('BW TB'!$R:$R,'BW P&amp;L'!$A61,'BW TB'!I:I)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25</v>
      </c>
      <c r="C62" s="35" t="n">
        <v>139</v>
      </c>
      <c r="D62" s="35" t="n">
        <v>186</v>
      </c>
      <c r="E62" s="35" t="n">
        <v>100</v>
      </c>
      <c r="F62" s="35" t="n">
        <v>204</v>
      </c>
      <c r="G62" s="35" t="n">
        <v>294</v>
      </c>
      <c r="H62" s="35" t="n">
        <v>397</v>
      </c>
      <c r="I62" s="35" t="n">
        <v>418</v>
      </c>
      <c r="J62" s="35" t="n">
        <v>436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 t="n">
        <v>0</v>
      </c>
      <c r="P62" s="37" t="n">
        <v>0</v>
      </c>
      <c r="Q62" s="37" t="n">
        <v>120</v>
      </c>
      <c r="R62" s="37" t="n">
        <v>266</v>
      </c>
      <c r="S62" s="37" t="n">
        <v>310</v>
      </c>
      <c r="T62" s="37" t="n">
        <v>0</v>
      </c>
      <c r="U62" s="37" t="n">
        <v>90</v>
      </c>
      <c r="V62" s="38" t="n">
        <v>0</v>
      </c>
      <c r="W62" s="38" t="n">
        <v>0</v>
      </c>
      <c r="X62" s="38" t="n">
        <v>0</v>
      </c>
      <c r="Y62" s="38" t="n">
        <v>0</v>
      </c>
      <c r="Z62" s="38" t="n">
        <v>0</v>
      </c>
      <c r="AA62" s="36">
        <f>SUM(O62:U62)</f>
        <v/>
      </c>
      <c r="AB62" s="36">
        <f>SUM(O62:Z62)</f>
        <v/>
      </c>
      <c r="AC62" s="38" t="n">
        <v>0</v>
      </c>
      <c r="AD62" s="38" t="n">
        <v>0</v>
      </c>
      <c r="AE62" s="38" t="n">
        <v>0</v>
      </c>
      <c r="AF62" s="38" t="n">
        <v>0</v>
      </c>
      <c r="AG62" s="38" t="n">
        <v>0</v>
      </c>
      <c r="AH62" s="38" t="n">
        <v>0</v>
      </c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SUMIF('BW TB'!$R:$R,'BW P&amp;L'!$A63,'BW TB'!C:C)</f>
        <v/>
      </c>
      <c r="P63" s="37">
        <f>SUMIF('BW TB'!$R:$R,'BW P&amp;L'!$A63,'BW TB'!D:D)</f>
        <v/>
      </c>
      <c r="Q63" s="37">
        <f>SUMIF('BW TB'!$R:$R,'BW P&amp;L'!$A63,'BW TB'!E:E)</f>
        <v/>
      </c>
      <c r="R63" s="37">
        <f>SUMIF('BW TB'!$R:$R,'BW P&amp;L'!$A63,'BW TB'!F:F)</f>
        <v/>
      </c>
      <c r="S63" s="37">
        <f>SUMIF('BW TB'!$R:$R,'BW P&amp;L'!$A63,'BW TB'!G:G)</f>
        <v/>
      </c>
      <c r="T63" s="37">
        <f>SUMIF('BW TB'!$R:$R,'BW P&amp;L'!$A63,'BW TB'!H:H)</f>
        <v/>
      </c>
      <c r="U63" s="37">
        <f>SUMIF('BW TB'!$R:$R,'BW P&amp;L'!$A63,'BW TB'!I:I)</f>
        <v/>
      </c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</v>
      </c>
      <c r="AA63" s="36">
        <f>SUM(O63:U63)</f>
        <v/>
      </c>
      <c r="AB63" s="36">
        <f>SUM(O63:Z63)</f>
        <v/>
      </c>
      <c r="AC63" s="38" t="n">
        <v>0</v>
      </c>
      <c r="AD63" s="38" t="n">
        <v>0</v>
      </c>
      <c r="AE63" s="38" t="n">
        <v>0</v>
      </c>
      <c r="AF63" s="38" t="n">
        <v>0</v>
      </c>
      <c r="AG63" s="38" t="n">
        <v>0</v>
      </c>
      <c r="AH63" s="38" t="n">
        <v>0</v>
      </c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SUMIF('BW TB'!$R:$R,'BW P&amp;L'!$A64,'BW TB'!C:C)</f>
        <v/>
      </c>
      <c r="P64" s="37">
        <f>SUMIF('BW TB'!$R:$R,'BW P&amp;L'!$A64,'BW TB'!D:D)</f>
        <v/>
      </c>
      <c r="Q64" s="37">
        <f>SUMIF('BW TB'!$R:$R,'BW P&amp;L'!$A64,'BW TB'!E:E)</f>
        <v/>
      </c>
      <c r="R64" s="37">
        <f>SUMIF('BW TB'!$R:$R,'BW P&amp;L'!$A64,'BW TB'!F:F)</f>
        <v/>
      </c>
      <c r="S64" s="37">
        <f>SUMIF('BW TB'!$R:$R,'BW P&amp;L'!$A64,'BW TB'!G:G)</f>
        <v/>
      </c>
      <c r="T64" s="37">
        <f>SUMIF('BW TB'!$R:$R,'BW P&amp;L'!$A64,'BW TB'!H:H)</f>
        <v/>
      </c>
      <c r="U64" s="37">
        <f>SUMIF('BW TB'!$R:$R,'BW P&amp;L'!$A64,'BW TB'!I:I)</f>
        <v/>
      </c>
      <c r="V64" s="38" t="n">
        <v>0</v>
      </c>
      <c r="W64" s="38" t="n">
        <v>0</v>
      </c>
      <c r="X64" s="38" t="n">
        <v>0</v>
      </c>
      <c r="Y64" s="38" t="n">
        <v>0</v>
      </c>
      <c r="Z64" s="38" t="n">
        <v>0</v>
      </c>
      <c r="AA64" s="36">
        <f>SUM(O64:U64)</f>
        <v/>
      </c>
      <c r="AB64" s="36">
        <f>SUM(O64:Z64)</f>
        <v/>
      </c>
      <c r="AC64" s="38" t="n">
        <v>0</v>
      </c>
      <c r="AD64" s="38" t="n">
        <v>0</v>
      </c>
      <c r="AE64" s="38" t="n">
        <v>0</v>
      </c>
      <c r="AF64" s="38" t="n">
        <v>0</v>
      </c>
      <c r="AG64" s="38" t="n">
        <v>0</v>
      </c>
      <c r="AH64" s="38" t="n">
        <v>0</v>
      </c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SUMIF('BW TB'!$R:$R,'BW P&amp;L'!$A65,'BW TB'!C:C)</f>
        <v/>
      </c>
      <c r="P65" s="37">
        <f>SUMIF('BW TB'!$R:$R,'BW P&amp;L'!$A65,'BW TB'!D:D)</f>
        <v/>
      </c>
      <c r="Q65" s="37">
        <f>SUMIF('BW TB'!$R:$R,'BW P&amp;L'!$A65,'BW TB'!E:E)</f>
        <v/>
      </c>
      <c r="R65" s="37">
        <f>SUMIF('BW TB'!$R:$R,'BW P&amp;L'!$A65,'BW TB'!F:F)</f>
        <v/>
      </c>
      <c r="S65" s="37">
        <f>SUMIF('BW TB'!$R:$R,'BW P&amp;L'!$A65,'BW TB'!G:G)</f>
        <v/>
      </c>
      <c r="T65" s="37">
        <f>SUMIF('BW TB'!$R:$R,'BW P&amp;L'!$A65,'BW TB'!H:H)</f>
        <v/>
      </c>
      <c r="U65" s="37">
        <f>SUMIF('BW TB'!$R:$R,'BW P&amp;L'!$A65,'BW TB'!I:I)</f>
        <v/>
      </c>
      <c r="V65" s="38" t="n">
        <v>0</v>
      </c>
      <c r="W65" s="38" t="n">
        <v>0</v>
      </c>
      <c r="X65" s="38" t="n">
        <v>0</v>
      </c>
      <c r="Y65" s="38" t="n">
        <v>0</v>
      </c>
      <c r="Z65" s="38" t="n">
        <v>0</v>
      </c>
      <c r="AA65" s="36">
        <f>SUM(O65:U65)</f>
        <v/>
      </c>
      <c r="AB65" s="36">
        <f>SUM(O65:Z65)</f>
        <v/>
      </c>
      <c r="AC65" s="38" t="n">
        <v>0</v>
      </c>
      <c r="AD65" s="38" t="n">
        <v>0</v>
      </c>
      <c r="AE65" s="38" t="n">
        <v>0</v>
      </c>
      <c r="AF65" s="38" t="n">
        <v>0</v>
      </c>
      <c r="AG65" s="38" t="n">
        <v>0</v>
      </c>
      <c r="AH65" s="38" t="n">
        <v>0</v>
      </c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SUMIF('BW TB'!$R:$R,'BW P&amp;L'!$A66,'BW TB'!C:C)</f>
        <v/>
      </c>
      <c r="P66" s="37">
        <f>SUMIF('BW TB'!$R:$R,'BW P&amp;L'!$A66,'BW TB'!D:D)</f>
        <v/>
      </c>
      <c r="Q66" s="37">
        <f>SUMIF('BW TB'!$R:$R,'BW P&amp;L'!$A66,'BW TB'!E:E)</f>
        <v/>
      </c>
      <c r="R66" s="37">
        <f>SUMIF('BW TB'!$R:$R,'BW P&amp;L'!$A66,'BW TB'!F:F)</f>
        <v/>
      </c>
      <c r="S66" s="37">
        <f>SUMIF('BW TB'!$R:$R,'BW P&amp;L'!$A66,'BW TB'!G:G)</f>
        <v/>
      </c>
      <c r="T66" s="37">
        <f>SUMIF('BW TB'!$R:$R,'BW P&amp;L'!$A66,'BW TB'!H:H)</f>
        <v/>
      </c>
      <c r="U66" s="37">
        <f>SUMIF('BW TB'!$R:$R,'BW P&amp;L'!$A66,'BW TB'!I:I)</f>
        <v/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SUMIF('BW TB'!$R:$R,'BW P&amp;L'!$A67,'BW TB'!C:C)</f>
        <v/>
      </c>
      <c r="P67" s="37">
        <f>SUMIF('BW TB'!$R:$R,'BW P&amp;L'!$A67,'BW TB'!D:D)</f>
        <v/>
      </c>
      <c r="Q67" s="37">
        <f>SUMIF('BW TB'!$R:$R,'BW P&amp;L'!$A67,'BW TB'!E:E)</f>
        <v/>
      </c>
      <c r="R67" s="37">
        <f>SUMIF('BW TB'!$R:$R,'BW P&amp;L'!$A67,'BW TB'!F:F)</f>
        <v/>
      </c>
      <c r="S67" s="37">
        <f>SUMIF('BW TB'!$R:$R,'BW P&amp;L'!$A67,'BW TB'!G:G)</f>
        <v/>
      </c>
      <c r="T67" s="37">
        <f>SUMIF('BW TB'!$R:$R,'BW P&amp;L'!$A67,'BW TB'!H:H)</f>
        <v/>
      </c>
      <c r="U67" s="37">
        <f>SUMIF('BW TB'!$R:$R,'BW P&amp;L'!$A67,'BW TB'!I:I)</f>
        <v/>
      </c>
      <c r="V67" s="38" t="n">
        <v>0</v>
      </c>
      <c r="W67" s="38" t="n">
        <v>0</v>
      </c>
      <c r="X67" s="38" t="n">
        <v>0</v>
      </c>
      <c r="Y67" s="38" t="n">
        <v>0</v>
      </c>
      <c r="Z67" s="38" t="n">
        <v>0</v>
      </c>
      <c r="AA67" s="36">
        <f>SUM(O67:U67)</f>
        <v/>
      </c>
      <c r="AB67" s="36">
        <f>SUM(O67:Z67)</f>
        <v/>
      </c>
      <c r="AC67" s="38" t="n">
        <v>0</v>
      </c>
      <c r="AD67" s="38" t="n">
        <v>0</v>
      </c>
      <c r="AE67" s="38" t="n">
        <v>0</v>
      </c>
      <c r="AF67" s="38" t="n">
        <v>0</v>
      </c>
      <c r="AG67" s="38" t="n">
        <v>0</v>
      </c>
      <c r="AH67" s="38" t="n">
        <v>0</v>
      </c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SUMIF('BW TB'!$R:$R,'BW P&amp;L'!$A68,'BW TB'!C:C)</f>
        <v/>
      </c>
      <c r="P68" s="37">
        <f>SUMIF('BW TB'!$R:$R,'BW P&amp;L'!$A68,'BW TB'!D:D)</f>
        <v/>
      </c>
      <c r="Q68" s="37">
        <f>SUMIF('BW TB'!$R:$R,'BW P&amp;L'!$A68,'BW TB'!E:E)</f>
        <v/>
      </c>
      <c r="R68" s="37">
        <f>SUMIF('BW TB'!$R:$R,'BW P&amp;L'!$A68,'BW TB'!F:F)</f>
        <v/>
      </c>
      <c r="S68" s="37">
        <f>SUMIF('BW TB'!$R:$R,'BW P&amp;L'!$A68,'BW TB'!G:G)</f>
        <v/>
      </c>
      <c r="T68" s="37">
        <f>SUMIF('BW TB'!$R:$R,'BW P&amp;L'!$A68,'BW TB'!H:H)</f>
        <v/>
      </c>
      <c r="U68" s="37">
        <f>SUMIF('BW TB'!$R:$R,'BW P&amp;L'!$A68,'BW TB'!I:I)</f>
        <v/>
      </c>
      <c r="V68" s="38" t="n">
        <v>0</v>
      </c>
      <c r="W68" s="38" t="n">
        <v>0</v>
      </c>
      <c r="X68" s="38" t="n">
        <v>0</v>
      </c>
      <c r="Y68" s="38" t="n">
        <v>0</v>
      </c>
      <c r="Z68" s="38" t="n">
        <v>0</v>
      </c>
      <c r="AA68" s="36">
        <f>SUM(O68:U68)</f>
        <v/>
      </c>
      <c r="AB68" s="36">
        <f>SUM(O68:Z68)</f>
        <v/>
      </c>
      <c r="AC68" s="38" t="n">
        <v>0</v>
      </c>
      <c r="AD68" s="38" t="n">
        <v>0</v>
      </c>
      <c r="AE68" s="38" t="n">
        <v>0</v>
      </c>
      <c r="AF68" s="38" t="n">
        <v>0</v>
      </c>
      <c r="AG68" s="38" t="n">
        <v>0</v>
      </c>
      <c r="AH68" s="38" t="n">
        <v>0</v>
      </c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254.95</v>
      </c>
      <c r="C69" s="42" t="n">
        <v>401.73</v>
      </c>
      <c r="D69" s="42" t="n">
        <v>1226.28</v>
      </c>
      <c r="E69" s="42" t="n">
        <v>308.58</v>
      </c>
      <c r="F69" s="42" t="n">
        <v>510.86</v>
      </c>
      <c r="G69" s="42" t="n">
        <v>1074.77</v>
      </c>
      <c r="H69" s="42" t="n">
        <v>762.4400000000001</v>
      </c>
      <c r="I69" s="42" t="n">
        <v>682.1700000000001</v>
      </c>
      <c r="J69" s="42" t="n">
        <v>642.78</v>
      </c>
      <c r="K69" s="42" t="n">
        <v>339.46</v>
      </c>
      <c r="L69" s="42" t="n">
        <v>662.75</v>
      </c>
      <c r="M69" s="42" t="n">
        <v>300.48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63418.50999999999</v>
      </c>
      <c r="C70" s="55" t="n">
        <v>87711.48999999998</v>
      </c>
      <c r="D70" s="55" t="n">
        <v>106484.03</v>
      </c>
      <c r="E70" s="55" t="n">
        <v>71447.29999999997</v>
      </c>
      <c r="F70" s="55" t="n">
        <v>44727.52</v>
      </c>
      <c r="G70" s="55" t="n">
        <v>78507.36000000002</v>
      </c>
      <c r="H70" s="55" t="n">
        <v>108742.96</v>
      </c>
      <c r="I70" s="55" t="n">
        <v>28726.59999999998</v>
      </c>
      <c r="J70" s="55" t="n">
        <v>22810.30999999998</v>
      </c>
      <c r="K70" s="55" t="n">
        <v>34761.19</v>
      </c>
      <c r="L70" s="55" t="n">
        <v>88791.55</v>
      </c>
      <c r="M70" s="55" t="n">
        <v>130830.66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56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2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60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56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22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60">
        <f>SUM(B73:M73)</f>
        <v/>
      </c>
      <c r="O73" s="8" t="n"/>
      <c r="P73" s="8" t="n"/>
      <c r="Q73" s="8" t="n"/>
      <c r="R73" s="8" t="n"/>
      <c r="S73" s="8" t="n"/>
      <c r="T73" s="8" t="n"/>
      <c r="U73" s="8" t="n"/>
      <c r="V73" s="20" t="n"/>
      <c r="W73" s="20" t="n"/>
      <c r="X73" s="20" t="n"/>
      <c r="Y73" s="20" t="n"/>
      <c r="Z73" s="20" t="n"/>
      <c r="AA73" s="56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60">
        <f>SUM(B74:M74)</f>
        <v/>
      </c>
      <c r="O74" s="8" t="n"/>
      <c r="P74" s="8" t="n"/>
      <c r="Q74" s="8" t="n"/>
      <c r="R74" s="8" t="n"/>
      <c r="S74" s="8" t="n"/>
      <c r="T74" s="8" t="n"/>
      <c r="U74" s="8" t="n"/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60">
        <f>SUM(B75:M75)</f>
        <v/>
      </c>
      <c r="O75" s="8" t="n"/>
      <c r="P75" s="8" t="n"/>
      <c r="Q75" s="8" t="n"/>
      <c r="R75" s="8" t="n"/>
      <c r="S75" s="8" t="n"/>
      <c r="T75" s="8" t="n"/>
      <c r="U75" s="8" t="n"/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60">
        <f>SUM(B76:M76)</f>
        <v/>
      </c>
      <c r="O76" s="8" t="n"/>
      <c r="P76" s="8" t="n"/>
      <c r="Q76" s="8" t="n"/>
      <c r="R76" s="8" t="n"/>
      <c r="S76" s="8" t="n"/>
      <c r="T76" s="8" t="n"/>
      <c r="U76" s="8" t="n"/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22" t="inlineStr">
        <is>
          <t>Memo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60">
        <f>SUM(B77:M77)</f>
        <v/>
      </c>
      <c r="O77" s="8" t="n"/>
      <c r="P77" s="8" t="n"/>
      <c r="Q77" s="8" t="n"/>
      <c r="R77" s="8" t="n"/>
      <c r="S77" s="8" t="n"/>
      <c r="T77" s="8" t="n"/>
      <c r="U77" s="8" t="n"/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34" t="inlineStr">
        <is>
          <t>Direct - Sales</t>
        </is>
      </c>
      <c r="B78" s="18" t="n">
        <v>155941.97</v>
      </c>
      <c r="C78" s="18" t="n">
        <v>173728.48</v>
      </c>
      <c r="D78" s="18" t="n">
        <v>194997.36</v>
      </c>
      <c r="E78" s="18" t="n">
        <v>168214.38</v>
      </c>
      <c r="F78" s="18" t="n">
        <v>143501.53</v>
      </c>
      <c r="G78" s="18" t="n">
        <v>175947.34</v>
      </c>
      <c r="H78" s="18" t="n">
        <v>212604.21</v>
      </c>
      <c r="I78" s="18" t="n">
        <v>132363.71</v>
      </c>
      <c r="J78" s="18" t="n">
        <v>132647.3</v>
      </c>
      <c r="K78" s="18" t="n">
        <v>130078.69</v>
      </c>
      <c r="L78" s="18" t="n">
        <v>182735.51</v>
      </c>
      <c r="M78" s="18" t="n">
        <v>221228.69</v>
      </c>
      <c r="N78" s="60">
        <f>SUM(B78:M78)</f>
        <v/>
      </c>
      <c r="O78" s="60">
        <f>-SUMIF('BW TB'!$T:$T,'BW P&amp;L'!$A78,'BW TB'!C:C)</f>
        <v/>
      </c>
      <c r="P78" s="60">
        <f>-SUMIF('BW TB'!$T:$T,'BW P&amp;L'!$A78,'BW TB'!D:D)</f>
        <v/>
      </c>
      <c r="Q78" s="60">
        <f>-SUMIF('BW TB'!$T:$T,'BW P&amp;L'!$A78,'BW TB'!E:E)</f>
        <v/>
      </c>
      <c r="R78" s="60">
        <f>-SUMIF('BW TB'!$T:$T,'BW P&amp;L'!$A78,'BW TB'!F:F)</f>
        <v/>
      </c>
      <c r="S78" s="60">
        <f>-SUMIF('BW TB'!$T:$T,'BW P&amp;L'!$A78,'BW TB'!G:G)</f>
        <v/>
      </c>
      <c r="T78" s="60">
        <f>-SUMIF('BW TB'!$T:$T,'BW P&amp;L'!$A78,'BW TB'!H:H)</f>
        <v/>
      </c>
      <c r="U78" s="60">
        <f>-SUMIF('BW TB'!$T:$T,'BW P&amp;L'!$A78,'BW TB'!I:I)</f>
        <v/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34" t="inlineStr">
        <is>
          <t>Direct - Staff Cost</t>
        </is>
      </c>
      <c r="B79" s="18" t="n">
        <v>-75514.88</v>
      </c>
      <c r="C79" s="18" t="n">
        <v>-66664.72000000002</v>
      </c>
      <c r="D79" s="18" t="n">
        <v>-67362.42</v>
      </c>
      <c r="E79" s="18" t="n">
        <v>-75839.88</v>
      </c>
      <c r="F79" s="18" t="n">
        <v>-81613.95</v>
      </c>
      <c r="G79" s="18" t="n">
        <v>-76925.33</v>
      </c>
      <c r="H79" s="18" t="n">
        <v>-84429.41</v>
      </c>
      <c r="I79" s="18" t="n">
        <v>-81352.47000000002</v>
      </c>
      <c r="J79" s="18" t="n">
        <v>-92076.14999999999</v>
      </c>
      <c r="K79" s="18" t="n">
        <v>-78664.33000000002</v>
      </c>
      <c r="L79" s="18" t="n">
        <v>-75195.24000000001</v>
      </c>
      <c r="M79" s="18" t="n">
        <v>-73304.81</v>
      </c>
      <c r="N79" s="60">
        <f>SUM(B79:M79)</f>
        <v/>
      </c>
      <c r="O79" s="60">
        <f>-SUMIF('BW TB'!$T:$T,'BW P&amp;L'!$A79,'BW TB'!C:C)</f>
        <v/>
      </c>
      <c r="P79" s="60">
        <f>-SUMIF('BW TB'!$T:$T,'BW P&amp;L'!$A79,'BW TB'!D:D)</f>
        <v/>
      </c>
      <c r="Q79" s="60">
        <f>-SUMIF('BW TB'!$T:$T,'BW P&amp;L'!$A79,'BW TB'!E:E)</f>
        <v/>
      </c>
      <c r="R79" s="60">
        <f>-SUMIF('BW TB'!$T:$T,'BW P&amp;L'!$A79,'BW TB'!F:F)</f>
        <v/>
      </c>
      <c r="S79" s="60">
        <f>-SUMIF('BW TB'!$T:$T,'BW P&amp;L'!$A79,'BW TB'!G:G)</f>
        <v/>
      </c>
      <c r="T79" s="60">
        <f>-SUMIF('BW TB'!$T:$T,'BW P&amp;L'!$A79,'BW TB'!H:H)</f>
        <v/>
      </c>
      <c r="U79" s="60">
        <f>-SUMIF('BW TB'!$T:$T,'BW P&amp;L'!$A79,'BW TB'!I:I)</f>
        <v/>
      </c>
      <c r="V79" s="20" t="n"/>
      <c r="W79" s="20" t="n"/>
      <c r="X79" s="20" t="n"/>
      <c r="Y79" s="20" t="n"/>
      <c r="Z79" s="20" t="n"/>
      <c r="AA79" s="60">
        <f>SUM(O79:T79)</f>
        <v/>
      </c>
      <c r="AB79" s="8" t="n"/>
      <c r="AC79" s="20" t="n"/>
      <c r="AD79" s="20" t="n"/>
      <c r="AE79" s="20" t="n"/>
      <c r="AF79" s="20" t="n"/>
      <c r="AG79" s="20" t="n"/>
      <c r="AH79" s="20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>
      <c r="A80" s="60" t="inlineStr">
        <is>
          <t>Direct - Childcare Cost</t>
        </is>
      </c>
      <c r="B80" s="18" t="n">
        <v>-5324.83</v>
      </c>
      <c r="C80" s="18" t="n">
        <v>-7553.1</v>
      </c>
      <c r="D80" s="18" t="n">
        <v>-7044.840000000001</v>
      </c>
      <c r="E80" s="18" t="n">
        <v>-5409.81</v>
      </c>
      <c r="F80" s="18" t="n">
        <v>-7247.970000000001</v>
      </c>
      <c r="G80" s="18" t="n">
        <v>-8417.360000000001</v>
      </c>
      <c r="H80" s="18" t="n">
        <v>-6021.450000000002</v>
      </c>
      <c r="I80" s="18" t="n">
        <v>-5480.23</v>
      </c>
      <c r="J80" s="18" t="n">
        <v>-5104.349999999999</v>
      </c>
      <c r="K80" s="18" t="n">
        <v>-6636.539999999999</v>
      </c>
      <c r="L80" s="18" t="n">
        <v>-6638.48</v>
      </c>
      <c r="M80" s="18" t="n">
        <v>-5207.200000000001</v>
      </c>
      <c r="N80" s="60">
        <f>SUM(B80:M80)</f>
        <v/>
      </c>
      <c r="O80" s="60">
        <f>-SUMIF('BW TB'!$T:$T,'BW P&amp;L'!$A80,'BW TB'!C:C)</f>
        <v/>
      </c>
      <c r="P80" s="60">
        <f>-SUMIF('BW TB'!$T:$T,'BW P&amp;L'!$A80,'BW TB'!D:D)</f>
        <v/>
      </c>
      <c r="Q80" s="60">
        <f>-SUMIF('BW TB'!$T:$T,'BW P&amp;L'!$A80,'BW TB'!E:E)</f>
        <v/>
      </c>
      <c r="R80" s="60">
        <f>-SUMIF('BW TB'!$T:$T,'BW P&amp;L'!$A80,'BW TB'!F:F)</f>
        <v/>
      </c>
      <c r="S80" s="60">
        <f>-SUMIF('BW TB'!$T:$T,'BW P&amp;L'!$A80,'BW TB'!G:G)</f>
        <v/>
      </c>
      <c r="T80" s="60">
        <f>-SUMIF('BW TB'!$T:$T,'BW P&amp;L'!$A80,'BW TB'!H:H)</f>
        <v/>
      </c>
      <c r="U80" s="60">
        <f>-SUMIF('BW TB'!$T:$T,'BW P&amp;L'!$A80,'BW TB'!I:I)</f>
        <v/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60" t="inlineStr">
        <is>
          <t>Direct - Premises &amp; Admin</t>
        </is>
      </c>
      <c r="B81" s="60" t="n">
        <v>-11428.8</v>
      </c>
      <c r="C81" s="60" t="n">
        <v>-11397.44</v>
      </c>
      <c r="D81" s="60" t="n">
        <v>-12879.79</v>
      </c>
      <c r="E81" s="60" t="n">
        <v>-15208.81</v>
      </c>
      <c r="F81" s="60" t="n">
        <v>-9401.230000000001</v>
      </c>
      <c r="G81" s="60" t="n">
        <v>-11022.52</v>
      </c>
      <c r="H81" s="60" t="n">
        <v>-12647.95</v>
      </c>
      <c r="I81" s="60" t="n">
        <v>-16122.24</v>
      </c>
      <c r="J81" s="60" t="n">
        <v>-12013.71</v>
      </c>
      <c r="K81" s="60" t="n">
        <v>-9677.17</v>
      </c>
      <c r="L81" s="60" t="n">
        <v>-11447.49</v>
      </c>
      <c r="M81" s="60" t="n">
        <v>-11585.54</v>
      </c>
      <c r="N81" s="60">
        <f>SUM(B81:M81)</f>
        <v/>
      </c>
      <c r="O81" s="60">
        <f>-SUMIF('BW TB'!$T:$T,'BW P&amp;L'!$A81,'BW TB'!C:C)</f>
        <v/>
      </c>
      <c r="P81" s="60">
        <f>-SUMIF('BW TB'!$T:$T,'BW P&amp;L'!$A81,'BW TB'!D:D)</f>
        <v/>
      </c>
      <c r="Q81" s="60">
        <f>-SUMIF('BW TB'!$T:$T,'BW P&amp;L'!$A81,'BW TB'!E:E)</f>
        <v/>
      </c>
      <c r="R81" s="60">
        <f>-SUMIF('BW TB'!$T:$T,'BW P&amp;L'!$A81,'BW TB'!F:F)</f>
        <v/>
      </c>
      <c r="S81" s="60">
        <f>-SUMIF('BW TB'!$T:$T,'BW P&amp;L'!$A81,'BW TB'!G:G)</f>
        <v/>
      </c>
      <c r="T81" s="60">
        <f>-SUMIF('BW TB'!$T:$T,'BW P&amp;L'!$A81,'BW TB'!H:H)</f>
        <v/>
      </c>
      <c r="U81" s="60">
        <f>-SUMIF('BW TB'!$T:$T,'BW P&amp;L'!$A81,'BW TB'!I:I)</f>
        <v/>
      </c>
      <c r="V81" s="60">
        <f>-SUMIF('BW TB'!$T:$T,'BW P&amp;L'!$A81,'BW TB'!J:J)</f>
        <v/>
      </c>
      <c r="W81" s="60">
        <f>-SUMIF('BW TB'!$T:$T,'BW P&amp;L'!$A81,'BW TB'!K:K)</f>
        <v/>
      </c>
      <c r="X81" s="60">
        <f>-SUMIF('BW TB'!$T:$T,'BW P&amp;L'!$A81,'BW TB'!L:L)</f>
        <v/>
      </c>
      <c r="Y81" s="60">
        <f>-SUMIF('BW TB'!$T:$T,'BW P&amp;L'!$A81,'BW TB'!M:M)</f>
        <v/>
      </c>
      <c r="Z81" s="60">
        <f>-SUMIF('BW TB'!$T:$T,'BW P&amp;L'!$A81,'BW TB'!N:N)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60" t="inlineStr">
        <is>
          <t>In-Direct - Staff Cost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60">
        <f>-SUMIF('BW TB'!$T:$T,'BW P&amp;L'!$A82,'BW TB'!C:C)</f>
        <v/>
      </c>
      <c r="P82" s="60">
        <f>-SUMIF('BW TB'!$T:$T,'BW P&amp;L'!$A82,'BW TB'!D:D)</f>
        <v/>
      </c>
      <c r="Q82" s="60">
        <f>-SUMIF('BW TB'!$T:$T,'BW P&amp;L'!$A82,'BW TB'!E:E)</f>
        <v/>
      </c>
      <c r="R82" s="60">
        <f>-SUMIF('BW TB'!$T:$T,'BW P&amp;L'!$A82,'BW TB'!F:F)</f>
        <v/>
      </c>
      <c r="S82" s="60">
        <f>-SUMIF('BW TB'!$T:$T,'BW P&amp;L'!$A82,'BW TB'!G:G)</f>
        <v/>
      </c>
      <c r="T82" s="60">
        <f>-SUMIF('BW TB'!$T:$T,'BW P&amp;L'!$A82,'BW TB'!H:H)</f>
        <v/>
      </c>
      <c r="U82" s="60">
        <f>-SUMIF('BW TB'!$T:$T,'BW P&amp;L'!$A82,'BW TB'!I:I)</f>
        <v/>
      </c>
      <c r="V82" s="60">
        <f>-SUMIF('BW TB'!$T:$T,'BW P&amp;L'!$A82,'BW TB'!J:J)</f>
        <v/>
      </c>
      <c r="W82" s="60">
        <f>-SUMIF('BW TB'!$T:$T,'BW P&amp;L'!$A82,'BW TB'!K:K)</f>
        <v/>
      </c>
      <c r="X82" s="60">
        <f>-SUMIF('BW TB'!$T:$T,'BW P&amp;L'!$A82,'BW TB'!L:L)</f>
        <v/>
      </c>
      <c r="Y82" s="60">
        <f>-SUMIF('BW TB'!$T:$T,'BW P&amp;L'!$A82,'BW TB'!M:M)</f>
        <v/>
      </c>
      <c r="Z82" s="60">
        <f>-SUMIF('BW TB'!$T:$T,'BW P&amp;L'!$A82,'BW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60" t="inlineStr">
        <is>
          <t>In-Direct - Overheads</t>
        </is>
      </c>
      <c r="B83" s="60" t="n">
        <v>-254.95</v>
      </c>
      <c r="C83" s="60" t="n">
        <v>-401.73</v>
      </c>
      <c r="D83" s="60" t="n">
        <v>-1226.28</v>
      </c>
      <c r="E83" s="60" t="n">
        <v>-308.58</v>
      </c>
      <c r="F83" s="60" t="n">
        <v>-510.86</v>
      </c>
      <c r="G83" s="60" t="n">
        <v>-1074.77</v>
      </c>
      <c r="H83" s="60" t="n">
        <v>-762.4400000000001</v>
      </c>
      <c r="I83" s="60" t="n">
        <v>-682.1700000000001</v>
      </c>
      <c r="J83" s="60" t="n">
        <v>-642.78</v>
      </c>
      <c r="K83" s="60" t="n">
        <v>-339.46</v>
      </c>
      <c r="L83" s="60" t="n">
        <v>-662.75</v>
      </c>
      <c r="M83" s="8" t="n"/>
      <c r="N83" s="8" t="n"/>
      <c r="O83" s="60">
        <f>-SUMIF('BW TB'!$T:$T,'BW P&amp;L'!$A83,'BW TB'!C:C)</f>
        <v/>
      </c>
      <c r="P83" s="60">
        <f>-SUMIF('BW TB'!$T:$T,'BW P&amp;L'!$A83,'BW TB'!D:D)</f>
        <v/>
      </c>
      <c r="Q83" s="60">
        <f>-SUMIF('BW TB'!$T:$T,'BW P&amp;L'!$A83,'BW TB'!E:E)</f>
        <v/>
      </c>
      <c r="R83" s="60">
        <f>-SUMIF('BW TB'!$T:$T,'BW P&amp;L'!$A83,'BW TB'!F:F)</f>
        <v/>
      </c>
      <c r="S83" s="60">
        <f>-SUMIF('BW TB'!$T:$T,'BW P&amp;L'!$A83,'BW TB'!G:G)</f>
        <v/>
      </c>
      <c r="T83" s="60">
        <f>-SUMIF('BW TB'!$T:$T,'BW P&amp;L'!$A83,'BW TB'!H:H)</f>
        <v/>
      </c>
      <c r="U83" s="60">
        <f>-SUMIF('BW TB'!$T:$T,'BW P&amp;L'!$A83,'BW TB'!I:I)</f>
        <v/>
      </c>
      <c r="V83" s="60">
        <f>-SUMIF('BW TB'!$T:$T,'BW P&amp;L'!$A83,'BW TB'!J:J)</f>
        <v/>
      </c>
      <c r="W83" s="60">
        <f>-SUMIF('BW TB'!$T:$T,'BW P&amp;L'!$A83,'BW TB'!K:K)</f>
        <v/>
      </c>
      <c r="X83" s="60">
        <f>-SUMIF('BW TB'!$T:$T,'BW P&amp;L'!$A83,'BW TB'!L:L)</f>
        <v/>
      </c>
      <c r="Y83" s="60">
        <f>-SUMIF('BW TB'!$T:$T,'BW P&amp;L'!$A83,'BW TB'!M:M)</f>
        <v/>
      </c>
      <c r="Z83" s="60">
        <f>-SUMIF('BW TB'!$T:$T,'BW P&amp;L'!$A83,'BW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 ht="15.75" customHeight="1">
      <c r="A84" s="64" t="n"/>
      <c r="B84" s="64" t="n">
        <v>63418.51</v>
      </c>
      <c r="C84" s="64" t="n">
        <v>87711.48999999996</v>
      </c>
      <c r="D84" s="64" t="n">
        <v>106484.03</v>
      </c>
      <c r="E84" s="64" t="n">
        <v>71447.29999999997</v>
      </c>
      <c r="F84" s="64" t="n">
        <v>44727.52</v>
      </c>
      <c r="G84" s="64" t="n">
        <v>78507.36000000002</v>
      </c>
      <c r="H84" s="64" t="n">
        <v>108742.96</v>
      </c>
      <c r="I84" s="64" t="n">
        <v>28726.59999999998</v>
      </c>
      <c r="J84" s="64" t="n">
        <v>22810.31</v>
      </c>
      <c r="K84" s="64" t="n">
        <v>34761.18999999999</v>
      </c>
      <c r="L84" s="64" t="n">
        <v>88791.55</v>
      </c>
      <c r="M84" s="64" t="n"/>
      <c r="N84" s="64" t="n"/>
      <c r="O84" s="64">
        <f>SUM(O78:O83)</f>
        <v/>
      </c>
      <c r="P84" s="64">
        <f>SUM(P78:P83)</f>
        <v/>
      </c>
      <c r="Q84" s="64">
        <f>SUM(Q78:Q83)</f>
        <v/>
      </c>
      <c r="R84" s="64">
        <f>SUM(R78:R83)</f>
        <v/>
      </c>
      <c r="S84" s="64">
        <f>SUM(S78:S83)</f>
        <v/>
      </c>
      <c r="T84" s="64">
        <f>SUM(T78:T83)</f>
        <v/>
      </c>
      <c r="U84" s="64">
        <f>SUM(U78:U83)</f>
        <v/>
      </c>
      <c r="V84" s="64">
        <f>SUM(V78:V83)</f>
        <v/>
      </c>
      <c r="W84" s="64">
        <f>SUM(W78:W83)</f>
        <v/>
      </c>
      <c r="X84" s="64">
        <f>SUM(X78:X83)</f>
        <v/>
      </c>
      <c r="Y84" s="64">
        <f>SUM(Y78:Y83)</f>
        <v/>
      </c>
      <c r="Z84" s="64">
        <f>SUM(Z78:Z83)</f>
        <v/>
      </c>
      <c r="AA84" s="8" t="n"/>
      <c r="AB84" s="8" t="n"/>
      <c r="AC84" s="64" t="n"/>
      <c r="AD84" s="64" t="n"/>
      <c r="AE84" s="64" t="n"/>
      <c r="AF84" s="64" t="n"/>
      <c r="AG84" s="64" t="n"/>
      <c r="AH84" s="64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 ht="15.75" customHeight="1">
      <c r="A85" s="8" t="n"/>
      <c r="B85" s="18" t="n">
        <v>0</v>
      </c>
      <c r="C85" s="18" t="n">
        <v>0</v>
      </c>
      <c r="D85" s="18" t="n">
        <v>0</v>
      </c>
      <c r="E85" s="18" t="n">
        <v>0</v>
      </c>
      <c r="F85" s="18" t="n">
        <v>0</v>
      </c>
      <c r="G85" s="18" t="n">
        <v>0</v>
      </c>
      <c r="H85" s="18" t="n">
        <v>0</v>
      </c>
      <c r="I85" s="18" t="n">
        <v>0</v>
      </c>
      <c r="J85" s="18" t="n">
        <v>0</v>
      </c>
      <c r="K85" s="18" t="n">
        <v>0</v>
      </c>
      <c r="L85" s="18" t="n">
        <v>0</v>
      </c>
      <c r="M85" s="18" t="n"/>
      <c r="N85" s="8" t="n"/>
      <c r="O85" s="60">
        <f>+O70-O84</f>
        <v/>
      </c>
      <c r="P85" s="60">
        <f>+P70-P84</f>
        <v/>
      </c>
      <c r="Q85" s="60">
        <f>+Q70-Q84</f>
        <v/>
      </c>
      <c r="R85" s="60">
        <f>+R70-R84</f>
        <v/>
      </c>
      <c r="S85" s="60">
        <f>+S70-S84</f>
        <v/>
      </c>
      <c r="T85" s="60">
        <f>+T70-T84</f>
        <v/>
      </c>
      <c r="U85" s="60">
        <f>+U70-U84</f>
        <v/>
      </c>
      <c r="V85" s="60">
        <f>+V70-V84</f>
        <v/>
      </c>
      <c r="W85" s="60">
        <f>+W70-W84</f>
        <v/>
      </c>
      <c r="X85" s="60">
        <f>+X70-X84</f>
        <v/>
      </c>
      <c r="Y85" s="60">
        <f>+Y70-Y84</f>
        <v/>
      </c>
      <c r="Z85" s="60">
        <f>+Z70-Z84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60" t="n">
        <v>0</v>
      </c>
      <c r="C87" s="60" t="n">
        <v>0</v>
      </c>
      <c r="D87" s="60" t="n">
        <v>0</v>
      </c>
      <c r="E87" s="60" t="n">
        <v>0</v>
      </c>
      <c r="F87" s="60" t="n">
        <v>0</v>
      </c>
      <c r="G87" s="60" t="n">
        <v>0</v>
      </c>
      <c r="H87" s="60" t="n">
        <v>0</v>
      </c>
      <c r="I87" s="60" t="n">
        <v>0</v>
      </c>
      <c r="J87" s="60" t="n">
        <v>0</v>
      </c>
      <c r="K87" s="8" t="n"/>
      <c r="L87" s="8" t="n"/>
      <c r="M87" s="8" t="n"/>
      <c r="N87" s="8" t="n"/>
      <c r="O87" s="60">
        <f>O84+O88</f>
        <v/>
      </c>
      <c r="P87" s="60">
        <f>P84+P88</f>
        <v/>
      </c>
      <c r="Q87" s="60">
        <f>Q84+Q88</f>
        <v/>
      </c>
      <c r="R87" s="60">
        <f>R84+R88</f>
        <v/>
      </c>
      <c r="S87" s="60">
        <f>S84+S88</f>
        <v/>
      </c>
      <c r="T87" s="60">
        <f>T84+T88</f>
        <v/>
      </c>
      <c r="U87" s="60">
        <f>U84+U88</f>
        <v/>
      </c>
      <c r="V87" s="60">
        <f>V84+V88</f>
        <v/>
      </c>
      <c r="W87" s="60">
        <f>W84+W88</f>
        <v/>
      </c>
      <c r="X87" s="60">
        <f>X84+X88</f>
        <v/>
      </c>
      <c r="Y87" s="60">
        <f>Y84+Y88</f>
        <v/>
      </c>
      <c r="Z87" s="60">
        <f>Z84+Z88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>
        <v>-63418.50999999998</v>
      </c>
      <c r="C88" s="18" t="n">
        <v>-87711.49000000001</v>
      </c>
      <c r="D88" s="18" t="n">
        <v>-106484.03</v>
      </c>
      <c r="E88" s="18" t="n">
        <v>-71447.29999999996</v>
      </c>
      <c r="F88" s="18" t="n">
        <v>-44727.52000000003</v>
      </c>
      <c r="G88" s="18" t="n">
        <v>-78507.36000000003</v>
      </c>
      <c r="H88" s="18" t="n">
        <v>-108742.96</v>
      </c>
      <c r="I88" s="18" t="n">
        <v>-28726.59999999998</v>
      </c>
      <c r="J88" s="18" t="n">
        <v>-22810.30999999999</v>
      </c>
      <c r="K88" s="18" t="n"/>
      <c r="L88" s="18" t="n"/>
      <c r="M88" s="18" t="n"/>
      <c r="N88" s="8" t="n"/>
      <c r="O88" s="60">
        <f>SUM('BW TB'!C2:C47)</f>
        <v/>
      </c>
      <c r="P88" s="60">
        <f>SUM('BW TB'!D2:D47)</f>
        <v/>
      </c>
      <c r="Q88" s="60">
        <f>SUM('BW TB'!E2:E47)</f>
        <v/>
      </c>
      <c r="R88" s="60">
        <f>SUM('BW TB'!F2:F47)</f>
        <v/>
      </c>
      <c r="S88" s="60">
        <f>SUM('BW TB'!G2:G47)</f>
        <v/>
      </c>
      <c r="T88" s="60">
        <f>SUM('BW TB'!H2:H47)</f>
        <v/>
      </c>
      <c r="U88" s="60">
        <f>SUM('BW TB'!I2:I47)</f>
        <v/>
      </c>
      <c r="V88" s="60">
        <f>SUM('BW TB'!J2:J47)</f>
        <v/>
      </c>
      <c r="W88" s="60">
        <f>SUM('BW TB'!K2:K47)</f>
        <v/>
      </c>
      <c r="X88" s="60">
        <f>SUM('BW TB'!L2:L47)</f>
        <v/>
      </c>
      <c r="Y88" s="60">
        <f>SUM('BW TB'!M2:M47)</f>
        <v/>
      </c>
      <c r="Z88" s="60">
        <f>SUM('BW TB'!N2:N47)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570312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Cedars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23814.44</v>
      </c>
      <c r="C8" s="35" t="n">
        <v>20657.57</v>
      </c>
      <c r="D8" s="35" t="n">
        <v>26472.4</v>
      </c>
      <c r="E8" s="35" t="n">
        <v>28682.3</v>
      </c>
      <c r="F8" s="35" t="n">
        <v>21069.85</v>
      </c>
      <c r="G8" s="35" t="n">
        <v>21588.68</v>
      </c>
      <c r="H8" s="35" t="n">
        <v>29637.32</v>
      </c>
      <c r="I8" s="35" t="n">
        <v>22500.55</v>
      </c>
      <c r="J8" s="35" t="n">
        <v>19945.64</v>
      </c>
      <c r="K8" s="35" t="n">
        <v>19659.5</v>
      </c>
      <c r="L8" s="35" t="n">
        <v>18229.14</v>
      </c>
      <c r="M8" s="35" t="n">
        <v>23118.77</v>
      </c>
      <c r="N8" s="36">
        <f>SUM(B8:M8)</f>
        <v/>
      </c>
      <c r="O8" s="37" t="n">
        <v>22240.66</v>
      </c>
      <c r="P8" s="37" t="n">
        <v>18321.22</v>
      </c>
      <c r="Q8" s="37" t="n">
        <v>22883.27999999999</v>
      </c>
      <c r="R8" s="37" t="n">
        <v>22685.93</v>
      </c>
      <c r="S8" s="37" t="n">
        <v>18910.69</v>
      </c>
      <c r="T8" s="37" t="n">
        <v>20776.58</v>
      </c>
      <c r="U8" s="37" t="n">
        <v>25818.48</v>
      </c>
      <c r="V8" s="38" t="n">
        <v>18654</v>
      </c>
      <c r="W8" s="38" t="n">
        <v>11835</v>
      </c>
      <c r="X8" s="38" t="n">
        <v>12126</v>
      </c>
      <c r="Y8" s="38" t="n">
        <v>14161</v>
      </c>
      <c r="Z8" s="38" t="n">
        <v>21018</v>
      </c>
      <c r="AA8" s="36">
        <f>SUM(O8:U8)</f>
        <v/>
      </c>
      <c r="AB8" s="36">
        <f>SUM(O8:Z8)</f>
        <v/>
      </c>
      <c r="AC8" s="38" t="n">
        <v>28315.98</v>
      </c>
      <c r="AD8" s="38" t="n">
        <v>26840.28</v>
      </c>
      <c r="AE8" s="38" t="n">
        <v>31507.8</v>
      </c>
      <c r="AF8" s="38" t="n">
        <v>30543.59</v>
      </c>
      <c r="AG8" s="38" t="n">
        <v>30885.6</v>
      </c>
      <c r="AH8" s="38" t="n">
        <v>33002.04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5791.72</v>
      </c>
      <c r="C9" s="35" t="n">
        <v>14479.3</v>
      </c>
      <c r="D9" s="35" t="n">
        <v>15684.58</v>
      </c>
      <c r="E9" s="35" t="n">
        <v>5185.26</v>
      </c>
      <c r="F9" s="35" t="n">
        <v>5185.26</v>
      </c>
      <c r="G9" s="35" t="n">
        <v>15608.08</v>
      </c>
      <c r="H9" s="35" t="n">
        <v>13375.26</v>
      </c>
      <c r="I9" s="35" t="n">
        <v>0</v>
      </c>
      <c r="J9" s="35" t="n">
        <v>5986.21</v>
      </c>
      <c r="K9" s="35" t="n">
        <v>12205.6</v>
      </c>
      <c r="L9" s="35" t="n">
        <v>12205.6</v>
      </c>
      <c r="M9" s="35" t="n">
        <v>16957.76</v>
      </c>
      <c r="N9" s="36">
        <f>SUM(B9:M9)</f>
        <v/>
      </c>
      <c r="O9" s="37" t="n">
        <v>6629.51</v>
      </c>
      <c r="P9" s="37" t="n">
        <v>17491.45</v>
      </c>
      <c r="Q9" s="37" t="n">
        <v>17491.45</v>
      </c>
      <c r="R9" s="37" t="n">
        <v>12006.04</v>
      </c>
      <c r="S9" s="37" t="n">
        <v>12006.05</v>
      </c>
      <c r="T9" s="37" t="n">
        <v>12927.15</v>
      </c>
      <c r="U9" s="37" t="n">
        <v>12313.08</v>
      </c>
      <c r="V9" s="38" t="n"/>
      <c r="W9" s="38" t="n">
        <v>8499</v>
      </c>
      <c r="X9" s="38" t="n">
        <v>9777</v>
      </c>
      <c r="Y9" s="38" t="n">
        <v>10656</v>
      </c>
      <c r="Z9" s="38" t="n">
        <v>6058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6.5" customHeight="1">
      <c r="A10" s="34" t="inlineStr">
        <is>
          <t>Other Income</t>
        </is>
      </c>
      <c r="B10" s="35" t="n">
        <v>200</v>
      </c>
      <c r="C10" s="35" t="n">
        <v>200</v>
      </c>
      <c r="D10" s="35" t="n">
        <v>300</v>
      </c>
      <c r="E10" s="35" t="n">
        <v>0</v>
      </c>
      <c r="F10" s="35" t="n">
        <v>300</v>
      </c>
      <c r="G10" s="35" t="n">
        <v>300</v>
      </c>
      <c r="H10" s="35" t="n">
        <v>150</v>
      </c>
      <c r="I10" s="35" t="n">
        <v>0</v>
      </c>
      <c r="J10" s="35" t="n">
        <v>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 t="n">
        <v>650</v>
      </c>
      <c r="P10" s="37" t="n">
        <v>150</v>
      </c>
      <c r="Q10" s="37" t="n">
        <v>150</v>
      </c>
      <c r="R10" s="37" t="n">
        <v>150</v>
      </c>
      <c r="S10" s="37" t="n">
        <v>150</v>
      </c>
      <c r="T10" s="37" t="n">
        <v>150</v>
      </c>
      <c r="U10" s="37" t="n">
        <v>150</v>
      </c>
      <c r="V10" s="38" t="n"/>
      <c r="W10" s="38" t="n">
        <v>0</v>
      </c>
      <c r="X10" s="38" t="n">
        <v>0</v>
      </c>
      <c r="Y10" s="38" t="n">
        <v>0</v>
      </c>
      <c r="Z10" s="38" t="n">
        <v>0</v>
      </c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6.5" customHeight="1">
      <c r="A11" s="41" t="inlineStr">
        <is>
          <t>Total Income</t>
        </is>
      </c>
      <c r="B11" s="42" t="n">
        <v>29806.16</v>
      </c>
      <c r="C11" s="42" t="n">
        <v>35336.87</v>
      </c>
      <c r="D11" s="42" t="n">
        <v>42456.98</v>
      </c>
      <c r="E11" s="42" t="n">
        <v>33867.56</v>
      </c>
      <c r="F11" s="42" t="n">
        <v>26555.11</v>
      </c>
      <c r="G11" s="42" t="n">
        <v>37496.76</v>
      </c>
      <c r="H11" s="42" t="n">
        <v>43162.58</v>
      </c>
      <c r="I11" s="42" t="n">
        <v>22500.55</v>
      </c>
      <c r="J11" s="42" t="n">
        <v>25931.85</v>
      </c>
      <c r="K11" s="42" t="n">
        <v>32015.1</v>
      </c>
      <c r="L11" s="42" t="n">
        <v>30584.74</v>
      </c>
      <c r="M11" s="42" t="n">
        <v>40226.53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15964.89</v>
      </c>
      <c r="C16" s="35" t="n">
        <v>15432.95</v>
      </c>
      <c r="D16" s="35" t="n">
        <v>16980.77</v>
      </c>
      <c r="E16" s="35" t="n">
        <v>19492.28</v>
      </c>
      <c r="F16" s="35" t="n">
        <v>19492.07</v>
      </c>
      <c r="G16" s="35" t="n">
        <v>16093.17</v>
      </c>
      <c r="H16" s="35" t="n">
        <v>19196.5</v>
      </c>
      <c r="I16" s="35" t="n">
        <v>14959.37</v>
      </c>
      <c r="J16" s="35" t="n">
        <v>19873.92</v>
      </c>
      <c r="K16" s="35" t="n">
        <v>18038.34</v>
      </c>
      <c r="L16" s="35" t="n">
        <v>18266.77</v>
      </c>
      <c r="M16" s="35" t="n">
        <v>21533.17</v>
      </c>
      <c r="N16" s="36">
        <f>SUM(B16:M16)</f>
        <v/>
      </c>
      <c r="O16" s="37" t="n">
        <v>19941.96</v>
      </c>
      <c r="P16" s="37" t="n">
        <v>18433.95</v>
      </c>
      <c r="Q16" s="37" t="n">
        <v>16301.53</v>
      </c>
      <c r="R16" s="37" t="n">
        <v>22374.13</v>
      </c>
      <c r="S16" s="37" t="n">
        <v>22592.61</v>
      </c>
      <c r="T16" s="37" t="n">
        <v>21699.26</v>
      </c>
      <c r="U16" s="37" t="n">
        <v>22510.48</v>
      </c>
      <c r="V16" s="38" t="n">
        <v>22510.48</v>
      </c>
      <c r="W16" s="38" t="n">
        <v>22510.48</v>
      </c>
      <c r="X16" s="38" t="n">
        <v>22510.48</v>
      </c>
      <c r="Y16" s="38" t="n">
        <v>22510.48</v>
      </c>
      <c r="Z16" s="38" t="n">
        <v>22510.48</v>
      </c>
      <c r="AA16" s="36">
        <f>SUM(O16:U16)</f>
        <v/>
      </c>
      <c r="AB16" s="36">
        <f>SUM(O16:Z16)</f>
        <v/>
      </c>
      <c r="AC16" s="38" t="n">
        <v>22510.48</v>
      </c>
      <c r="AD16" s="38" t="n">
        <v>22510.48</v>
      </c>
      <c r="AE16" s="38" t="n">
        <v>22510.48</v>
      </c>
      <c r="AF16" s="38" t="n">
        <v>22510.48</v>
      </c>
      <c r="AG16" s="38" t="n">
        <v>22510.48</v>
      </c>
      <c r="AH16" s="38" t="n">
        <v>22510.48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1212.08</v>
      </c>
      <c r="C17" s="35" t="n">
        <v>1115.32</v>
      </c>
      <c r="D17" s="35" t="n">
        <v>1300.33</v>
      </c>
      <c r="E17" s="35" t="n">
        <v>2055.72</v>
      </c>
      <c r="F17" s="35" t="n">
        <v>1957.17</v>
      </c>
      <c r="G17" s="35" t="n">
        <v>1471.56</v>
      </c>
      <c r="H17" s="35" t="n">
        <v>1976.99</v>
      </c>
      <c r="I17" s="35" t="n">
        <v>1386.1</v>
      </c>
      <c r="J17" s="35" t="n">
        <v>2097.99</v>
      </c>
      <c r="K17" s="35" t="n">
        <v>1993.75</v>
      </c>
      <c r="L17" s="35" t="n">
        <v>1962.85</v>
      </c>
      <c r="M17" s="35" t="n">
        <v>2264.02</v>
      </c>
      <c r="N17" s="36">
        <f>SUM(B17:M17)</f>
        <v/>
      </c>
      <c r="O17" s="37" t="n">
        <v>2075.7</v>
      </c>
      <c r="P17" s="37" t="n">
        <v>2156.24</v>
      </c>
      <c r="Q17" s="37" t="n">
        <v>2109.88</v>
      </c>
      <c r="R17" s="37" t="n">
        <v>2614.86</v>
      </c>
      <c r="S17" s="37" t="n">
        <v>2663.12</v>
      </c>
      <c r="T17" s="37" t="n">
        <v>2437.78</v>
      </c>
      <c r="U17" s="37" t="n">
        <v>2763.77</v>
      </c>
      <c r="V17" s="38" t="n">
        <v>2763.77</v>
      </c>
      <c r="W17" s="38" t="n">
        <v>2763.77</v>
      </c>
      <c r="X17" s="38" t="n">
        <v>2763.77</v>
      </c>
      <c r="Y17" s="38" t="n">
        <v>2763.77</v>
      </c>
      <c r="Z17" s="38" t="n">
        <v>2763.77</v>
      </c>
      <c r="AA17" s="36">
        <f>SUM(O17:U17)</f>
        <v/>
      </c>
      <c r="AB17" s="36">
        <f>SUM(O17:Z17)</f>
        <v/>
      </c>
      <c r="AC17" s="38" t="n">
        <v>2763.77</v>
      </c>
      <c r="AD17" s="38" t="n">
        <v>2763.77</v>
      </c>
      <c r="AE17" s="38" t="n">
        <v>2763.77</v>
      </c>
      <c r="AF17" s="38" t="n">
        <v>2763.77</v>
      </c>
      <c r="AG17" s="38" t="n">
        <v>2763.77</v>
      </c>
      <c r="AH17" s="38" t="n">
        <v>2763.77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216.18</v>
      </c>
      <c r="C18" s="35" t="n">
        <v>203.88</v>
      </c>
      <c r="D18" s="35" t="n">
        <v>196.57</v>
      </c>
      <c r="E18" s="35" t="n">
        <v>233.26</v>
      </c>
      <c r="F18" s="35" t="n">
        <v>228.75</v>
      </c>
      <c r="G18" s="35" t="n">
        <v>190.93</v>
      </c>
      <c r="H18" s="35" t="n">
        <v>276.28</v>
      </c>
      <c r="I18" s="35" t="n">
        <v>243.1</v>
      </c>
      <c r="J18" s="35" t="n">
        <v>298.73</v>
      </c>
      <c r="K18" s="35" t="n">
        <v>272.53</v>
      </c>
      <c r="L18" s="35" t="n">
        <v>352.17</v>
      </c>
      <c r="M18" s="35" t="n">
        <v>373.97</v>
      </c>
      <c r="N18" s="36">
        <f>SUM(B18:M18)</f>
        <v/>
      </c>
      <c r="O18" s="37" t="n">
        <v>390.39</v>
      </c>
      <c r="P18" s="37" t="n">
        <v>333.89</v>
      </c>
      <c r="Q18" s="37" t="n">
        <v>284.46</v>
      </c>
      <c r="R18" s="37" t="n">
        <v>420.57</v>
      </c>
      <c r="S18" s="37" t="n">
        <v>427.46</v>
      </c>
      <c r="T18" s="37" t="n">
        <v>446.28</v>
      </c>
      <c r="U18" s="37" t="n">
        <v>478.22</v>
      </c>
      <c r="V18" s="38" t="n">
        <v>478.22</v>
      </c>
      <c r="W18" s="38" t="n">
        <v>478.22</v>
      </c>
      <c r="X18" s="38" t="n">
        <v>478.22</v>
      </c>
      <c r="Y18" s="38" t="n">
        <v>478.22</v>
      </c>
      <c r="Z18" s="38" t="n">
        <v>478.22</v>
      </c>
      <c r="AA18" s="36">
        <f>SUM(O18:U18)</f>
        <v/>
      </c>
      <c r="AB18" s="36">
        <f>SUM(O18:Z18)</f>
        <v/>
      </c>
      <c r="AC18" s="38" t="n">
        <v>478.22</v>
      </c>
      <c r="AD18" s="38" t="n">
        <v>478.22</v>
      </c>
      <c r="AE18" s="38" t="n">
        <v>478.22</v>
      </c>
      <c r="AF18" s="38" t="n">
        <v>478.22</v>
      </c>
      <c r="AG18" s="38" t="n">
        <v>478.22</v>
      </c>
      <c r="AH18" s="38" t="n">
        <v>478.22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524.28</v>
      </c>
      <c r="D19" s="35" t="n">
        <v>0</v>
      </c>
      <c r="E19" s="35" t="n">
        <v>0</v>
      </c>
      <c r="F19" s="35" t="n">
        <v>100.14</v>
      </c>
      <c r="G19" s="35" t="n">
        <v>100.14</v>
      </c>
      <c r="H19" s="35" t="n">
        <v>0</v>
      </c>
      <c r="I19" s="35" t="n">
        <v>0</v>
      </c>
      <c r="J19" s="35" t="n">
        <v>262.56</v>
      </c>
      <c r="K19" s="35" t="n">
        <v>0</v>
      </c>
      <c r="L19" s="35" t="n">
        <v>0</v>
      </c>
      <c r="M19" s="35" t="n">
        <v>100.14</v>
      </c>
      <c r="N19" s="36">
        <f>SUM(B19:M19)</f>
        <v/>
      </c>
      <c r="O19" s="37" t="n">
        <v>6.99</v>
      </c>
      <c r="P19" s="37" t="n">
        <v>0</v>
      </c>
      <c r="Q19" s="37" t="n">
        <v>0</v>
      </c>
      <c r="R19" s="37" t="n">
        <v>133.87</v>
      </c>
      <c r="S19" s="37" t="n">
        <v>0</v>
      </c>
      <c r="T19" s="37" t="n">
        <v>0</v>
      </c>
      <c r="U19" s="37" t="n">
        <v>0</v>
      </c>
      <c r="V19" s="38" t="n">
        <v>6.99</v>
      </c>
      <c r="W19" s="38" t="n">
        <v>6.99</v>
      </c>
      <c r="X19" s="38" t="n">
        <v>6.99</v>
      </c>
      <c r="Y19" s="38" t="n">
        <v>6.99</v>
      </c>
      <c r="Z19" s="38" t="n">
        <v>6.99</v>
      </c>
      <c r="AA19" s="36">
        <f>SUM(O19:U19)</f>
        <v/>
      </c>
      <c r="AB19" s="36">
        <f>SUM(O19:Z19)</f>
        <v/>
      </c>
      <c r="AC19" s="38" t="n">
        <v>6.99</v>
      </c>
      <c r="AD19" s="38" t="n">
        <v>6.99</v>
      </c>
      <c r="AE19" s="38" t="n">
        <v>6.99</v>
      </c>
      <c r="AF19" s="38" t="n">
        <v>6.99</v>
      </c>
      <c r="AG19" s="38" t="n">
        <v>6.99</v>
      </c>
      <c r="AH19" s="38" t="n">
        <v>6.99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48</v>
      </c>
      <c r="C20" s="35" t="n">
        <v>78</v>
      </c>
      <c r="D20" s="35" t="n">
        <v>0</v>
      </c>
      <c r="E20" s="35" t="n">
        <v>0</v>
      </c>
      <c r="F20" s="35" t="n">
        <v>0</v>
      </c>
      <c r="G20" s="35" t="n">
        <v>72</v>
      </c>
      <c r="H20" s="35" t="n">
        <v>0</v>
      </c>
      <c r="I20" s="35" t="n">
        <v>0</v>
      </c>
      <c r="J20" s="35" t="n">
        <v>216</v>
      </c>
      <c r="K20" s="35" t="n">
        <v>916</v>
      </c>
      <c r="L20" s="35" t="n">
        <v>10</v>
      </c>
      <c r="M20" s="35" t="n">
        <v>686.49</v>
      </c>
      <c r="N20" s="36">
        <f>SUM(B20:M20)</f>
        <v/>
      </c>
      <c r="O20" s="37" t="n">
        <v>388.79</v>
      </c>
      <c r="P20" s="37" t="n">
        <v>0</v>
      </c>
      <c r="Q20" s="37" t="n">
        <v>24</v>
      </c>
      <c r="R20" s="37" t="n">
        <v>0</v>
      </c>
      <c r="S20" s="37" t="n">
        <v>0</v>
      </c>
      <c r="T20" s="37" t="n">
        <v>0</v>
      </c>
      <c r="U20" s="37" t="n">
        <v>0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10</v>
      </c>
      <c r="C21" s="35" t="n">
        <v>108.63</v>
      </c>
      <c r="D21" s="35" t="n">
        <v>61.08</v>
      </c>
      <c r="E21" s="35" t="n">
        <v>109.86</v>
      </c>
      <c r="F21" s="35" t="n">
        <v>137.21</v>
      </c>
      <c r="G21" s="35" t="n">
        <v>52.06</v>
      </c>
      <c r="H21" s="35" t="n">
        <v>92.56999999999999</v>
      </c>
      <c r="I21" s="35" t="n">
        <v>92.28</v>
      </c>
      <c r="J21" s="35" t="n">
        <v>92.52</v>
      </c>
      <c r="K21" s="35" t="n">
        <v>68.13</v>
      </c>
      <c r="L21" s="35" t="n">
        <v>161.98</v>
      </c>
      <c r="M21" s="35" t="n">
        <v>194.07</v>
      </c>
      <c r="N21" s="36">
        <f>SUM(B21:M21)</f>
        <v/>
      </c>
      <c r="O21" s="37" t="n">
        <v>125.23</v>
      </c>
      <c r="P21" s="37" t="n">
        <v>203.51</v>
      </c>
      <c r="Q21" s="37" t="n">
        <v>281.37</v>
      </c>
      <c r="R21" s="37" t="n">
        <v>239.69</v>
      </c>
      <c r="S21" s="37" t="n">
        <v>156.06</v>
      </c>
      <c r="T21" s="37" t="n">
        <v>149.88</v>
      </c>
      <c r="U21" s="37" t="n">
        <v>224.47</v>
      </c>
      <c r="V21" s="38" t="n">
        <v>150</v>
      </c>
      <c r="W21" s="38" t="n">
        <v>150</v>
      </c>
      <c r="X21" s="38" t="n">
        <v>150</v>
      </c>
      <c r="Y21" s="38" t="n">
        <v>150</v>
      </c>
      <c r="Z21" s="38" t="n">
        <v>150</v>
      </c>
      <c r="AA21" s="36">
        <f>SUM(O21:U21)</f>
        <v/>
      </c>
      <c r="AB21" s="36">
        <f>SUM(O21:Z21)</f>
        <v/>
      </c>
      <c r="AC21" s="38" t="n">
        <v>150</v>
      </c>
      <c r="AD21" s="38" t="n">
        <v>150</v>
      </c>
      <c r="AE21" s="38" t="n">
        <v>150</v>
      </c>
      <c r="AF21" s="38" t="n">
        <v>150</v>
      </c>
      <c r="AG21" s="38" t="n">
        <v>150</v>
      </c>
      <c r="AH21" s="38" t="n">
        <v>150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5040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3650.4</v>
      </c>
      <c r="N22" s="36">
        <f>SUM(B22:M22)</f>
        <v/>
      </c>
      <c r="O22" s="37">
        <f>SUMIF('CED TB'!$R:$R,'CED P&amp;L'!$A22,'CED TB'!C:C)</f>
        <v/>
      </c>
      <c r="P22" s="37">
        <f>SUMIF('CED TB'!$R:$R,'CED P&amp;L'!$A22,'CED TB'!D:D)</f>
        <v/>
      </c>
      <c r="Q22" s="37">
        <f>SUMIF('CED TB'!$R:$R,'CED P&amp;L'!$A22,'CED TB'!E:E)</f>
        <v/>
      </c>
      <c r="R22" s="37">
        <f>SUMIF('CED TB'!$R:$R,'CED P&amp;L'!$A22,'CED TB'!F:F)</f>
        <v/>
      </c>
      <c r="S22" s="37">
        <f>SUMIF('CED TB'!$R:$R,'CED P&amp;L'!$A22,'CED TB'!G:G)</f>
        <v/>
      </c>
      <c r="T22" s="37">
        <f>SUMIF('CED TB'!$R:$R,'CED P&amp;L'!$A22,'CED TB'!H:H)</f>
        <v/>
      </c>
      <c r="U22" s="37">
        <f>SUMIF('CED TB'!$R:$R,'CED P&amp;L'!$A22,'CED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10</v>
      </c>
      <c r="I23" s="35" t="n">
        <v>10</v>
      </c>
      <c r="J23" s="35" t="n">
        <v>0</v>
      </c>
      <c r="K23" s="35" t="n">
        <v>0</v>
      </c>
      <c r="L23" s="35" t="n">
        <v>0</v>
      </c>
      <c r="M23" s="35" t="n">
        <v>12.99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35.95</v>
      </c>
      <c r="U23" s="37" t="n">
        <v>66.90000000000001</v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SUMIF('CED TB'!$R:$R,'CED P&amp;L'!$A24,'CED TB'!C:C)</f>
        <v/>
      </c>
      <c r="P24" s="37">
        <f>SUMIF('CED TB'!$R:$R,'CED P&amp;L'!$A24,'CED TB'!D:D)</f>
        <v/>
      </c>
      <c r="Q24" s="37">
        <f>SUMIF('CED TB'!$R:$R,'CED P&amp;L'!$A24,'CED TB'!E:E)</f>
        <v/>
      </c>
      <c r="R24" s="37">
        <f>SUMIF('CED TB'!$R:$R,'CED P&amp;L'!$A24,'CED TB'!F:F)</f>
        <v/>
      </c>
      <c r="S24" s="37">
        <f>SUMIF('CED TB'!$R:$R,'CED P&amp;L'!$A24,'CED TB'!G:G)</f>
        <v/>
      </c>
      <c r="T24" s="37">
        <f>SUMIF('CED TB'!$R:$R,'CED P&amp;L'!$A24,'CED TB'!H:H)</f>
        <v/>
      </c>
      <c r="U24" s="37">
        <f>SUMIF('CED TB'!$R:$R,'CED P&amp;L'!$A24,'CED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17451.15</v>
      </c>
      <c r="C25" s="42" t="n">
        <v>22503.06</v>
      </c>
      <c r="D25" s="42" t="n">
        <v>18538.75</v>
      </c>
      <c r="E25" s="42" t="n">
        <v>21891.12</v>
      </c>
      <c r="F25" s="42" t="n">
        <v>21915.34</v>
      </c>
      <c r="G25" s="42" t="n">
        <v>17979.86</v>
      </c>
      <c r="H25" s="42" t="n">
        <v>21552.34</v>
      </c>
      <c r="I25" s="42" t="n">
        <v>16690.85</v>
      </c>
      <c r="J25" s="42" t="n">
        <v>22841.72</v>
      </c>
      <c r="K25" s="42" t="n">
        <v>21288.75</v>
      </c>
      <c r="L25" s="42" t="n">
        <v>20753.77</v>
      </c>
      <c r="M25" s="42" t="n">
        <v>28815.25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859.26</v>
      </c>
      <c r="C27" s="35" t="n">
        <v>893.4</v>
      </c>
      <c r="D27" s="35" t="n">
        <v>921.17</v>
      </c>
      <c r="E27" s="35" t="n">
        <v>956.59</v>
      </c>
      <c r="F27" s="35" t="n">
        <v>1358.48</v>
      </c>
      <c r="G27" s="35" t="n">
        <v>1340.98</v>
      </c>
      <c r="H27" s="35" t="n">
        <v>1025.84</v>
      </c>
      <c r="I27" s="35" t="n">
        <v>1548.48</v>
      </c>
      <c r="J27" s="35" t="n">
        <v>1219.43</v>
      </c>
      <c r="K27" s="35" t="n">
        <v>1491.26</v>
      </c>
      <c r="L27" s="35" t="n">
        <v>1275.79</v>
      </c>
      <c r="M27" s="35" t="n">
        <v>904</v>
      </c>
      <c r="N27" s="36">
        <f>SUM(B27:M27)</f>
        <v/>
      </c>
      <c r="O27" s="37" t="n">
        <v>1124.3</v>
      </c>
      <c r="P27" s="37" t="n">
        <v>897.62</v>
      </c>
      <c r="Q27" s="37" t="n">
        <v>1008.18</v>
      </c>
      <c r="R27" s="37" t="n">
        <v>1170.82</v>
      </c>
      <c r="S27" s="37" t="n">
        <v>811.64</v>
      </c>
      <c r="T27" s="37" t="n">
        <v>968.12</v>
      </c>
      <c r="U27" s="37" t="n">
        <v>1225.01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183.52</v>
      </c>
      <c r="C28" s="35" t="n">
        <v>90.92999999999999</v>
      </c>
      <c r="D28" s="35" t="n">
        <v>151.06</v>
      </c>
      <c r="E28" s="35" t="n">
        <v>177.29</v>
      </c>
      <c r="F28" s="35" t="n">
        <v>242.78</v>
      </c>
      <c r="G28" s="35" t="n">
        <v>1990.96</v>
      </c>
      <c r="H28" s="35" t="n">
        <v>406.66</v>
      </c>
      <c r="I28" s="35" t="n">
        <v>353.82</v>
      </c>
      <c r="J28" s="35" t="n">
        <v>175.28</v>
      </c>
      <c r="K28" s="35" t="n">
        <v>16.3</v>
      </c>
      <c r="L28" s="35" t="n">
        <v>60.14</v>
      </c>
      <c r="M28" s="35" t="n">
        <v>19.96</v>
      </c>
      <c r="N28" s="36">
        <f>SUM(B28:M28)</f>
        <v/>
      </c>
      <c r="O28" s="37" t="n">
        <v>22.2</v>
      </c>
      <c r="P28" s="37" t="n">
        <v>40.4</v>
      </c>
      <c r="Q28" s="37" t="n">
        <v>106.77</v>
      </c>
      <c r="R28" s="37" t="n">
        <v>36.99</v>
      </c>
      <c r="S28" s="37" t="n">
        <v>110.33</v>
      </c>
      <c r="T28" s="37" t="n">
        <v>12</v>
      </c>
      <c r="U28" s="37" t="n">
        <v>1314.02</v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172.86</v>
      </c>
      <c r="C29" s="35" t="n">
        <v>134.54</v>
      </c>
      <c r="D29" s="35" t="n">
        <v>126.09</v>
      </c>
      <c r="E29" s="35" t="n">
        <v>36.83</v>
      </c>
      <c r="F29" s="35" t="n">
        <v>9.5</v>
      </c>
      <c r="G29" s="35" t="n">
        <v>322.09</v>
      </c>
      <c r="H29" s="35" t="n">
        <v>49.24</v>
      </c>
      <c r="I29" s="35" t="n">
        <v>102.73</v>
      </c>
      <c r="J29" s="35" t="n">
        <v>5.39</v>
      </c>
      <c r="K29" s="35" t="n">
        <v>130.06</v>
      </c>
      <c r="L29" s="35" t="n">
        <v>207.13</v>
      </c>
      <c r="M29" s="35" t="n">
        <v>100.93</v>
      </c>
      <c r="N29" s="36">
        <f>SUM(B29:M29)</f>
        <v/>
      </c>
      <c r="O29" s="37" t="n">
        <v>16.11</v>
      </c>
      <c r="P29" s="37" t="n">
        <v>7.99</v>
      </c>
      <c r="Q29" s="37" t="n">
        <v>68.7</v>
      </c>
      <c r="R29" s="37" t="n">
        <v>75.15000000000001</v>
      </c>
      <c r="S29" s="37" t="n">
        <v>0</v>
      </c>
      <c r="T29" s="37" t="n">
        <v>295.2</v>
      </c>
      <c r="U29" s="37" t="n">
        <v>93.08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0.003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92.48999999999999</v>
      </c>
      <c r="C30" s="35" t="n">
        <v>10.97</v>
      </c>
      <c r="D30" s="35" t="n">
        <v>0</v>
      </c>
      <c r="E30" s="35" t="n">
        <v>10.29</v>
      </c>
      <c r="F30" s="35" t="n">
        <v>45.52</v>
      </c>
      <c r="G30" s="35" t="n">
        <v>52.51000000000001</v>
      </c>
      <c r="H30" s="35" t="n">
        <v>31.85</v>
      </c>
      <c r="I30" s="35" t="n">
        <v>57.34</v>
      </c>
      <c r="J30" s="35" t="n">
        <v>65.91</v>
      </c>
      <c r="K30" s="35" t="n">
        <v>51.77</v>
      </c>
      <c r="L30" s="35" t="n">
        <v>20.32</v>
      </c>
      <c r="M30" s="35" t="n">
        <v>86.42</v>
      </c>
      <c r="N30" s="36">
        <f>SUM(B30:M30)</f>
        <v/>
      </c>
      <c r="O30" s="37" t="n">
        <v>17.54</v>
      </c>
      <c r="P30" s="37" t="n">
        <v>65.64</v>
      </c>
      <c r="Q30" s="37" t="n">
        <v>10.58</v>
      </c>
      <c r="R30" s="37" t="n">
        <v>0</v>
      </c>
      <c r="S30" s="37" t="n">
        <v>30.62</v>
      </c>
      <c r="T30" s="37" t="n">
        <v>0</v>
      </c>
      <c r="U30" s="37" t="n">
        <v>6.98</v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243.75</v>
      </c>
      <c r="C31" s="35" t="n">
        <v>56.46000000000001</v>
      </c>
      <c r="D31" s="35" t="n">
        <v>68.98</v>
      </c>
      <c r="E31" s="35" t="n">
        <v>0</v>
      </c>
      <c r="F31" s="35" t="n">
        <v>446.65</v>
      </c>
      <c r="G31" s="35" t="n">
        <v>238.6</v>
      </c>
      <c r="H31" s="35" t="n">
        <v>206.36</v>
      </c>
      <c r="I31" s="35" t="n">
        <v>17.01</v>
      </c>
      <c r="J31" s="35" t="n">
        <v>146.95</v>
      </c>
      <c r="K31" s="35" t="n">
        <v>217.2</v>
      </c>
      <c r="L31" s="35" t="n">
        <v>103.41</v>
      </c>
      <c r="M31" s="35" t="n">
        <v>87.67999999999999</v>
      </c>
      <c r="N31" s="36">
        <f>SUM(B31:M31)</f>
        <v/>
      </c>
      <c r="O31" s="37" t="n">
        <v>25.98</v>
      </c>
      <c r="P31" s="37" t="n">
        <v>64.59</v>
      </c>
      <c r="Q31" s="37" t="n">
        <v>42.76</v>
      </c>
      <c r="R31" s="37" t="n">
        <v>0</v>
      </c>
      <c r="S31" s="37" t="n">
        <v>159.29</v>
      </c>
      <c r="T31" s="37" t="n">
        <v>0</v>
      </c>
      <c r="U31" s="37" t="n">
        <v>116.23</v>
      </c>
      <c r="V31" s="38" t="n">
        <v>100</v>
      </c>
      <c r="W31" s="38" t="n">
        <v>100</v>
      </c>
      <c r="X31" s="38" t="n">
        <v>100</v>
      </c>
      <c r="Y31" s="38" t="n">
        <v>100</v>
      </c>
      <c r="Z31" s="38" t="n">
        <v>100</v>
      </c>
      <c r="AA31" s="36">
        <f>SUM(O31:U31)</f>
        <v/>
      </c>
      <c r="AB31" s="36">
        <f>SUM(O31:Z31)</f>
        <v/>
      </c>
      <c r="AC31" s="38" t="n">
        <v>100</v>
      </c>
      <c r="AD31" s="38" t="n">
        <v>100</v>
      </c>
      <c r="AE31" s="38" t="n">
        <v>100</v>
      </c>
      <c r="AF31" s="38" t="n">
        <v>100</v>
      </c>
      <c r="AG31" s="38" t="n">
        <v>100</v>
      </c>
      <c r="AH31" s="38" t="n">
        <v>100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199</v>
      </c>
      <c r="C32" s="35" t="n">
        <v>155.17</v>
      </c>
      <c r="D32" s="35" t="n">
        <v>155.48</v>
      </c>
      <c r="E32" s="35" t="n">
        <v>187.34</v>
      </c>
      <c r="F32" s="35" t="n">
        <v>78.37</v>
      </c>
      <c r="G32" s="35" t="n">
        <v>65.61</v>
      </c>
      <c r="H32" s="35" t="n">
        <v>513.23</v>
      </c>
      <c r="I32" s="35" t="n">
        <v>255.27</v>
      </c>
      <c r="J32" s="35" t="n">
        <v>0</v>
      </c>
      <c r="K32" s="35" t="n">
        <v>39.19</v>
      </c>
      <c r="L32" s="35" t="n">
        <v>0</v>
      </c>
      <c r="M32" s="35" t="n">
        <v>72.90000000000001</v>
      </c>
      <c r="N32" s="36">
        <f>SUM(B32:M32)</f>
        <v/>
      </c>
      <c r="O32" s="37" t="n">
        <v>179.58</v>
      </c>
      <c r="P32" s="37" t="n">
        <v>223.95</v>
      </c>
      <c r="Q32" s="37" t="n">
        <v>176.34</v>
      </c>
      <c r="R32" s="37" t="n">
        <v>285.91</v>
      </c>
      <c r="S32" s="37" t="n">
        <v>131</v>
      </c>
      <c r="T32" s="37" t="n">
        <v>172.44</v>
      </c>
      <c r="U32" s="37" t="n">
        <v>163.98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0.005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SUMIF('CED TB'!$R:$R,'CED P&amp;L'!$A33,'CED TB'!C:C)</f>
        <v/>
      </c>
      <c r="P33" s="37">
        <f>SUMIF('CED TB'!$R:$R,'CED P&amp;L'!$A33,'CED TB'!D:D)</f>
        <v/>
      </c>
      <c r="Q33" s="37">
        <f>SUMIF('CED TB'!$R:$R,'CED P&amp;L'!$A33,'CED TB'!E:E)</f>
        <v/>
      </c>
      <c r="R33" s="37">
        <f>SUMIF('CED TB'!$R:$R,'CED P&amp;L'!$A33,'CED TB'!F:F)</f>
        <v/>
      </c>
      <c r="S33" s="37">
        <f>SUMIF('CED TB'!$R:$R,'CED P&amp;L'!$A33,'CED TB'!G:G)</f>
        <v/>
      </c>
      <c r="T33" s="37">
        <f>SUMIF('CED TB'!$R:$R,'CED P&amp;L'!$A33,'CED TB'!H:H)</f>
        <v/>
      </c>
      <c r="U33" s="37">
        <f>SUMIF('CED TB'!$R:$R,'CED P&amp;L'!$A33,'CED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1750.88</v>
      </c>
      <c r="C34" s="42" t="n">
        <v>1341.47</v>
      </c>
      <c r="D34" s="42" t="n">
        <v>1422.78</v>
      </c>
      <c r="E34" s="42" t="n">
        <v>1368.34</v>
      </c>
      <c r="F34" s="42" t="n">
        <v>2181.3</v>
      </c>
      <c r="G34" s="42" t="n">
        <v>4010.75</v>
      </c>
      <c r="H34" s="42" t="n">
        <v>2233.18</v>
      </c>
      <c r="I34" s="42" t="n">
        <v>2334.650000000001</v>
      </c>
      <c r="J34" s="42" t="n">
        <v>1612.96</v>
      </c>
      <c r="K34" s="42" t="n">
        <v>1945.78</v>
      </c>
      <c r="L34" s="42" t="n">
        <v>1666.79</v>
      </c>
      <c r="M34" s="42" t="n">
        <v>1271.89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SUMIF('CED TB'!$R:$R,'CED P&amp;L'!$A36,'CED TB'!C:C)</f>
        <v/>
      </c>
      <c r="P36" s="37">
        <f>SUMIF('CED TB'!$R:$R,'CED P&amp;L'!$A36,'CED TB'!D:D)</f>
        <v/>
      </c>
      <c r="Q36" s="37">
        <f>SUMIF('CED TB'!$R:$R,'CED P&amp;L'!$A36,'CED TB'!E:E)</f>
        <v/>
      </c>
      <c r="R36" s="37">
        <f>SUMIF('CED TB'!$R:$R,'CED P&amp;L'!$A36,'CED TB'!F:F)</f>
        <v/>
      </c>
      <c r="S36" s="37">
        <f>SUMIF('CED TB'!$R:$R,'CED P&amp;L'!$A36,'CED TB'!G:G)</f>
        <v/>
      </c>
      <c r="T36" s="37">
        <f>SUMIF('CED TB'!$R:$R,'CED P&amp;L'!$A36,'CED TB'!H:H)</f>
        <v/>
      </c>
      <c r="U36" s="37">
        <f>SUMIF('CED TB'!$R:$R,'CED P&amp;L'!$A36,'CED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769.29</v>
      </c>
      <c r="C37" s="35" t="n">
        <v>769.29</v>
      </c>
      <c r="D37" s="35" t="n">
        <v>769.29</v>
      </c>
      <c r="E37" s="35" t="n">
        <v>769.29</v>
      </c>
      <c r="F37" s="35" t="n">
        <v>769.29</v>
      </c>
      <c r="G37" s="35" t="n">
        <v>769.29</v>
      </c>
      <c r="H37" s="35" t="n">
        <v>769.29</v>
      </c>
      <c r="I37" s="35" t="n">
        <v>769.29</v>
      </c>
      <c r="J37" s="35" t="n">
        <v>769.29</v>
      </c>
      <c r="K37" s="35" t="n">
        <v>769.29</v>
      </c>
      <c r="L37" s="35" t="n">
        <v>769.29</v>
      </c>
      <c r="M37" s="35" t="n">
        <v>769.29</v>
      </c>
      <c r="N37" s="36">
        <f>SUM(B37:M37)</f>
        <v/>
      </c>
      <c r="O37" s="37" t="n">
        <v>769.3</v>
      </c>
      <c r="P37" s="37" t="n">
        <v>769.3</v>
      </c>
      <c r="Q37" s="37" t="n">
        <v>769.29</v>
      </c>
      <c r="R37" s="37" t="n">
        <v>736.67</v>
      </c>
      <c r="S37" s="37" t="n">
        <v>736.67</v>
      </c>
      <c r="T37" s="37" t="n">
        <v>736.67</v>
      </c>
      <c r="U37" s="37" t="n">
        <v>736.67</v>
      </c>
      <c r="V37" s="38" t="n">
        <v>736.67</v>
      </c>
      <c r="W37" s="38" t="n">
        <v>736.67</v>
      </c>
      <c r="X37" s="38" t="n">
        <v>736.67</v>
      </c>
      <c r="Y37" s="38" t="n">
        <v>736.67</v>
      </c>
      <c r="Z37" s="38" t="n">
        <v>736.67</v>
      </c>
      <c r="AA37" s="36">
        <f>SUM(O37:U37)</f>
        <v/>
      </c>
      <c r="AB37" s="36">
        <f>SUM(O37:Z37)</f>
        <v/>
      </c>
      <c r="AC37" s="38" t="n">
        <v>736.67</v>
      </c>
      <c r="AD37" s="38" t="n">
        <v>736.67</v>
      </c>
      <c r="AE37" s="38" t="n">
        <v>736.67</v>
      </c>
      <c r="AF37" s="38" t="n">
        <v>736.67</v>
      </c>
      <c r="AG37" s="38" t="n">
        <v>736.67</v>
      </c>
      <c r="AH37" s="38" t="n">
        <v>736.67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876.66</v>
      </c>
      <c r="C38" s="35" t="n">
        <v>427.76</v>
      </c>
      <c r="D38" s="35" t="n">
        <v>1456.67</v>
      </c>
      <c r="E38" s="35" t="n">
        <v>-952.9899999999998</v>
      </c>
      <c r="F38" s="35" t="n">
        <v>898.87</v>
      </c>
      <c r="G38" s="35" t="n">
        <v>314.48</v>
      </c>
      <c r="H38" s="35" t="n">
        <v>283.44</v>
      </c>
      <c r="I38" s="35" t="n">
        <v>288.93</v>
      </c>
      <c r="J38" s="35" t="n">
        <v>180.99</v>
      </c>
      <c r="K38" s="35" t="n">
        <v>399.17</v>
      </c>
      <c r="L38" s="35" t="n">
        <v>339.71</v>
      </c>
      <c r="M38" s="35" t="n">
        <v>38.67000000000002</v>
      </c>
      <c r="N38" s="36">
        <f>SUM(B38:M38)</f>
        <v/>
      </c>
      <c r="O38" s="37" t="n">
        <v>1216.68</v>
      </c>
      <c r="P38" s="37" t="n">
        <v>1004.18</v>
      </c>
      <c r="Q38" s="37" t="n">
        <v>1025.61</v>
      </c>
      <c r="R38" s="37" t="n">
        <v>261.16</v>
      </c>
      <c r="S38" s="37" t="n">
        <v>176.45</v>
      </c>
      <c r="T38" s="37" t="n">
        <v>336.16</v>
      </c>
      <c r="U38" s="37" t="n">
        <v>332.8599999999999</v>
      </c>
      <c r="V38" s="38" t="n">
        <v>448</v>
      </c>
      <c r="W38" s="38" t="n">
        <v>448</v>
      </c>
      <c r="X38" s="38" t="n">
        <v>448</v>
      </c>
      <c r="Y38" s="38" t="n">
        <v>448</v>
      </c>
      <c r="Z38" s="38" t="n">
        <v>448</v>
      </c>
      <c r="AA38" s="36">
        <f>SUM(O38:U38)</f>
        <v/>
      </c>
      <c r="AB38" s="36">
        <f>SUM(O38:Z38)</f>
        <v/>
      </c>
      <c r="AC38" s="38" t="n">
        <v>448</v>
      </c>
      <c r="AD38" s="38" t="n">
        <v>448</v>
      </c>
      <c r="AE38" s="38" t="n">
        <v>448</v>
      </c>
      <c r="AF38" s="38" t="n">
        <v>448</v>
      </c>
      <c r="AG38" s="38" t="n">
        <v>448</v>
      </c>
      <c r="AH38" s="38" t="n">
        <v>448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622.5700000000001</v>
      </c>
      <c r="C39" s="35" t="n">
        <v>29.99</v>
      </c>
      <c r="D39" s="35" t="n">
        <v>0</v>
      </c>
      <c r="E39" s="35" t="n">
        <v>0</v>
      </c>
      <c r="F39" s="35" t="n">
        <v>39.52</v>
      </c>
      <c r="G39" s="35" t="n">
        <v>38.49</v>
      </c>
      <c r="H39" s="35" t="n">
        <v>11.88</v>
      </c>
      <c r="I39" s="35" t="n">
        <v>4.99</v>
      </c>
      <c r="J39" s="35" t="n">
        <v>198.21</v>
      </c>
      <c r="K39" s="35" t="n">
        <v>11</v>
      </c>
      <c r="L39" s="35" t="n">
        <v>495.9599999999999</v>
      </c>
      <c r="M39" s="35" t="n">
        <v>747.47</v>
      </c>
      <c r="N39" s="36">
        <f>SUM(B39:M39)</f>
        <v/>
      </c>
      <c r="O39" s="37" t="n">
        <v>0</v>
      </c>
      <c r="P39" s="37" t="n">
        <v>0</v>
      </c>
      <c r="Q39" s="37" t="n">
        <v>246</v>
      </c>
      <c r="R39" s="37" t="n">
        <v>0</v>
      </c>
      <c r="S39" s="37" t="n">
        <v>0</v>
      </c>
      <c r="T39" s="37" t="n">
        <v>46.82</v>
      </c>
      <c r="U39" s="37" t="n">
        <v>135.38</v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277.47</v>
      </c>
      <c r="C40" s="35" t="n">
        <v>312.04</v>
      </c>
      <c r="D40" s="35" t="n">
        <v>97.81999999999999</v>
      </c>
      <c r="E40" s="35" t="n">
        <v>304.23</v>
      </c>
      <c r="F40" s="35" t="n">
        <v>397.89</v>
      </c>
      <c r="G40" s="35" t="n">
        <v>132.94</v>
      </c>
      <c r="H40" s="35" t="n">
        <v>215.21</v>
      </c>
      <c r="I40" s="35" t="n">
        <v>111.14</v>
      </c>
      <c r="J40" s="35" t="n">
        <v>34.12</v>
      </c>
      <c r="K40" s="35" t="n">
        <v>237.1</v>
      </c>
      <c r="L40" s="35" t="n">
        <v>312.9</v>
      </c>
      <c r="M40" s="35" t="n">
        <v>226.92</v>
      </c>
      <c r="N40" s="36">
        <f>SUM(B40:M40)</f>
        <v/>
      </c>
      <c r="O40" s="37" t="n">
        <v>30.74</v>
      </c>
      <c r="P40" s="37" t="n">
        <v>116.71</v>
      </c>
      <c r="Q40" s="37" t="n">
        <v>102.81</v>
      </c>
      <c r="R40" s="37" t="n">
        <v>50</v>
      </c>
      <c r="S40" s="37" t="n">
        <v>107.99</v>
      </c>
      <c r="T40" s="37" t="n">
        <v>96.7</v>
      </c>
      <c r="U40" s="37" t="n">
        <v>56.69</v>
      </c>
      <c r="V40" s="38" t="n">
        <v>210</v>
      </c>
      <c r="W40" s="38" t="n">
        <v>210</v>
      </c>
      <c r="X40" s="38" t="n">
        <v>210</v>
      </c>
      <c r="Y40" s="38" t="n">
        <v>210</v>
      </c>
      <c r="Z40" s="38" t="n">
        <v>210</v>
      </c>
      <c r="AA40" s="36">
        <f>SUM(O40:U40)</f>
        <v/>
      </c>
      <c r="AB40" s="36">
        <f>SUM(O40:Z40)</f>
        <v/>
      </c>
      <c r="AC40" s="38" t="n">
        <v>210</v>
      </c>
      <c r="AD40" s="38" t="n">
        <v>210</v>
      </c>
      <c r="AE40" s="38" t="n">
        <v>210</v>
      </c>
      <c r="AF40" s="38" t="n">
        <v>210</v>
      </c>
      <c r="AG40" s="38" t="n">
        <v>210</v>
      </c>
      <c r="AH40" s="38" t="n">
        <v>210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204</v>
      </c>
      <c r="C41" s="35" t="n">
        <v>377.46</v>
      </c>
      <c r="D41" s="35" t="n">
        <v>255</v>
      </c>
      <c r="E41" s="35" t="n">
        <v>398.32</v>
      </c>
      <c r="F41" s="35" t="n">
        <v>282.34</v>
      </c>
      <c r="G41" s="35" t="n">
        <v>296.99</v>
      </c>
      <c r="H41" s="35" t="n">
        <v>243.58</v>
      </c>
      <c r="I41" s="35" t="n">
        <v>243.58</v>
      </c>
      <c r="J41" s="35" t="n">
        <v>404.69</v>
      </c>
      <c r="K41" s="35" t="n">
        <v>243.58</v>
      </c>
      <c r="L41" s="35" t="n">
        <v>338.48</v>
      </c>
      <c r="M41" s="35" t="n">
        <v>391.89</v>
      </c>
      <c r="N41" s="36">
        <f>SUM(B41:M41)</f>
        <v/>
      </c>
      <c r="O41" s="37" t="n">
        <v>489.68</v>
      </c>
      <c r="P41" s="37" t="n">
        <v>346.63</v>
      </c>
      <c r="Q41" s="37" t="n">
        <v>500.3299999999999</v>
      </c>
      <c r="R41" s="37" t="n">
        <v>416.6</v>
      </c>
      <c r="S41" s="37" t="n">
        <v>335.56</v>
      </c>
      <c r="T41" s="37" t="n">
        <v>250.9</v>
      </c>
      <c r="U41" s="37" t="n">
        <v>392.52</v>
      </c>
      <c r="V41" s="38" t="n">
        <v>300</v>
      </c>
      <c r="W41" s="38" t="n">
        <v>300</v>
      </c>
      <c r="X41" s="38" t="n">
        <v>300</v>
      </c>
      <c r="Y41" s="38" t="n">
        <v>300</v>
      </c>
      <c r="Z41" s="38" t="n">
        <v>300</v>
      </c>
      <c r="AA41" s="36">
        <f>SUM(O41:U41)</f>
        <v/>
      </c>
      <c r="AB41" s="36">
        <f>SUM(O41:Z41)</f>
        <v/>
      </c>
      <c r="AC41" s="38" t="n">
        <v>300</v>
      </c>
      <c r="AD41" s="38" t="n">
        <v>300</v>
      </c>
      <c r="AE41" s="38" t="n">
        <v>300</v>
      </c>
      <c r="AF41" s="38" t="n">
        <v>300</v>
      </c>
      <c r="AG41" s="38" t="n">
        <v>300</v>
      </c>
      <c r="AH41" s="38" t="n">
        <v>300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52.02</v>
      </c>
      <c r="C42" s="35" t="n">
        <v>41.97</v>
      </c>
      <c r="D42" s="35" t="n">
        <v>46.18</v>
      </c>
      <c r="E42" s="35" t="n">
        <v>47.3</v>
      </c>
      <c r="F42" s="35" t="n">
        <v>35.68</v>
      </c>
      <c r="G42" s="35" t="n">
        <v>66.40000000000001</v>
      </c>
      <c r="H42" s="35" t="n">
        <v>372.16</v>
      </c>
      <c r="I42" s="35" t="n">
        <v>41.5</v>
      </c>
      <c r="J42" s="35" t="n">
        <v>78.95</v>
      </c>
      <c r="K42" s="35" t="n">
        <v>83.34</v>
      </c>
      <c r="L42" s="35" t="n">
        <v>36.06</v>
      </c>
      <c r="M42" s="35" t="n">
        <v>79.34999999999999</v>
      </c>
      <c r="N42" s="36">
        <f>SUM(B42:M42)</f>
        <v/>
      </c>
      <c r="O42" s="37" t="n">
        <v>31.59</v>
      </c>
      <c r="P42" s="37" t="n">
        <v>82.27</v>
      </c>
      <c r="Q42" s="37" t="n">
        <v>119.08</v>
      </c>
      <c r="R42" s="37" t="n">
        <v>163.25</v>
      </c>
      <c r="S42" s="37" t="n">
        <v>25.98</v>
      </c>
      <c r="T42" s="37" t="n">
        <v>122.27</v>
      </c>
      <c r="U42" s="37" t="n">
        <v>48.27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SUMIF('CED TB'!$R:$R,'CED P&amp;L'!$A43,'CED TB'!C:C)</f>
        <v/>
      </c>
      <c r="P43" s="37">
        <f>SUMIF('CED TB'!$R:$R,'CED P&amp;L'!$A43,'CED TB'!D:D)</f>
        <v/>
      </c>
      <c r="Q43" s="37">
        <f>SUMIF('CED TB'!$R:$R,'CED P&amp;L'!$A43,'CED TB'!E:E)</f>
        <v/>
      </c>
      <c r="R43" s="37">
        <f>SUMIF('CED TB'!$R:$R,'CED P&amp;L'!$A43,'CED TB'!F:F)</f>
        <v/>
      </c>
      <c r="S43" s="37">
        <f>SUMIF('CED TB'!$R:$R,'CED P&amp;L'!$A43,'CED TB'!G:G)</f>
        <v/>
      </c>
      <c r="T43" s="37">
        <f>SUMIF('CED TB'!$R:$R,'CED P&amp;L'!$A43,'CED TB'!H:H)</f>
        <v/>
      </c>
      <c r="U43" s="37">
        <f>SUMIF('CED TB'!$R:$R,'CED P&amp;L'!$A43,'CED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SUMIF('CED TB'!$R:$R,'CED P&amp;L'!$A44,'CED TB'!C:C)</f>
        <v/>
      </c>
      <c r="P44" s="37">
        <f>SUMIF('CED TB'!$R:$R,'CED P&amp;L'!$A44,'CED TB'!D:D)</f>
        <v/>
      </c>
      <c r="Q44" s="37">
        <f>SUMIF('CED TB'!$R:$R,'CED P&amp;L'!$A44,'CED TB'!E:E)</f>
        <v/>
      </c>
      <c r="R44" s="37">
        <f>SUMIF('CED TB'!$R:$R,'CED P&amp;L'!$A44,'CED TB'!F:F)</f>
        <v/>
      </c>
      <c r="S44" s="37">
        <f>SUMIF('CED TB'!$R:$R,'CED P&amp;L'!$A44,'CED TB'!G:G)</f>
        <v/>
      </c>
      <c r="T44" s="37">
        <f>SUMIF('CED TB'!$R:$R,'CED P&amp;L'!$A44,'CED TB'!H:H)</f>
        <v/>
      </c>
      <c r="U44" s="37">
        <f>SUMIF('CED TB'!$R:$R,'CED P&amp;L'!$A44,'CED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220</v>
      </c>
      <c r="D45" s="35" t="n">
        <v>0</v>
      </c>
      <c r="E45" s="35" t="n">
        <v>0</v>
      </c>
      <c r="F45" s="35" t="n">
        <v>0</v>
      </c>
      <c r="G45" s="35" t="n">
        <v>3.98</v>
      </c>
      <c r="H45" s="35" t="n">
        <v>3.75</v>
      </c>
      <c r="I45" s="35" t="n">
        <v>90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54</v>
      </c>
      <c r="P45" s="37" t="n">
        <v>0</v>
      </c>
      <c r="Q45" s="37" t="n">
        <v>220</v>
      </c>
      <c r="R45" s="37" t="n">
        <v>57</v>
      </c>
      <c r="S45" s="37" t="n">
        <v>0</v>
      </c>
      <c r="T45" s="37" t="n">
        <v>0</v>
      </c>
      <c r="U45" s="37" t="n">
        <v>0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SUMIF('CED TB'!$R:$R,'CED P&amp;L'!$A46,'CED TB'!C:C)</f>
        <v/>
      </c>
      <c r="P46" s="37">
        <f>SUMIF('CED TB'!$R:$R,'CED P&amp;L'!$A46,'CED TB'!D:D)</f>
        <v/>
      </c>
      <c r="Q46" s="37">
        <f>SUMIF('CED TB'!$R:$R,'CED P&amp;L'!$A46,'CED TB'!E:E)</f>
        <v/>
      </c>
      <c r="R46" s="37">
        <f>SUMIF('CED TB'!$R:$R,'CED P&amp;L'!$A46,'CED TB'!F:F)</f>
        <v/>
      </c>
      <c r="S46" s="37">
        <f>SUMIF('CED TB'!$R:$R,'CED P&amp;L'!$A46,'CED TB'!G:G)</f>
        <v/>
      </c>
      <c r="T46" s="37">
        <f>SUMIF('CED TB'!$R:$R,'CED P&amp;L'!$A46,'CED TB'!H:H)</f>
        <v/>
      </c>
      <c r="U46" s="37">
        <f>SUMIF('CED TB'!$R:$R,'CED P&amp;L'!$A46,'CED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2802.01</v>
      </c>
      <c r="C47" s="42" t="n">
        <v>2178.51</v>
      </c>
      <c r="D47" s="42" t="n">
        <v>2624.96</v>
      </c>
      <c r="E47" s="42" t="n">
        <v>566.1500000000001</v>
      </c>
      <c r="F47" s="42" t="n">
        <v>2423.59</v>
      </c>
      <c r="G47" s="42" t="n">
        <v>1622.57</v>
      </c>
      <c r="H47" s="42" t="n">
        <v>1899.31</v>
      </c>
      <c r="I47" s="42" t="n">
        <v>1549.43</v>
      </c>
      <c r="J47" s="42" t="n">
        <v>1666.25</v>
      </c>
      <c r="K47" s="42" t="n">
        <v>1743.48</v>
      </c>
      <c r="L47" s="42" t="n">
        <v>2292.4</v>
      </c>
      <c r="M47" s="42" t="n">
        <v>2253.59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22004.04</v>
      </c>
      <c r="C48" s="23" t="n">
        <v>26023.04</v>
      </c>
      <c r="D48" s="23" t="n">
        <v>22586.49</v>
      </c>
      <c r="E48" s="23" t="n">
        <v>23825.61</v>
      </c>
      <c r="F48" s="23" t="n">
        <v>26520.23</v>
      </c>
      <c r="G48" s="23" t="n">
        <v>23613.18</v>
      </c>
      <c r="H48" s="23" t="n">
        <v>25684.83</v>
      </c>
      <c r="I48" s="23" t="n">
        <v>20574.93</v>
      </c>
      <c r="J48" s="23" t="n">
        <v>26120.93</v>
      </c>
      <c r="K48" s="23" t="n">
        <v>24978.01</v>
      </c>
      <c r="L48" s="23" t="n">
        <v>24712.96</v>
      </c>
      <c r="M48" s="23" t="n">
        <v>32340.73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7802.119999999999</v>
      </c>
      <c r="C50" s="55" t="n">
        <v>9313.829999999994</v>
      </c>
      <c r="D50" s="55" t="n">
        <v>19870.49000000001</v>
      </c>
      <c r="E50" s="55" t="n">
        <v>10041.95</v>
      </c>
      <c r="F50" s="55" t="n">
        <v>34.88000000000466</v>
      </c>
      <c r="G50" s="55" t="n">
        <v>13883.58</v>
      </c>
      <c r="H50" s="55" t="n">
        <v>17477.75</v>
      </c>
      <c r="I50" s="55" t="n">
        <v>1925.619999999999</v>
      </c>
      <c r="J50" s="55" t="n">
        <v>-189.0799999999981</v>
      </c>
      <c r="K50" s="55" t="n">
        <v>7037.09</v>
      </c>
      <c r="L50" s="55" t="n">
        <v>5871.779999999999</v>
      </c>
      <c r="M50" s="55" t="n">
        <v>7885.799999999996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SUMIF('CED TB'!$R:$R,'CED P&amp;L'!$A53,'CED TB'!C:C)</f>
        <v/>
      </c>
      <c r="P53" s="37">
        <f>SUMIF('CED TB'!$R:$R,'CED P&amp;L'!$A53,'CED TB'!D:D)</f>
        <v/>
      </c>
      <c r="Q53" s="37">
        <f>SUMIF('CED TB'!$R:$R,'CED P&amp;L'!$A53,'CED TB'!E:E)</f>
        <v/>
      </c>
      <c r="R53" s="37">
        <f>SUMIF('CED TB'!$R:$R,'CED P&amp;L'!$A53,'CED TB'!F:F)</f>
        <v/>
      </c>
      <c r="S53" s="37">
        <f>SUMIF('CED TB'!$R:$R,'CED P&amp;L'!$A53,'CED TB'!G:G)</f>
        <v/>
      </c>
      <c r="T53" s="37">
        <f>SUMIF('CED TB'!$R:$R,'CED P&amp;L'!$A53,'CED TB'!H:H)</f>
        <v/>
      </c>
      <c r="U53" s="37">
        <f>SUMIF('CED TB'!$R:$R,'CED P&amp;L'!$A53,'CED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SUMIF('CED TB'!$R:$R,'CED P&amp;L'!$A54,'CED TB'!C:C)</f>
        <v/>
      </c>
      <c r="P54" s="37">
        <f>SUMIF('CED TB'!$R:$R,'CED P&amp;L'!$A54,'CED TB'!D:D)</f>
        <v/>
      </c>
      <c r="Q54" s="37">
        <f>SUMIF('CED TB'!$R:$R,'CED P&amp;L'!$A54,'CED TB'!E:E)</f>
        <v/>
      </c>
      <c r="R54" s="37">
        <f>SUMIF('CED TB'!$R:$R,'CED P&amp;L'!$A54,'CED TB'!F:F)</f>
        <v/>
      </c>
      <c r="S54" s="37">
        <f>SUMIF('CED TB'!$R:$R,'CED P&amp;L'!$A54,'CED TB'!G:G)</f>
        <v/>
      </c>
      <c r="T54" s="37">
        <f>SUMIF('CED TB'!$R:$R,'CED P&amp;L'!$A54,'CED TB'!H:H)</f>
        <v/>
      </c>
      <c r="U54" s="37">
        <f>SUMIF('CED TB'!$R:$R,'CED P&amp;L'!$A54,'CED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SUMIF('CED TB'!$R:$R,'CED P&amp;L'!$A55,'CED TB'!C:C)</f>
        <v/>
      </c>
      <c r="P55" s="37">
        <f>SUMIF('CED TB'!$R:$R,'CED P&amp;L'!$A55,'CED TB'!D:D)</f>
        <v/>
      </c>
      <c r="Q55" s="37">
        <f>SUMIF('CED TB'!$R:$R,'CED P&amp;L'!$A55,'CED TB'!E:E)</f>
        <v/>
      </c>
      <c r="R55" s="37">
        <f>SUMIF('CED TB'!$R:$R,'CED P&amp;L'!$A55,'CED TB'!F:F)</f>
        <v/>
      </c>
      <c r="S55" s="37">
        <f>SUMIF('CED TB'!$R:$R,'CED P&amp;L'!$A55,'CED TB'!G:G)</f>
        <v/>
      </c>
      <c r="T55" s="37">
        <f>SUMIF('CED TB'!$R:$R,'CED P&amp;L'!$A55,'CED TB'!H:H)</f>
        <v/>
      </c>
      <c r="U55" s="37">
        <f>SUMIF('CED TB'!$R:$R,'CED P&amp;L'!$A55,'CED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SUMIF('CED TB'!$R:$R,'CED P&amp;L'!$A56,'CED TB'!C:C)</f>
        <v/>
      </c>
      <c r="P56" s="37">
        <f>SUMIF('CED TB'!$R:$R,'CED P&amp;L'!$A56,'CED TB'!D:D)</f>
        <v/>
      </c>
      <c r="Q56" s="37">
        <f>SUMIF('CED TB'!$R:$R,'CED P&amp;L'!$A56,'CED TB'!E:E)</f>
        <v/>
      </c>
      <c r="R56" s="37">
        <f>SUMIF('CED TB'!$R:$R,'CED P&amp;L'!$A56,'CED TB'!F:F)</f>
        <v/>
      </c>
      <c r="S56" s="37">
        <f>SUMIF('CED TB'!$R:$R,'CED P&amp;L'!$A56,'CED TB'!G:G)</f>
        <v/>
      </c>
      <c r="T56" s="37">
        <f>SUMIF('CED TB'!$R:$R,'CED P&amp;L'!$A56,'CED TB'!H:H)</f>
        <v/>
      </c>
      <c r="U56" s="37">
        <f>SUMIF('CED TB'!$R:$R,'CED P&amp;L'!$A56,'CED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>
        <f>SUMIF('CED TB'!$R:$R,'CED P&amp;L'!$A57,'CED TB'!C:C)</f>
        <v/>
      </c>
      <c r="P57" s="37">
        <f>SUMIF('CED TB'!$R:$R,'CED P&amp;L'!$A57,'CED TB'!D:D)</f>
        <v/>
      </c>
      <c r="Q57" s="37">
        <f>SUMIF('CED TB'!$R:$R,'CED P&amp;L'!$A57,'CED TB'!E:E)</f>
        <v/>
      </c>
      <c r="R57" s="37">
        <f>SUMIF('CED TB'!$R:$R,'CED P&amp;L'!$A57,'CED TB'!F:F)</f>
        <v/>
      </c>
      <c r="S57" s="37">
        <f>SUMIF('CED TB'!$R:$R,'CED P&amp;L'!$A57,'CED TB'!G:G)</f>
        <v/>
      </c>
      <c r="T57" s="37">
        <f>SUMIF('CED TB'!$R:$R,'CED P&amp;L'!$A57,'CED TB'!H:H)</f>
        <v/>
      </c>
      <c r="U57" s="37">
        <f>SUMIF('CED TB'!$R:$R,'CED P&amp;L'!$A57,'CED TB'!I:I)</f>
        <v/>
      </c>
      <c r="V57" s="38" t="n"/>
      <c r="W57" s="38" t="n"/>
      <c r="X57" s="38" t="n"/>
      <c r="Y57" s="38" t="n"/>
      <c r="Z57" s="38">
        <f>30*10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SUMIF('CED TB'!$R:$R,'CED P&amp;L'!$A58,'CED TB'!C:C)</f>
        <v/>
      </c>
      <c r="P58" s="37">
        <f>SUMIF('CED TB'!$R:$R,'CED P&amp;L'!$A58,'CED TB'!D:D)</f>
        <v/>
      </c>
      <c r="Q58" s="37">
        <f>SUMIF('CED TB'!$R:$R,'CED P&amp;L'!$A58,'CED TB'!E:E)</f>
        <v/>
      </c>
      <c r="R58" s="37">
        <f>SUMIF('CED TB'!$R:$R,'CED P&amp;L'!$A58,'CED TB'!F:F)</f>
        <v/>
      </c>
      <c r="S58" s="37">
        <f>SUMIF('CED TB'!$R:$R,'CED P&amp;L'!$A58,'CED TB'!G:G)</f>
        <v/>
      </c>
      <c r="T58" s="37">
        <f>SUMIF('CED TB'!$R:$R,'CED P&amp;L'!$A58,'CED TB'!H:H)</f>
        <v/>
      </c>
      <c r="U58" s="37">
        <f>SUMIF('CED TB'!$R:$R,'CED P&amp;L'!$A58,'CED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0.6</v>
      </c>
      <c r="C60" s="35" t="n">
        <v>0.6</v>
      </c>
      <c r="D60" s="35" t="n">
        <v>1.2</v>
      </c>
      <c r="E60" s="35" t="n">
        <v>0.6</v>
      </c>
      <c r="F60" s="35" t="n">
        <v>0.6</v>
      </c>
      <c r="G60" s="35" t="n">
        <v>0.6</v>
      </c>
      <c r="H60" s="35" t="n">
        <v>0.6</v>
      </c>
      <c r="I60" s="35" t="n">
        <v>0.6</v>
      </c>
      <c r="J60" s="35" t="n">
        <v>1.8</v>
      </c>
      <c r="K60" s="35" t="n">
        <v>1.2</v>
      </c>
      <c r="L60" s="35" t="n">
        <v>1.2</v>
      </c>
      <c r="M60" s="35" t="n">
        <v>1.2</v>
      </c>
      <c r="N60" s="36">
        <f>SUM(B60:M60)</f>
        <v/>
      </c>
      <c r="O60" s="37" t="n">
        <v>0.6</v>
      </c>
      <c r="P60" s="37" t="n">
        <v>0.6</v>
      </c>
      <c r="Q60" s="37" t="n">
        <v>0</v>
      </c>
      <c r="R60" s="37" t="n">
        <v>0</v>
      </c>
      <c r="S60" s="37" t="n">
        <v>0.6</v>
      </c>
      <c r="T60" s="37" t="n">
        <v>0.6</v>
      </c>
      <c r="U60" s="37" t="n">
        <v>0.6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20.98</v>
      </c>
      <c r="G61" s="35" t="n">
        <v>13.99</v>
      </c>
      <c r="H61" s="35" t="n">
        <v>131.51</v>
      </c>
      <c r="I61" s="35" t="n">
        <v>0</v>
      </c>
      <c r="J61" s="35" t="n">
        <v>0</v>
      </c>
      <c r="K61" s="35" t="n">
        <v>33.45</v>
      </c>
      <c r="L61" s="35" t="n">
        <v>31.84</v>
      </c>
      <c r="M61" s="35" t="n">
        <v>17.98</v>
      </c>
      <c r="N61" s="36">
        <f>SUM(B61:M61)</f>
        <v/>
      </c>
      <c r="O61" s="37">
        <f>SUMIF('CED TB'!$R:$R,'CED P&amp;L'!$A61,'CED TB'!C:C)</f>
        <v/>
      </c>
      <c r="P61" s="37">
        <f>SUMIF('CED TB'!$R:$R,'CED P&amp;L'!$A61,'CED TB'!D:D)</f>
        <v/>
      </c>
      <c r="Q61" s="37">
        <f>SUMIF('CED TB'!$R:$R,'CED P&amp;L'!$A61,'CED TB'!E:E)</f>
        <v/>
      </c>
      <c r="R61" s="37">
        <f>SUMIF('CED TB'!$R:$R,'CED P&amp;L'!$A61,'CED TB'!F:F)</f>
        <v/>
      </c>
      <c r="S61" s="37">
        <f>SUMIF('CED TB'!$R:$R,'CED P&amp;L'!$A61,'CED TB'!G:G)</f>
        <v/>
      </c>
      <c r="T61" s="37">
        <f>SUMIF('CED TB'!$R:$R,'CED P&amp;L'!$A61,'CED TB'!H:H)</f>
        <v/>
      </c>
      <c r="U61" s="37">
        <f>SUMIF('CED TB'!$R:$R,'CED P&amp;L'!$A61,'CED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130.6</v>
      </c>
      <c r="D62" s="35" t="n">
        <v>161</v>
      </c>
      <c r="E62" s="35" t="n">
        <v>250.71</v>
      </c>
      <c r="F62" s="35" t="n">
        <v>90</v>
      </c>
      <c r="G62" s="35" t="n">
        <v>658</v>
      </c>
      <c r="H62" s="35" t="n">
        <v>1946.8</v>
      </c>
      <c r="I62" s="35" t="n">
        <v>1638.66</v>
      </c>
      <c r="J62" s="35" t="n">
        <v>181</v>
      </c>
      <c r="K62" s="35" t="n">
        <v>0</v>
      </c>
      <c r="L62" s="35" t="n">
        <v>390</v>
      </c>
      <c r="M62" s="35" t="n">
        <v>240</v>
      </c>
      <c r="N62" s="36">
        <f>SUM(B62:M62)</f>
        <v/>
      </c>
      <c r="O62" s="37" t="n">
        <v>0</v>
      </c>
      <c r="P62" s="37" t="n">
        <v>20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31.8</v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SUMIF('CED TB'!$R:$R,'CED P&amp;L'!$A63,'CED TB'!C:C)</f>
        <v/>
      </c>
      <c r="P63" s="37">
        <f>SUMIF('CED TB'!$R:$R,'CED P&amp;L'!$A63,'CED TB'!D:D)</f>
        <v/>
      </c>
      <c r="Q63" s="37">
        <f>SUMIF('CED TB'!$R:$R,'CED P&amp;L'!$A63,'CED TB'!E:E)</f>
        <v/>
      </c>
      <c r="R63" s="37">
        <f>SUMIF('CED TB'!$R:$R,'CED P&amp;L'!$A63,'CED TB'!F:F)</f>
        <v/>
      </c>
      <c r="S63" s="37">
        <f>SUMIF('CED TB'!$R:$R,'CED P&amp;L'!$A63,'CED TB'!G:G)</f>
        <v/>
      </c>
      <c r="T63" s="37">
        <f>SUMIF('CED TB'!$R:$R,'CED P&amp;L'!$A63,'CED TB'!H:H)</f>
        <v/>
      </c>
      <c r="U63" s="37">
        <f>SUMIF('CED TB'!$R:$R,'CED P&amp;L'!$A63,'CED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SUMIF('CED TB'!$R:$R,'CED P&amp;L'!$A64,'CED TB'!C:C)</f>
        <v/>
      </c>
      <c r="P64" s="37">
        <f>SUMIF('CED TB'!$R:$R,'CED P&amp;L'!$A64,'CED TB'!D:D)</f>
        <v/>
      </c>
      <c r="Q64" s="37">
        <f>SUMIF('CED TB'!$R:$R,'CED P&amp;L'!$A64,'CED TB'!E:E)</f>
        <v/>
      </c>
      <c r="R64" s="37">
        <f>SUMIF('CED TB'!$R:$R,'CED P&amp;L'!$A64,'CED TB'!F:F)</f>
        <v/>
      </c>
      <c r="S64" s="37">
        <f>SUMIF('CED TB'!$R:$R,'CED P&amp;L'!$A64,'CED TB'!G:G)</f>
        <v/>
      </c>
      <c r="T64" s="37">
        <f>SUMIF('CED TB'!$R:$R,'CED P&amp;L'!$A64,'CED TB'!H:H)</f>
        <v/>
      </c>
      <c r="U64" s="37">
        <f>SUMIF('CED TB'!$R:$R,'CED P&amp;L'!$A64,'CED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SUMIF('CED TB'!$R:$R,'CED P&amp;L'!$A65,'CED TB'!C:C)</f>
        <v/>
      </c>
      <c r="P65" s="37">
        <f>SUMIF('CED TB'!$R:$R,'CED P&amp;L'!$A65,'CED TB'!D:D)</f>
        <v/>
      </c>
      <c r="Q65" s="37">
        <f>SUMIF('CED TB'!$R:$R,'CED P&amp;L'!$A65,'CED TB'!E:E)</f>
        <v/>
      </c>
      <c r="R65" s="37">
        <f>SUMIF('CED TB'!$R:$R,'CED P&amp;L'!$A65,'CED TB'!F:F)</f>
        <v/>
      </c>
      <c r="S65" s="37">
        <f>SUMIF('CED TB'!$R:$R,'CED P&amp;L'!$A65,'CED TB'!G:G)</f>
        <v/>
      </c>
      <c r="T65" s="37">
        <f>SUMIF('CED TB'!$R:$R,'CED P&amp;L'!$A65,'CED TB'!H:H)</f>
        <v/>
      </c>
      <c r="U65" s="37">
        <f>SUMIF('CED TB'!$R:$R,'CED P&amp;L'!$A65,'CED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SUMIF('CED TB'!$R:$R,'CED P&amp;L'!$A66,'CED TB'!C:C)</f>
        <v/>
      </c>
      <c r="P66" s="37">
        <f>SUMIF('CED TB'!$R:$R,'CED P&amp;L'!$A66,'CED TB'!D:D)</f>
        <v/>
      </c>
      <c r="Q66" s="37">
        <f>SUMIF('CED TB'!$R:$R,'CED P&amp;L'!$A66,'CED TB'!E:E)</f>
        <v/>
      </c>
      <c r="R66" s="37">
        <f>SUMIF('CED TB'!$R:$R,'CED P&amp;L'!$A66,'CED TB'!F:F)</f>
        <v/>
      </c>
      <c r="S66" s="37">
        <f>SUMIF('CED TB'!$R:$R,'CED P&amp;L'!$A66,'CED TB'!G:G)</f>
        <v/>
      </c>
      <c r="T66" s="37">
        <f>SUMIF('CED TB'!$R:$R,'CED P&amp;L'!$A66,'CED TB'!H:H)</f>
        <v/>
      </c>
      <c r="U66" s="37">
        <f>SUMIF('CED TB'!$R:$R,'CED P&amp;L'!$A66,'CED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SUMIF('CED TB'!$R:$R,'CED P&amp;L'!$A67,'CED TB'!C:C)</f>
        <v/>
      </c>
      <c r="P67" s="37">
        <f>SUMIF('CED TB'!$R:$R,'CED P&amp;L'!$A67,'CED TB'!D:D)</f>
        <v/>
      </c>
      <c r="Q67" s="37">
        <f>SUMIF('CED TB'!$R:$R,'CED P&amp;L'!$A67,'CED TB'!E:E)</f>
        <v/>
      </c>
      <c r="R67" s="37">
        <f>SUMIF('CED TB'!$R:$R,'CED P&amp;L'!$A67,'CED TB'!F:F)</f>
        <v/>
      </c>
      <c r="S67" s="37">
        <f>SUMIF('CED TB'!$R:$R,'CED P&amp;L'!$A67,'CED TB'!G:G)</f>
        <v/>
      </c>
      <c r="T67" s="37">
        <f>SUMIF('CED TB'!$R:$R,'CED P&amp;L'!$A67,'CED TB'!H:H)</f>
        <v/>
      </c>
      <c r="U67" s="37">
        <f>SUMIF('CED TB'!$R:$R,'CED P&amp;L'!$A67,'CED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SUMIF('CED TB'!$R:$R,'CED P&amp;L'!$A68,'CED TB'!C:C)</f>
        <v/>
      </c>
      <c r="P68" s="37">
        <f>SUMIF('CED TB'!$R:$R,'CED P&amp;L'!$A68,'CED TB'!D:D)</f>
        <v/>
      </c>
      <c r="Q68" s="37">
        <f>SUMIF('CED TB'!$R:$R,'CED P&amp;L'!$A68,'CED TB'!E:E)</f>
        <v/>
      </c>
      <c r="R68" s="37">
        <f>SUMIF('CED TB'!$R:$R,'CED P&amp;L'!$A68,'CED TB'!F:F)</f>
        <v/>
      </c>
      <c r="S68" s="37">
        <f>SUMIF('CED TB'!$R:$R,'CED P&amp;L'!$A68,'CED TB'!G:G)</f>
        <v/>
      </c>
      <c r="T68" s="37">
        <f>SUMIF('CED TB'!$R:$R,'CED P&amp;L'!$A68,'CED TB'!H:H)</f>
        <v/>
      </c>
      <c r="U68" s="37">
        <f>SUMIF('CED TB'!$R:$R,'CED P&amp;L'!$A68,'CED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201.98</v>
      </c>
      <c r="C69" s="42" t="n">
        <v>332.58</v>
      </c>
      <c r="D69" s="42" t="n">
        <v>363.58</v>
      </c>
      <c r="E69" s="42" t="n">
        <v>452.6899999999999</v>
      </c>
      <c r="F69" s="42" t="n">
        <v>312.96</v>
      </c>
      <c r="G69" s="42" t="n">
        <v>873.97</v>
      </c>
      <c r="H69" s="42" t="n">
        <v>2280.29</v>
      </c>
      <c r="I69" s="42" t="n">
        <v>1840.64</v>
      </c>
      <c r="J69" s="42" t="n">
        <v>384.18</v>
      </c>
      <c r="K69" s="42" t="n">
        <v>249.45</v>
      </c>
      <c r="L69" s="42" t="n">
        <v>637.84</v>
      </c>
      <c r="M69" s="42" t="n">
        <v>473.98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7600.139999999999</v>
      </c>
      <c r="C70" s="55" t="n">
        <v>8981.249999999995</v>
      </c>
      <c r="D70" s="55" t="n">
        <v>19506.91</v>
      </c>
      <c r="E70" s="55" t="n">
        <v>9589.259999999997</v>
      </c>
      <c r="F70" s="55" t="n">
        <v>-278.0799999999953</v>
      </c>
      <c r="G70" s="55" t="n">
        <v>13009.61</v>
      </c>
      <c r="H70" s="55" t="n">
        <v>15197.46</v>
      </c>
      <c r="I70" s="55" t="n">
        <v>84.97999999999911</v>
      </c>
      <c r="J70" s="55" t="n">
        <v>-573.2599999999982</v>
      </c>
      <c r="K70" s="55" t="n">
        <v>6787.64</v>
      </c>
      <c r="L70" s="55" t="n">
        <v>5233.939999999999</v>
      </c>
      <c r="M70" s="55" t="n">
        <v>7411.819999999996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60" t="inlineStr">
        <is>
          <t>`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60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22" t="inlineStr">
        <is>
          <t>Memo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60">
        <f>SUM(B73:M73)</f>
        <v/>
      </c>
      <c r="O73" s="8" t="n"/>
      <c r="P73" s="8" t="n"/>
      <c r="Q73" s="8" t="n"/>
      <c r="R73" s="8" t="n"/>
      <c r="S73" s="8" t="n"/>
      <c r="T73" s="8" t="n"/>
      <c r="U73" s="8" t="n"/>
      <c r="V73" s="20" t="n"/>
      <c r="W73" s="20" t="n"/>
      <c r="X73" s="20" t="n"/>
      <c r="Y73" s="20" t="n"/>
      <c r="Z73" s="20" t="n"/>
      <c r="AA73" s="60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34" t="inlineStr">
        <is>
          <t>Direct - Sales</t>
        </is>
      </c>
      <c r="B74" s="18" t="n">
        <v>29806.16</v>
      </c>
      <c r="C74" s="18" t="n">
        <v>35336.87</v>
      </c>
      <c r="D74" s="18" t="n">
        <v>42456.98</v>
      </c>
      <c r="E74" s="18" t="n">
        <v>33867.56</v>
      </c>
      <c r="F74" s="18" t="n">
        <v>26555.11</v>
      </c>
      <c r="G74" s="18" t="n">
        <v>37496.76</v>
      </c>
      <c r="H74" s="18" t="n">
        <v>43162.58</v>
      </c>
      <c r="I74" s="18" t="n">
        <v>22500.55</v>
      </c>
      <c r="J74" s="18" t="n">
        <v>25931.85</v>
      </c>
      <c r="K74" s="18" t="n">
        <v>32015.1</v>
      </c>
      <c r="L74" s="18" t="n">
        <v>30584.74</v>
      </c>
      <c r="M74" s="18" t="n">
        <v>40226.53</v>
      </c>
      <c r="N74" s="60">
        <f>SUM(B74:M74)</f>
        <v/>
      </c>
      <c r="O74" s="60">
        <f>-SUMIF('CED TB'!$T:$T,'CED P&amp;L'!$A74,'CED TB'!C:C)</f>
        <v/>
      </c>
      <c r="P74" s="60">
        <f>-SUMIF('CED TB'!$T:$T,'CED P&amp;L'!$A74,'CED TB'!D:D)</f>
        <v/>
      </c>
      <c r="Q74" s="60">
        <f>-SUMIF('CED TB'!$T:$T,'CED P&amp;L'!$A74,'CED TB'!E:E)</f>
        <v/>
      </c>
      <c r="R74" s="60">
        <f>-SUMIF('CED TB'!$T:$T,'CED P&amp;L'!$A74,'CED TB'!F:F)</f>
        <v/>
      </c>
      <c r="S74" s="60">
        <f>-SUMIF('CED TB'!$T:$T,'CED P&amp;L'!$A74,'CED TB'!G:G)</f>
        <v/>
      </c>
      <c r="T74" s="60">
        <f>-SUMIF('CED TB'!$T:$T,'CED P&amp;L'!$A74,'CED TB'!H:H)</f>
        <v/>
      </c>
      <c r="U74" s="60">
        <f>-SUMIF('CED TB'!$T:$T,'CED P&amp;L'!$A74,'CED TB'!I:I)</f>
        <v/>
      </c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Direct - Staff Cost</t>
        </is>
      </c>
      <c r="B75" s="18" t="n">
        <v>-17451.15</v>
      </c>
      <c r="C75" s="18" t="n">
        <v>-22503.06</v>
      </c>
      <c r="D75" s="18" t="n">
        <v>-18538.75</v>
      </c>
      <c r="E75" s="18" t="n">
        <v>-21891.12</v>
      </c>
      <c r="F75" s="18" t="n">
        <v>-21915.34</v>
      </c>
      <c r="G75" s="18" t="n">
        <v>-17979.86</v>
      </c>
      <c r="H75" s="18" t="n">
        <v>-21552.34</v>
      </c>
      <c r="I75" s="18" t="n">
        <v>-16690.85</v>
      </c>
      <c r="J75" s="18" t="n">
        <v>-22841.72</v>
      </c>
      <c r="K75" s="18" t="n">
        <v>-21288.75</v>
      </c>
      <c r="L75" s="18" t="n">
        <v>-20753.77</v>
      </c>
      <c r="M75" s="18" t="n">
        <v>-28815.25</v>
      </c>
      <c r="N75" s="60">
        <f>SUM(B75:M75)</f>
        <v/>
      </c>
      <c r="O75" s="60">
        <f>-SUMIF('CED TB'!$T:$T,'CED P&amp;L'!$A75,'CED TB'!C:C)</f>
        <v/>
      </c>
      <c r="P75" s="60">
        <f>-SUMIF('CED TB'!$T:$T,'CED P&amp;L'!$A75,'CED TB'!D:D)</f>
        <v/>
      </c>
      <c r="Q75" s="60">
        <f>-SUMIF('CED TB'!$T:$T,'CED P&amp;L'!$A75,'CED TB'!E:E)</f>
        <v/>
      </c>
      <c r="R75" s="60">
        <f>-SUMIF('CED TB'!$T:$T,'CED P&amp;L'!$A75,'CED TB'!F:F)</f>
        <v/>
      </c>
      <c r="S75" s="60">
        <f>-SUMIF('CED TB'!$T:$T,'CED P&amp;L'!$A75,'CED TB'!G:G)</f>
        <v/>
      </c>
      <c r="T75" s="60">
        <f>-SUMIF('CED TB'!$T:$T,'CED P&amp;L'!$A75,'CED TB'!H:H)</f>
        <v/>
      </c>
      <c r="U75" s="60">
        <f>-SUMIF('CED TB'!$T:$T,'CED P&amp;L'!$A75,'CED TB'!I:I)</f>
        <v/>
      </c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60" t="inlineStr">
        <is>
          <t>Direct - Childcare Cost</t>
        </is>
      </c>
      <c r="B76" s="18" t="n">
        <v>-1750.88</v>
      </c>
      <c r="C76" s="18" t="n">
        <v>-1341.47</v>
      </c>
      <c r="D76" s="18" t="n">
        <v>-1422.78</v>
      </c>
      <c r="E76" s="18" t="n">
        <v>-1368.34</v>
      </c>
      <c r="F76" s="18" t="n">
        <v>-2181.3</v>
      </c>
      <c r="G76" s="18" t="n">
        <v>-4010.75</v>
      </c>
      <c r="H76" s="18" t="n">
        <v>-2233.18</v>
      </c>
      <c r="I76" s="18" t="n">
        <v>-2334.650000000001</v>
      </c>
      <c r="J76" s="18" t="n">
        <v>-1612.96</v>
      </c>
      <c r="K76" s="18" t="n">
        <v>-1945.78</v>
      </c>
      <c r="L76" s="18" t="n">
        <v>-1666.79</v>
      </c>
      <c r="M76" s="18" t="n">
        <v>-1271.89</v>
      </c>
      <c r="N76" s="60">
        <f>SUM(B76:M76)</f>
        <v/>
      </c>
      <c r="O76" s="60">
        <f>-SUMIF('CED TB'!$T:$T,'CED P&amp;L'!$A76,'CED TB'!C:C)</f>
        <v/>
      </c>
      <c r="P76" s="60">
        <f>-SUMIF('CED TB'!$T:$T,'CED P&amp;L'!$A76,'CED TB'!D:D)</f>
        <v/>
      </c>
      <c r="Q76" s="60">
        <f>-SUMIF('CED TB'!$T:$T,'CED P&amp;L'!$A76,'CED TB'!E:E)</f>
        <v/>
      </c>
      <c r="R76" s="60">
        <f>-SUMIF('CED TB'!$T:$T,'CED P&amp;L'!$A76,'CED TB'!F:F)</f>
        <v/>
      </c>
      <c r="S76" s="60">
        <f>-SUMIF('CED TB'!$T:$T,'CED P&amp;L'!$A76,'CED TB'!G:G)</f>
        <v/>
      </c>
      <c r="T76" s="60">
        <f>-SUMIF('CED TB'!$T:$T,'CED P&amp;L'!$A76,'CED TB'!H:H)</f>
        <v/>
      </c>
      <c r="U76" s="60">
        <f>-SUMIF('CED TB'!$T:$T,'CED P&amp;L'!$A76,'CED TB'!I:I)</f>
        <v/>
      </c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Direct - Premises &amp; Admin</t>
        </is>
      </c>
      <c r="B77" s="18" t="n">
        <v>-2802.01</v>
      </c>
      <c r="C77" s="18" t="n">
        <v>-2178.51</v>
      </c>
      <c r="D77" s="18" t="n">
        <v>-2624.96</v>
      </c>
      <c r="E77" s="18" t="n">
        <v>-566.1500000000001</v>
      </c>
      <c r="F77" s="18" t="n">
        <v>-2423.59</v>
      </c>
      <c r="G77" s="18" t="n">
        <v>-1622.57</v>
      </c>
      <c r="H77" s="18" t="n">
        <v>-1899.31</v>
      </c>
      <c r="I77" s="18" t="n">
        <v>-1549.43</v>
      </c>
      <c r="J77" s="18" t="n">
        <v>-1666.25</v>
      </c>
      <c r="K77" s="18" t="n">
        <v>-1743.48</v>
      </c>
      <c r="L77" s="18" t="n">
        <v>-2292.4</v>
      </c>
      <c r="M77" s="18" t="n">
        <v>-2253.59</v>
      </c>
      <c r="N77" s="60">
        <f>SUM(B77:M77)</f>
        <v/>
      </c>
      <c r="O77" s="60">
        <f>-SUMIF('CED TB'!$T:$T,'CED P&amp;L'!$A77,'CED TB'!C:C)</f>
        <v/>
      </c>
      <c r="P77" s="60">
        <f>-SUMIF('CED TB'!$T:$T,'CED P&amp;L'!$A77,'CED TB'!D:D)</f>
        <v/>
      </c>
      <c r="Q77" s="60">
        <f>-SUMIF('CED TB'!$T:$T,'CED P&amp;L'!$A77,'CED TB'!E:E)</f>
        <v/>
      </c>
      <c r="R77" s="60">
        <f>-SUMIF('CED TB'!$T:$T,'CED P&amp;L'!$A77,'CED TB'!F:F)</f>
        <v/>
      </c>
      <c r="S77" s="60">
        <f>-SUMIF('CED TB'!$T:$T,'CED P&amp;L'!$A77,'CED TB'!G:G)</f>
        <v/>
      </c>
      <c r="T77" s="60">
        <f>-SUMIF('CED TB'!$T:$T,'CED P&amp;L'!$A77,'CED TB'!H:H)</f>
        <v/>
      </c>
      <c r="U77" s="60">
        <f>-SUMIF('CED TB'!$T:$T,'CED P&amp;L'!$A77,'CED TB'!I:I)</f>
        <v/>
      </c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60">
        <f>SUM(B78:M78)</f>
        <v/>
      </c>
      <c r="O78" s="60">
        <f>-SUMIF('CED TB'!$T:$T,'CED P&amp;L'!$A78,'CED TB'!C:C)</f>
        <v/>
      </c>
      <c r="P78" s="60">
        <f>-SUMIF('CED TB'!$T:$T,'CED P&amp;L'!$A78,'CED TB'!D:D)</f>
        <v/>
      </c>
      <c r="Q78" s="60">
        <f>-SUMIF('CED TB'!$T:$T,'CED P&amp;L'!$A78,'CED TB'!E:E)</f>
        <v/>
      </c>
      <c r="R78" s="60">
        <f>-SUMIF('CED TB'!$T:$T,'CED P&amp;L'!$A78,'CED TB'!F:F)</f>
        <v/>
      </c>
      <c r="S78" s="60">
        <f>-SUMIF('CED TB'!$T:$T,'CED P&amp;L'!$A78,'CED TB'!G:G)</f>
        <v/>
      </c>
      <c r="T78" s="60">
        <f>-SUMIF('CED TB'!$T:$T,'CED P&amp;L'!$A78,'CED TB'!H:H)</f>
        <v/>
      </c>
      <c r="U78" s="60">
        <f>-SUMIF('CED TB'!$T:$T,'CED P&amp;L'!$A78,'CED TB'!I:I)</f>
        <v/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60" t="inlineStr">
        <is>
          <t>In-Direct - Overheads</t>
        </is>
      </c>
      <c r="B79" s="18" t="n">
        <v>-201.98</v>
      </c>
      <c r="C79" s="18" t="n">
        <v>-332.58</v>
      </c>
      <c r="D79" s="18" t="n">
        <v>-363.58</v>
      </c>
      <c r="E79" s="18" t="n">
        <v>-452.6899999999999</v>
      </c>
      <c r="F79" s="18" t="n">
        <v>-312.96</v>
      </c>
      <c r="G79" s="18" t="n">
        <v>-873.97</v>
      </c>
      <c r="H79" s="18" t="n">
        <v>-2280.29</v>
      </c>
      <c r="I79" s="18" t="n">
        <v>-1840.64</v>
      </c>
      <c r="J79" s="18" t="n">
        <v>-384.18</v>
      </c>
      <c r="K79" s="18" t="n">
        <v>-249.45</v>
      </c>
      <c r="L79" s="18" t="n">
        <v>-637.84</v>
      </c>
      <c r="M79" s="18" t="n">
        <v>-473.98</v>
      </c>
      <c r="N79" s="60">
        <f>SUM(B79:M79)</f>
        <v/>
      </c>
      <c r="O79" s="60">
        <f>-SUMIF('CED TB'!$T:$T,'CED P&amp;L'!$A79,'CED TB'!C:C)</f>
        <v/>
      </c>
      <c r="P79" s="60">
        <f>-SUMIF('CED TB'!$T:$T,'CED P&amp;L'!$A79,'CED TB'!D:D)</f>
        <v/>
      </c>
      <c r="Q79" s="60">
        <f>-SUMIF('CED TB'!$T:$T,'CED P&amp;L'!$A79,'CED TB'!E:E)</f>
        <v/>
      </c>
      <c r="R79" s="60">
        <f>-SUMIF('CED TB'!$T:$T,'CED P&amp;L'!$A79,'CED TB'!F:F)</f>
        <v/>
      </c>
      <c r="S79" s="60">
        <f>-SUMIF('CED TB'!$T:$T,'CED P&amp;L'!$A79,'CED TB'!G:G)</f>
        <v/>
      </c>
      <c r="T79" s="60">
        <f>-SUMIF('CED TB'!$T:$T,'CED P&amp;L'!$A79,'CED TB'!H:H)</f>
        <v/>
      </c>
      <c r="U79" s="60">
        <f>-SUMIF('CED TB'!$T:$T,'CED P&amp;L'!$A79,'CED TB'!I:I)</f>
        <v/>
      </c>
      <c r="V79" s="20" t="n"/>
      <c r="W79" s="20" t="n"/>
      <c r="X79" s="20" t="n"/>
      <c r="Y79" s="20" t="n"/>
      <c r="Z79" s="20" t="n"/>
      <c r="AA79" s="60">
        <f>SUM(O79:T79)</f>
        <v/>
      </c>
      <c r="AB79" s="8" t="n"/>
      <c r="AC79" s="20" t="n"/>
      <c r="AD79" s="20" t="n"/>
      <c r="AE79" s="20" t="n"/>
      <c r="AF79" s="20" t="n"/>
      <c r="AG79" s="20" t="n"/>
      <c r="AH79" s="20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67" t="n">
        <v>7600.139999999999</v>
      </c>
      <c r="C80" s="67" t="n">
        <v>8981.249999999995</v>
      </c>
      <c r="D80" s="67" t="n">
        <v>19506.91</v>
      </c>
      <c r="E80" s="67" t="n">
        <v>9589.259999999998</v>
      </c>
      <c r="F80" s="67" t="n">
        <v>-278.0799999999958</v>
      </c>
      <c r="G80" s="67" t="n">
        <v>13009.61</v>
      </c>
      <c r="H80" s="67" t="n">
        <v>15197.46</v>
      </c>
      <c r="I80" s="67" t="n">
        <v>84.98000000000025</v>
      </c>
      <c r="J80" s="67" t="n">
        <v>-573.2599999999995</v>
      </c>
      <c r="K80" s="67" t="n">
        <v>6787.639999999999</v>
      </c>
      <c r="L80" s="67" t="n">
        <v>5233.940000000001</v>
      </c>
      <c r="M80" s="67" t="n">
        <v>7411.819999999996</v>
      </c>
      <c r="N80" s="64">
        <f>SUM(B80:M80)</f>
        <v/>
      </c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8" t="n"/>
      <c r="W80" s="68" t="n"/>
      <c r="X80" s="68" t="n"/>
      <c r="Y80" s="68" t="n"/>
      <c r="Z80" s="68" t="n"/>
      <c r="AA80" s="64">
        <f>SUM(O80:T80)</f>
        <v/>
      </c>
      <c r="AB80" s="8" t="n"/>
      <c r="AC80" s="68" t="n"/>
      <c r="AD80" s="68" t="n"/>
      <c r="AE80" s="68" t="n"/>
      <c r="AF80" s="68" t="n"/>
      <c r="AG80" s="68" t="n"/>
      <c r="AH80" s="68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 ht="15.75" customHeight="1">
      <c r="A81" s="8" t="n"/>
      <c r="B81" s="60" t="n">
        <v>0</v>
      </c>
      <c r="C81" s="60" t="n">
        <v>0</v>
      </c>
      <c r="D81" s="60" t="n">
        <v>0</v>
      </c>
      <c r="E81" s="60" t="n">
        <v>0</v>
      </c>
      <c r="F81" s="60" t="n">
        <v>4.547473508864641e-13</v>
      </c>
      <c r="G81" s="60" t="n">
        <v>0</v>
      </c>
      <c r="H81" s="60" t="n">
        <v>0</v>
      </c>
      <c r="I81" s="60" t="n">
        <v>-1.13686837721616e-12</v>
      </c>
      <c r="J81" s="60" t="n">
        <v>1.364242052659392e-12</v>
      </c>
      <c r="K81" s="60" t="n">
        <v>0</v>
      </c>
      <c r="L81" s="60" t="n">
        <v>0</v>
      </c>
      <c r="M81" s="60" t="n">
        <v>0</v>
      </c>
      <c r="N81" s="60">
        <f>SUM(B81:M81)</f>
        <v/>
      </c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3.979039320256561e-12</v>
      </c>
      <c r="G83" s="60" t="n">
        <v>0</v>
      </c>
      <c r="H83" s="60" t="n">
        <v>0</v>
      </c>
      <c r="I83" s="60" t="n">
        <v>2.501110429875553e-12</v>
      </c>
      <c r="J83" s="60" t="n">
        <v>0</v>
      </c>
      <c r="K83" s="60" t="n">
        <v>0</v>
      </c>
      <c r="L83" s="60" t="n">
        <v>0</v>
      </c>
      <c r="M83" s="8" t="n"/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60" t="n">
        <v>-7600.139999999996</v>
      </c>
      <c r="C84" s="60" t="n">
        <v>-8981.249999999996</v>
      </c>
      <c r="D84" s="60" t="n">
        <v>-19506.91</v>
      </c>
      <c r="E84" s="60" t="n">
        <v>-9589.26</v>
      </c>
      <c r="F84" s="60" t="n">
        <v>278.0799999999998</v>
      </c>
      <c r="G84" s="60" t="n">
        <v>-13009.61000000001</v>
      </c>
      <c r="H84" s="60" t="n">
        <v>-15197.46</v>
      </c>
      <c r="I84" s="60" t="n">
        <v>-84.97999999999774</v>
      </c>
      <c r="J84" s="60" t="n">
        <v>573.2599999999998</v>
      </c>
      <c r="K84" s="60" t="n">
        <v>-6787.639999999998</v>
      </c>
      <c r="L84" s="60" t="n">
        <v>-5233.939999999998</v>
      </c>
      <c r="M84" s="8" t="n"/>
      <c r="N84" s="8" t="n"/>
      <c r="O84" s="60">
        <f>SUM('CED TB'!C2:C36)</f>
        <v/>
      </c>
      <c r="P84" s="60">
        <f>SUM('CED TB'!D2:D36)</f>
        <v/>
      </c>
      <c r="Q84" s="60">
        <f>SUM('CED TB'!E2:E36)</f>
        <v/>
      </c>
      <c r="R84" s="60">
        <f>SUM('CED TB'!F2:F36)</f>
        <v/>
      </c>
      <c r="S84" s="60">
        <f>SUM('CED TB'!G2:G36)</f>
        <v/>
      </c>
      <c r="T84" s="60">
        <f>SUM('CED TB'!H2:H36)</f>
        <v/>
      </c>
      <c r="U84" s="60">
        <f>SUM('CED TB'!I2:I36)</f>
        <v/>
      </c>
      <c r="V84" s="60">
        <f>SUM('CED TB'!J2:J36)</f>
        <v/>
      </c>
      <c r="W84" s="60">
        <f>SUM('CED TB'!K2:K36)</f>
        <v/>
      </c>
      <c r="X84" s="60">
        <f>SUM('CED TB'!L2:L36)</f>
        <v/>
      </c>
      <c r="Y84" s="60">
        <f>SUM('CED TB'!M2:M36)</f>
        <v/>
      </c>
      <c r="Z84" s="60">
        <f>SUM('CED TB'!N2:N36)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Boot Farm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22608.68</v>
      </c>
      <c r="C8" s="35" t="n">
        <v>22243.72</v>
      </c>
      <c r="D8" s="35" t="n">
        <v>27570.94</v>
      </c>
      <c r="E8" s="35" t="n">
        <v>32753.01</v>
      </c>
      <c r="F8" s="35" t="n">
        <v>29946.42</v>
      </c>
      <c r="G8" s="35" t="n">
        <v>32181.69</v>
      </c>
      <c r="H8" s="35" t="n">
        <v>44859.07</v>
      </c>
      <c r="I8" s="35" t="n">
        <v>41767.17</v>
      </c>
      <c r="J8" s="35" t="n">
        <v>32212.18</v>
      </c>
      <c r="K8" s="35" t="n">
        <v>31485.29</v>
      </c>
      <c r="L8" s="35" t="n">
        <v>27574.28</v>
      </c>
      <c r="M8" s="35" t="n">
        <v>37778.25</v>
      </c>
      <c r="N8" s="36">
        <f>SUM(B8:M8)</f>
        <v/>
      </c>
      <c r="O8" s="37" t="n">
        <v>33113.54000000001</v>
      </c>
      <c r="P8" s="37" t="n">
        <v>31541.7</v>
      </c>
      <c r="Q8" s="37" t="n">
        <v>35742.73</v>
      </c>
      <c r="R8" s="37" t="n">
        <v>40112.94</v>
      </c>
      <c r="S8" s="37" t="n">
        <v>32985.60000000001</v>
      </c>
      <c r="T8" s="37" t="n">
        <v>34775.34</v>
      </c>
      <c r="U8" s="37" t="n">
        <v>43764.87000000001</v>
      </c>
      <c r="V8" s="38" t="n">
        <v>33555.29</v>
      </c>
      <c r="W8" s="38" t="n">
        <v>19742</v>
      </c>
      <c r="X8" s="38" t="n">
        <v>19733</v>
      </c>
      <c r="Y8" s="38" t="n">
        <v>19448</v>
      </c>
      <c r="Z8" s="38" t="n">
        <v>28969</v>
      </c>
      <c r="AA8" s="36">
        <f>SUM(O8:U8)</f>
        <v/>
      </c>
      <c r="AB8" s="36">
        <f>SUM(O8:Z8)</f>
        <v/>
      </c>
      <c r="AC8" s="38" t="n">
        <v>38106.5</v>
      </c>
      <c r="AD8" s="38" t="n">
        <v>35852.39</v>
      </c>
      <c r="AE8" s="38" t="n">
        <v>43430.94</v>
      </c>
      <c r="AF8" s="38" t="n">
        <v>32359.2</v>
      </c>
      <c r="AG8" s="38" t="n">
        <v>31981.84</v>
      </c>
      <c r="AH8" s="38" t="n">
        <v>34163.18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5242.38</v>
      </c>
      <c r="C9" s="35" t="n">
        <v>14026.65</v>
      </c>
      <c r="D9" s="35" t="n">
        <v>14026.65</v>
      </c>
      <c r="E9" s="35" t="n">
        <v>5098.36</v>
      </c>
      <c r="F9" s="35" t="n">
        <v>5098.36</v>
      </c>
      <c r="G9" s="35" t="n">
        <v>21148.51</v>
      </c>
      <c r="H9" s="35" t="n">
        <v>21148.51</v>
      </c>
      <c r="I9" s="35" t="n">
        <v>0</v>
      </c>
      <c r="J9" s="35" t="n">
        <v>7047.23</v>
      </c>
      <c r="K9" s="35" t="n">
        <v>18081.4</v>
      </c>
      <c r="L9" s="35" t="n">
        <v>18081.4</v>
      </c>
      <c r="M9" s="35" t="n">
        <v>22099.92</v>
      </c>
      <c r="N9" s="36">
        <f>SUM(B9:M9)</f>
        <v/>
      </c>
      <c r="O9" s="37" t="n">
        <v>8524.280000000001</v>
      </c>
      <c r="P9" s="37" t="n">
        <v>23183.36</v>
      </c>
      <c r="Q9" s="37" t="n">
        <v>27880.5</v>
      </c>
      <c r="R9" s="37" t="n">
        <v>19300.66</v>
      </c>
      <c r="S9" s="37" t="n">
        <v>19300.66</v>
      </c>
      <c r="T9" s="37" t="n">
        <v>19088.16</v>
      </c>
      <c r="U9" s="37" t="n">
        <v>21005.55</v>
      </c>
      <c r="V9" s="38" t="n">
        <v>0</v>
      </c>
      <c r="W9" s="38" t="n">
        <v>15801</v>
      </c>
      <c r="X9" s="38" t="n">
        <v>19151</v>
      </c>
      <c r="Y9" s="38" t="n">
        <v>18857</v>
      </c>
      <c r="Z9" s="38" t="n">
        <v>8843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300</v>
      </c>
      <c r="F10" s="35" t="n">
        <v>150</v>
      </c>
      <c r="G10" s="35" t="n">
        <v>2213.27</v>
      </c>
      <c r="H10" s="35" t="n">
        <v>300</v>
      </c>
      <c r="I10" s="35" t="n">
        <v>300</v>
      </c>
      <c r="J10" s="35" t="n">
        <v>150</v>
      </c>
      <c r="K10" s="35" t="n">
        <v>230</v>
      </c>
      <c r="L10" s="35" t="n">
        <v>150</v>
      </c>
      <c r="M10" s="35" t="n">
        <v>150</v>
      </c>
      <c r="N10" s="36">
        <f>SUM(B10:M10)</f>
        <v/>
      </c>
      <c r="O10" s="37" t="n">
        <v>150</v>
      </c>
      <c r="P10" s="37" t="n">
        <v>150</v>
      </c>
      <c r="Q10" s="37" t="n">
        <v>150</v>
      </c>
      <c r="R10" s="37" t="n">
        <v>159.23</v>
      </c>
      <c r="S10" s="37" t="n">
        <v>150</v>
      </c>
      <c r="T10" s="37" t="n">
        <v>150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27851.06</v>
      </c>
      <c r="C11" s="42" t="n">
        <v>36270.37</v>
      </c>
      <c r="D11" s="42" t="n">
        <v>41597.59</v>
      </c>
      <c r="E11" s="42" t="n">
        <v>38151.37</v>
      </c>
      <c r="F11" s="42" t="n">
        <v>35194.78</v>
      </c>
      <c r="G11" s="42" t="n">
        <v>55543.46999999999</v>
      </c>
      <c r="H11" s="42" t="n">
        <v>66307.58</v>
      </c>
      <c r="I11" s="42" t="n">
        <v>42067.17</v>
      </c>
      <c r="J11" s="42" t="n">
        <v>39409.41</v>
      </c>
      <c r="K11" s="42" t="n">
        <v>49796.69</v>
      </c>
      <c r="L11" s="42" t="n">
        <v>45805.68</v>
      </c>
      <c r="M11" s="42" t="n">
        <v>60028.17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14028.96</v>
      </c>
      <c r="C16" s="35" t="n">
        <v>16418.51</v>
      </c>
      <c r="D16" s="35" t="n">
        <v>17522.64</v>
      </c>
      <c r="E16" s="35" t="n">
        <v>18482.09</v>
      </c>
      <c r="F16" s="35" t="n">
        <v>20020.2</v>
      </c>
      <c r="G16" s="35" t="n">
        <v>19124.39</v>
      </c>
      <c r="H16" s="35" t="n">
        <v>19993.06</v>
      </c>
      <c r="I16" s="35" t="n">
        <v>18672.65</v>
      </c>
      <c r="J16" s="35" t="n">
        <v>22682.26</v>
      </c>
      <c r="K16" s="35" t="n">
        <v>23747.06</v>
      </c>
      <c r="L16" s="35" t="n">
        <v>22885.49</v>
      </c>
      <c r="M16" s="35" t="n">
        <v>23532.82</v>
      </c>
      <c r="N16" s="36">
        <f>SUM(B16:M16)</f>
        <v/>
      </c>
      <c r="O16" s="37" t="n">
        <v>21737.98</v>
      </c>
      <c r="P16" s="37" t="n">
        <v>23681.85</v>
      </c>
      <c r="Q16" s="37" t="n">
        <v>23572.62</v>
      </c>
      <c r="R16" s="37" t="n">
        <v>22709.62</v>
      </c>
      <c r="S16" s="37" t="n">
        <v>24378.86</v>
      </c>
      <c r="T16" s="37" t="n">
        <v>25046.45</v>
      </c>
      <c r="U16" s="37" t="n">
        <v>26811.22</v>
      </c>
      <c r="V16" s="38" t="n">
        <v>24045</v>
      </c>
      <c r="W16" s="38" t="n">
        <v>24045</v>
      </c>
      <c r="X16" s="38" t="n">
        <v>24045</v>
      </c>
      <c r="Y16" s="38" t="n">
        <v>24045</v>
      </c>
      <c r="Z16" s="38" t="n">
        <v>24045</v>
      </c>
      <c r="AA16" s="36">
        <f>SUM(O16:U16)</f>
        <v/>
      </c>
      <c r="AB16" s="36">
        <f>SUM(O16:Z16)</f>
        <v/>
      </c>
      <c r="AC16" s="38" t="n">
        <v>24045</v>
      </c>
      <c r="AD16" s="38" t="n">
        <v>24045</v>
      </c>
      <c r="AE16" s="38" t="n">
        <v>24045</v>
      </c>
      <c r="AF16" s="38" t="n">
        <v>24045</v>
      </c>
      <c r="AG16" s="38" t="n">
        <v>24045</v>
      </c>
      <c r="AH16" s="38" t="n">
        <v>24045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1203.75</v>
      </c>
      <c r="C17" s="35" t="n">
        <v>1428.91</v>
      </c>
      <c r="D17" s="35" t="n">
        <v>1476.68</v>
      </c>
      <c r="E17" s="35" t="n">
        <v>2209.36</v>
      </c>
      <c r="F17" s="35" t="n">
        <v>2440.06</v>
      </c>
      <c r="G17" s="35" t="n">
        <v>2305.71</v>
      </c>
      <c r="H17" s="35" t="n">
        <v>2435.99</v>
      </c>
      <c r="I17" s="35" t="n">
        <v>2237.92</v>
      </c>
      <c r="J17" s="35" t="n">
        <v>2496.6</v>
      </c>
      <c r="K17" s="35" t="n">
        <v>2529.67</v>
      </c>
      <c r="L17" s="35" t="n">
        <v>2509.06</v>
      </c>
      <c r="M17" s="35" t="n">
        <v>2620.8</v>
      </c>
      <c r="N17" s="36">
        <f>SUM(B17:M17)</f>
        <v/>
      </c>
      <c r="O17" s="37" t="n">
        <v>2278.05</v>
      </c>
      <c r="P17" s="37" t="n">
        <v>2565.96</v>
      </c>
      <c r="Q17" s="37" t="n">
        <v>2663.88</v>
      </c>
      <c r="R17" s="37" t="n">
        <v>2675.84</v>
      </c>
      <c r="S17" s="37" t="n">
        <v>2716.1</v>
      </c>
      <c r="T17" s="37" t="n">
        <v>2746.05</v>
      </c>
      <c r="U17" s="37" t="n">
        <v>2955.86</v>
      </c>
      <c r="V17" s="38" t="n">
        <v>2713</v>
      </c>
      <c r="W17" s="38" t="n">
        <v>2713</v>
      </c>
      <c r="X17" s="38" t="n">
        <v>2713</v>
      </c>
      <c r="Y17" s="38" t="n">
        <v>2713</v>
      </c>
      <c r="Z17" s="38" t="n">
        <v>2713</v>
      </c>
      <c r="AA17" s="36">
        <f>SUM(O17:U17)</f>
        <v/>
      </c>
      <c r="AB17" s="36">
        <f>SUM(O17:Z17)</f>
        <v/>
      </c>
      <c r="AC17" s="38" t="n">
        <v>2713</v>
      </c>
      <c r="AD17" s="38" t="n">
        <v>2713</v>
      </c>
      <c r="AE17" s="38" t="n">
        <v>2713</v>
      </c>
      <c r="AF17" s="38" t="n">
        <v>2713</v>
      </c>
      <c r="AG17" s="38" t="n">
        <v>2713</v>
      </c>
      <c r="AH17" s="38" t="n">
        <v>2713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311.63</v>
      </c>
      <c r="C18" s="35" t="n">
        <v>367.72</v>
      </c>
      <c r="D18" s="35" t="n">
        <v>365.22</v>
      </c>
      <c r="E18" s="35" t="n">
        <v>382.57</v>
      </c>
      <c r="F18" s="35" t="n">
        <v>424.4</v>
      </c>
      <c r="G18" s="35" t="n">
        <v>305.58</v>
      </c>
      <c r="H18" s="35" t="n">
        <v>307.23</v>
      </c>
      <c r="I18" s="35" t="n">
        <v>283.62</v>
      </c>
      <c r="J18" s="35" t="n">
        <v>355.96</v>
      </c>
      <c r="K18" s="35" t="n">
        <v>382.65</v>
      </c>
      <c r="L18" s="35" t="n">
        <v>386.03</v>
      </c>
      <c r="M18" s="35" t="n">
        <v>392.32</v>
      </c>
      <c r="N18" s="36">
        <f>SUM(B18:M18)</f>
        <v/>
      </c>
      <c r="O18" s="37" t="n">
        <v>315.27</v>
      </c>
      <c r="P18" s="37" t="n">
        <v>466.06</v>
      </c>
      <c r="Q18" s="37" t="n">
        <v>442.88</v>
      </c>
      <c r="R18" s="37" t="n">
        <v>419.77</v>
      </c>
      <c r="S18" s="37" t="n">
        <v>440.94</v>
      </c>
      <c r="T18" s="37" t="n">
        <v>498.05</v>
      </c>
      <c r="U18" s="37" t="n">
        <v>494.63</v>
      </c>
      <c r="V18" s="38" t="n">
        <v>453</v>
      </c>
      <c r="W18" s="38" t="n">
        <v>453</v>
      </c>
      <c r="X18" s="38" t="n">
        <v>453</v>
      </c>
      <c r="Y18" s="38" t="n">
        <v>453</v>
      </c>
      <c r="Z18" s="38" t="n">
        <v>453</v>
      </c>
      <c r="AA18" s="36">
        <f>SUM(O18:U18)</f>
        <v/>
      </c>
      <c r="AB18" s="36">
        <f>SUM(O18:Z18)</f>
        <v/>
      </c>
      <c r="AC18" s="38" t="n">
        <v>453</v>
      </c>
      <c r="AD18" s="38" t="n">
        <v>453</v>
      </c>
      <c r="AE18" s="38" t="n">
        <v>453</v>
      </c>
      <c r="AF18" s="38" t="n">
        <v>453</v>
      </c>
      <c r="AG18" s="38" t="n">
        <v>453</v>
      </c>
      <c r="AH18" s="38" t="n">
        <v>453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166.92</v>
      </c>
      <c r="E19" s="35" t="n">
        <v>0</v>
      </c>
      <c r="F19" s="35" t="n">
        <v>0</v>
      </c>
      <c r="G19" s="35" t="n">
        <v>155.16</v>
      </c>
      <c r="H19" s="35" t="n">
        <v>0</v>
      </c>
      <c r="I19" s="35" t="n">
        <v>0</v>
      </c>
      <c r="J19" s="35" t="n">
        <v>274.38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97.73999999999999</v>
      </c>
      <c r="P19" s="37" t="n">
        <v>0</v>
      </c>
      <c r="Q19" s="37" t="n">
        <v>0</v>
      </c>
      <c r="R19" s="37" t="n">
        <v>0</v>
      </c>
      <c r="S19" s="37" t="n">
        <v>55.43</v>
      </c>
      <c r="T19" s="37" t="n">
        <v>178.56</v>
      </c>
      <c r="U19" s="37" t="n">
        <v>79.68000000000001</v>
      </c>
      <c r="V19" s="38" t="n">
        <v>49</v>
      </c>
      <c r="W19" s="38" t="n">
        <v>49</v>
      </c>
      <c r="X19" s="38" t="n">
        <v>49</v>
      </c>
      <c r="Y19" s="38" t="n">
        <v>49</v>
      </c>
      <c r="Z19" s="38" t="n">
        <v>49</v>
      </c>
      <c r="AA19" s="36">
        <f>SUM(O19:U19)</f>
        <v/>
      </c>
      <c r="AB19" s="36">
        <f>SUM(O19:Z19)</f>
        <v/>
      </c>
      <c r="AC19" s="38" t="n">
        <v>49</v>
      </c>
      <c r="AD19" s="38" t="n">
        <v>49</v>
      </c>
      <c r="AE19" s="38" t="n">
        <v>49</v>
      </c>
      <c r="AF19" s="38" t="n">
        <v>49</v>
      </c>
      <c r="AG19" s="38" t="n">
        <v>49</v>
      </c>
      <c r="AH19" s="38" t="n">
        <v>49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97.90000000000001</v>
      </c>
      <c r="C20" s="35" t="n">
        <v>24.95</v>
      </c>
      <c r="D20" s="35" t="n">
        <v>53.94</v>
      </c>
      <c r="E20" s="35" t="n">
        <v>109.2</v>
      </c>
      <c r="F20" s="35" t="n">
        <v>36</v>
      </c>
      <c r="G20" s="35" t="n">
        <v>29.94</v>
      </c>
      <c r="H20" s="35" t="n">
        <v>0</v>
      </c>
      <c r="I20" s="35" t="n">
        <v>74.40000000000001</v>
      </c>
      <c r="J20" s="35" t="n">
        <v>387.94</v>
      </c>
      <c r="K20" s="35" t="n">
        <v>115.2</v>
      </c>
      <c r="L20" s="35" t="n">
        <v>45</v>
      </c>
      <c r="M20" s="35" t="n">
        <v>636.5</v>
      </c>
      <c r="N20" s="36">
        <f>SUM(B20:M20)</f>
        <v/>
      </c>
      <c r="O20" s="37" t="n">
        <v>666.6700000000001</v>
      </c>
      <c r="P20" s="37" t="n">
        <v>78</v>
      </c>
      <c r="Q20" s="37" t="n">
        <v>0</v>
      </c>
      <c r="R20" s="37" t="n">
        <v>10</v>
      </c>
      <c r="S20" s="37" t="n">
        <v>78</v>
      </c>
      <c r="T20" s="37" t="n">
        <v>0</v>
      </c>
      <c r="U20" s="37" t="n">
        <v>0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6</v>
      </c>
      <c r="C21" s="35" t="n">
        <v>169.43</v>
      </c>
      <c r="D21" s="35" t="n">
        <v>78.2</v>
      </c>
      <c r="E21" s="35" t="n">
        <v>155.13</v>
      </c>
      <c r="F21" s="35" t="n">
        <v>174.31</v>
      </c>
      <c r="G21" s="35" t="n">
        <v>86.18000000000001</v>
      </c>
      <c r="H21" s="35" t="n">
        <v>68.59999999999999</v>
      </c>
      <c r="I21" s="35" t="n">
        <v>55.43</v>
      </c>
      <c r="J21" s="35" t="n">
        <v>96.39</v>
      </c>
      <c r="K21" s="35" t="n">
        <v>12.05</v>
      </c>
      <c r="L21" s="35" t="n">
        <v>77.67</v>
      </c>
      <c r="M21" s="35" t="n">
        <v>88.14</v>
      </c>
      <c r="N21" s="36">
        <f>SUM(B21:M21)</f>
        <v/>
      </c>
      <c r="O21" s="37" t="n">
        <v>73.11</v>
      </c>
      <c r="P21" s="37" t="n">
        <v>37.21</v>
      </c>
      <c r="Q21" s="37" t="n">
        <v>47.72</v>
      </c>
      <c r="R21" s="37" t="n">
        <v>77.59999999999999</v>
      </c>
      <c r="S21" s="37" t="n">
        <v>66.87</v>
      </c>
      <c r="T21" s="37" t="n">
        <v>100.93</v>
      </c>
      <c r="U21" s="37" t="n">
        <v>26.72</v>
      </c>
      <c r="V21" s="38" t="n">
        <v>100</v>
      </c>
      <c r="W21" s="38" t="n">
        <v>100</v>
      </c>
      <c r="X21" s="38" t="n">
        <v>100</v>
      </c>
      <c r="Y21" s="38" t="n">
        <v>100</v>
      </c>
      <c r="Z21" s="38" t="n">
        <v>100</v>
      </c>
      <c r="AA21" s="36">
        <f>SUM(O21:U21)</f>
        <v/>
      </c>
      <c r="AB21" s="36">
        <f>SUM(O21:Z21)</f>
        <v/>
      </c>
      <c r="AC21" s="38" t="n">
        <v>100</v>
      </c>
      <c r="AD21" s="38" t="n">
        <v>100</v>
      </c>
      <c r="AE21" s="38" t="n">
        <v>100</v>
      </c>
      <c r="AF21" s="38" t="n">
        <v>100</v>
      </c>
      <c r="AG21" s="38" t="n">
        <v>100</v>
      </c>
      <c r="AH21" s="38" t="n">
        <v>100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SUMIF('HAB TB'!$R:$R,'HAB P&amp;L'!$A22,'HAB TB'!C:C)</f>
        <v/>
      </c>
      <c r="P22" s="37">
        <f>SUMIF('HAB TB'!$R:$R,'HAB P&amp;L'!$A22,'HAB TB'!D:D)</f>
        <v/>
      </c>
      <c r="Q22" s="37">
        <f>SUMIF('HAB TB'!$R:$R,'HAB P&amp;L'!$A22,'HAB TB'!E:E)</f>
        <v/>
      </c>
      <c r="R22" s="37">
        <f>SUMIF('HAB TB'!$R:$R,'HAB P&amp;L'!$A22,'HAB TB'!F:F)</f>
        <v/>
      </c>
      <c r="S22" s="37">
        <f>SUMIF('HAB TB'!$R:$R,'HAB P&amp;L'!$A22,'HAB TB'!G:G)</f>
        <v/>
      </c>
      <c r="T22" s="37">
        <f>SUMIF('HAB TB'!$R:$R,'HAB P&amp;L'!$A22,'HAB TB'!H:H)</f>
        <v/>
      </c>
      <c r="U22" s="37">
        <f>SUMIF('HAB TB'!$R:$R,'HAB P&amp;L'!$A22,'HAB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45</v>
      </c>
      <c r="I23" s="35" t="n">
        <v>0</v>
      </c>
      <c r="J23" s="35" t="n">
        <v>62.98</v>
      </c>
      <c r="K23" s="35" t="n">
        <v>32.48</v>
      </c>
      <c r="L23" s="35" t="n">
        <v>14.88</v>
      </c>
      <c r="M23" s="35" t="n">
        <v>130.64</v>
      </c>
      <c r="N23" s="36">
        <f>SUM(B23:M23)</f>
        <v/>
      </c>
      <c r="O23" s="37" t="n">
        <v>18.95</v>
      </c>
      <c r="P23" s="37" t="n">
        <v>58.3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74.22</v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SUMIF('HAB TB'!$R:$R,'HAB P&amp;L'!$A24,'HAB TB'!C:C)</f>
        <v/>
      </c>
      <c r="P24" s="37">
        <f>SUMIF('HAB TB'!$R:$R,'HAB P&amp;L'!$A24,'HAB TB'!D:D)</f>
        <v/>
      </c>
      <c r="Q24" s="37">
        <f>SUMIF('HAB TB'!$R:$R,'HAB P&amp;L'!$A24,'HAB TB'!E:E)</f>
        <v/>
      </c>
      <c r="R24" s="37">
        <f>SUMIF('HAB TB'!$R:$R,'HAB P&amp;L'!$A24,'HAB TB'!F:F)</f>
        <v/>
      </c>
      <c r="S24" s="37">
        <f>SUMIF('HAB TB'!$R:$R,'HAB P&amp;L'!$A24,'HAB TB'!G:G)</f>
        <v/>
      </c>
      <c r="T24" s="37">
        <f>SUMIF('HAB TB'!$R:$R,'HAB P&amp;L'!$A24,'HAB TB'!H:H)</f>
        <v/>
      </c>
      <c r="U24" s="37">
        <f>SUMIF('HAB TB'!$R:$R,'HAB P&amp;L'!$A24,'HAB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15648.24</v>
      </c>
      <c r="C25" s="42" t="n">
        <v>18409.52</v>
      </c>
      <c r="D25" s="42" t="n">
        <v>19663.6</v>
      </c>
      <c r="E25" s="42" t="n">
        <v>21338.35</v>
      </c>
      <c r="F25" s="42" t="n">
        <v>23094.97</v>
      </c>
      <c r="G25" s="42" t="n">
        <v>22006.96</v>
      </c>
      <c r="H25" s="42" t="n">
        <v>22849.88</v>
      </c>
      <c r="I25" s="42" t="n">
        <v>21324.02</v>
      </c>
      <c r="J25" s="42" t="n">
        <v>26356.50999999999</v>
      </c>
      <c r="K25" s="42" t="n">
        <v>26819.11</v>
      </c>
      <c r="L25" s="42" t="n">
        <v>25918.13</v>
      </c>
      <c r="M25" s="42" t="n">
        <v>27401.22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1097.02</v>
      </c>
      <c r="C27" s="35" t="n">
        <v>959.28</v>
      </c>
      <c r="D27" s="35" t="n">
        <v>1015.65</v>
      </c>
      <c r="E27" s="35" t="n">
        <v>970.3099999999999</v>
      </c>
      <c r="F27" s="35" t="n">
        <v>1124.45</v>
      </c>
      <c r="G27" s="35" t="n">
        <v>1191.59</v>
      </c>
      <c r="H27" s="35" t="n">
        <v>1055.31</v>
      </c>
      <c r="I27" s="35" t="n">
        <v>1034.07</v>
      </c>
      <c r="J27" s="35" t="n">
        <v>1031.82</v>
      </c>
      <c r="K27" s="35" t="n">
        <v>1321.23</v>
      </c>
      <c r="L27" s="35" t="n">
        <v>1037.74</v>
      </c>
      <c r="M27" s="35" t="n">
        <v>885.5599999999999</v>
      </c>
      <c r="N27" s="36">
        <f>SUM(B27:M27)</f>
        <v/>
      </c>
      <c r="O27" s="37" t="n">
        <v>968.6899999999999</v>
      </c>
      <c r="P27" s="37" t="n">
        <v>1153.13</v>
      </c>
      <c r="Q27" s="37" t="n">
        <v>1045.2</v>
      </c>
      <c r="R27" s="37" t="n">
        <v>1430.46</v>
      </c>
      <c r="S27" s="37" t="n">
        <v>861.84</v>
      </c>
      <c r="T27" s="37" t="n">
        <v>1051.83</v>
      </c>
      <c r="U27" s="37" t="n">
        <v>1395.99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683.49</v>
      </c>
      <c r="C28" s="35" t="n">
        <v>332.85</v>
      </c>
      <c r="D28" s="35" t="n">
        <v>213.47</v>
      </c>
      <c r="E28" s="35" t="n">
        <v>84.28999999999999</v>
      </c>
      <c r="F28" s="35" t="n">
        <v>1142.04</v>
      </c>
      <c r="G28" s="35" t="n">
        <v>347.81</v>
      </c>
      <c r="H28" s="35" t="n">
        <v>169.15</v>
      </c>
      <c r="I28" s="35" t="n">
        <v>231.52</v>
      </c>
      <c r="J28" s="35" t="n">
        <v>132.85</v>
      </c>
      <c r="K28" s="35" t="n">
        <v>444.81</v>
      </c>
      <c r="L28" s="35" t="n">
        <v>168.92</v>
      </c>
      <c r="M28" s="35" t="n">
        <v>104.22</v>
      </c>
      <c r="N28" s="36">
        <f>SUM(B28:M28)</f>
        <v/>
      </c>
      <c r="O28" s="37" t="n">
        <v>167.5</v>
      </c>
      <c r="P28" s="37" t="n">
        <v>207.32</v>
      </c>
      <c r="Q28" s="37" t="n">
        <v>354.51</v>
      </c>
      <c r="R28" s="37" t="n">
        <v>49.2</v>
      </c>
      <c r="S28" s="37" t="n">
        <v>165.54</v>
      </c>
      <c r="T28" s="37" t="n">
        <v>97.45</v>
      </c>
      <c r="U28" s="37" t="n">
        <v>79.11</v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267.01</v>
      </c>
      <c r="C29" s="35" t="n">
        <v>23.97</v>
      </c>
      <c r="D29" s="35" t="n">
        <v>136.51</v>
      </c>
      <c r="E29" s="35" t="n">
        <v>153.58</v>
      </c>
      <c r="F29" s="35" t="n">
        <v>103.75</v>
      </c>
      <c r="G29" s="35" t="n">
        <v>4.94</v>
      </c>
      <c r="H29" s="35" t="n">
        <v>159.68</v>
      </c>
      <c r="I29" s="35" t="n">
        <v>40.09</v>
      </c>
      <c r="J29" s="35" t="n">
        <v>0</v>
      </c>
      <c r="K29" s="35" t="n">
        <v>131.01</v>
      </c>
      <c r="L29" s="35" t="n">
        <v>45.15000000000001</v>
      </c>
      <c r="M29" s="35" t="n">
        <v>38.38</v>
      </c>
      <c r="N29" s="36">
        <f>SUM(B29:M29)</f>
        <v/>
      </c>
      <c r="O29" s="37" t="n">
        <v>84.06</v>
      </c>
      <c r="P29" s="37" t="n">
        <v>39.52</v>
      </c>
      <c r="Q29" s="37" t="n">
        <v>99.69</v>
      </c>
      <c r="R29" s="37" t="n">
        <v>40.39</v>
      </c>
      <c r="S29" s="37" t="n">
        <v>49.93</v>
      </c>
      <c r="T29" s="37" t="n">
        <v>94.53</v>
      </c>
      <c r="U29" s="37" t="n">
        <v>89.75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0.00312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69.2</v>
      </c>
      <c r="C30" s="35" t="n">
        <v>20.73</v>
      </c>
      <c r="D30" s="35" t="n">
        <v>82.73</v>
      </c>
      <c r="E30" s="35" t="n">
        <v>16.99</v>
      </c>
      <c r="F30" s="35" t="n">
        <v>110.64</v>
      </c>
      <c r="G30" s="35" t="n">
        <v>52.16</v>
      </c>
      <c r="H30" s="35" t="n">
        <v>63.11</v>
      </c>
      <c r="I30" s="35" t="n">
        <v>0</v>
      </c>
      <c r="J30" s="35" t="n">
        <v>167.04</v>
      </c>
      <c r="K30" s="35" t="n">
        <v>39.54</v>
      </c>
      <c r="L30" s="35" t="n">
        <v>92.5</v>
      </c>
      <c r="M30" s="35" t="n">
        <v>7.71</v>
      </c>
      <c r="N30" s="36">
        <f>SUM(B30:M30)</f>
        <v/>
      </c>
      <c r="O30" s="37" t="n">
        <v>107.66</v>
      </c>
      <c r="P30" s="37" t="n">
        <v>12.79</v>
      </c>
      <c r="Q30" s="37" t="n">
        <v>19.05</v>
      </c>
      <c r="R30" s="37" t="n">
        <v>34.20999999999999</v>
      </c>
      <c r="S30" s="37" t="n">
        <v>42.26</v>
      </c>
      <c r="T30" s="37" t="n">
        <v>62.46</v>
      </c>
      <c r="U30" s="37" t="n">
        <v>43.83</v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158.02</v>
      </c>
      <c r="C31" s="35" t="n">
        <v>184.27</v>
      </c>
      <c r="D31" s="35" t="n">
        <v>189.68</v>
      </c>
      <c r="E31" s="35" t="n">
        <v>63.74</v>
      </c>
      <c r="F31" s="35" t="n">
        <v>202.4</v>
      </c>
      <c r="G31" s="35" t="n">
        <v>267.82</v>
      </c>
      <c r="H31" s="35" t="n">
        <v>261.62</v>
      </c>
      <c r="I31" s="35" t="n">
        <v>42.89</v>
      </c>
      <c r="J31" s="35" t="n">
        <v>215.43</v>
      </c>
      <c r="K31" s="35" t="n">
        <v>821.3499999999999</v>
      </c>
      <c r="L31" s="35" t="n">
        <v>88.28</v>
      </c>
      <c r="M31" s="35" t="n">
        <v>254.5</v>
      </c>
      <c r="N31" s="36">
        <f>SUM(B31:M31)</f>
        <v/>
      </c>
      <c r="O31" s="37" t="n">
        <v>26.67</v>
      </c>
      <c r="P31" s="37" t="n">
        <v>16.99</v>
      </c>
      <c r="Q31" s="37" t="n">
        <v>99.65000000000001</v>
      </c>
      <c r="R31" s="37" t="n">
        <v>30.76</v>
      </c>
      <c r="S31" s="37" t="n">
        <v>48.77</v>
      </c>
      <c r="T31" s="37" t="n">
        <v>139.95</v>
      </c>
      <c r="U31" s="37" t="n">
        <v>191.54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46.88</v>
      </c>
      <c r="C32" s="35" t="n">
        <v>44.14</v>
      </c>
      <c r="D32" s="35" t="n">
        <v>0</v>
      </c>
      <c r="E32" s="35" t="n">
        <v>49.12</v>
      </c>
      <c r="F32" s="35" t="n">
        <v>164.65</v>
      </c>
      <c r="G32" s="35" t="n">
        <v>149.95</v>
      </c>
      <c r="H32" s="35" t="n">
        <v>186.56</v>
      </c>
      <c r="I32" s="35" t="n">
        <v>0</v>
      </c>
      <c r="J32" s="35" t="n">
        <v>102.28</v>
      </c>
      <c r="K32" s="35" t="n">
        <v>135.69</v>
      </c>
      <c r="L32" s="35" t="n">
        <v>165.15</v>
      </c>
      <c r="M32" s="35" t="n">
        <v>270.8</v>
      </c>
      <c r="N32" s="36">
        <f>SUM(B32:M32)</f>
        <v/>
      </c>
      <c r="O32" s="37" t="n">
        <v>37.28</v>
      </c>
      <c r="P32" s="37" t="n">
        <v>173.28</v>
      </c>
      <c r="Q32" s="37" t="n">
        <v>69.61</v>
      </c>
      <c r="R32" s="37" t="n">
        <v>163.95</v>
      </c>
      <c r="S32" s="37" t="n">
        <v>223.29</v>
      </c>
      <c r="T32" s="37" t="n">
        <v>304.13</v>
      </c>
      <c r="U32" s="37" t="n">
        <v>104.9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0.005200000000000001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SUMIF('HAB TB'!$R:$R,'HAB P&amp;L'!$A33,'HAB TB'!C:C)</f>
        <v/>
      </c>
      <c r="P33" s="37">
        <f>SUMIF('HAB TB'!$R:$R,'HAB P&amp;L'!$A33,'HAB TB'!D:D)</f>
        <v/>
      </c>
      <c r="Q33" s="37">
        <f>SUMIF('HAB TB'!$R:$R,'HAB P&amp;L'!$A33,'HAB TB'!E:E)</f>
        <v/>
      </c>
      <c r="R33" s="37">
        <f>SUMIF('HAB TB'!$R:$R,'HAB P&amp;L'!$A33,'HAB TB'!F:F)</f>
        <v/>
      </c>
      <c r="S33" s="37">
        <f>SUMIF('HAB TB'!$R:$R,'HAB P&amp;L'!$A33,'HAB TB'!G:G)</f>
        <v/>
      </c>
      <c r="T33" s="37">
        <f>SUMIF('HAB TB'!$R:$R,'HAB P&amp;L'!$A33,'HAB TB'!H:H)</f>
        <v/>
      </c>
      <c r="U33" s="37">
        <f>SUMIF('HAB TB'!$R:$R,'HAB P&amp;L'!$A33,'HAB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2321.62</v>
      </c>
      <c r="C34" s="42" t="n">
        <v>1565.24</v>
      </c>
      <c r="D34" s="42" t="n">
        <v>1638.04</v>
      </c>
      <c r="E34" s="42" t="n">
        <v>1338.03</v>
      </c>
      <c r="F34" s="42" t="n">
        <v>2847.93</v>
      </c>
      <c r="G34" s="42" t="n">
        <v>2014.27</v>
      </c>
      <c r="H34" s="42" t="n">
        <v>1895.43</v>
      </c>
      <c r="I34" s="42" t="n">
        <v>1348.57</v>
      </c>
      <c r="J34" s="42" t="n">
        <v>1649.42</v>
      </c>
      <c r="K34" s="42" t="n">
        <v>2893.63</v>
      </c>
      <c r="L34" s="42" t="n">
        <v>1597.74</v>
      </c>
      <c r="M34" s="42" t="n">
        <v>1561.17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4000</v>
      </c>
      <c r="C36" s="35" t="n">
        <v>4000</v>
      </c>
      <c r="D36" s="35" t="n">
        <v>4000</v>
      </c>
      <c r="E36" s="35" t="n">
        <v>4000</v>
      </c>
      <c r="F36" s="35" t="n">
        <v>4000</v>
      </c>
      <c r="G36" s="35" t="n">
        <v>4000</v>
      </c>
      <c r="H36" s="35" t="n">
        <v>4000</v>
      </c>
      <c r="I36" s="35" t="n">
        <v>4000</v>
      </c>
      <c r="J36" s="35" t="n">
        <v>4000</v>
      </c>
      <c r="K36" s="35" t="n">
        <v>4000</v>
      </c>
      <c r="L36" s="35" t="n">
        <v>4000</v>
      </c>
      <c r="M36" s="35" t="n">
        <v>4000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>
        <v>0</v>
      </c>
      <c r="W36" s="38" t="n">
        <v>0</v>
      </c>
      <c r="X36" s="38" t="n">
        <v>0</v>
      </c>
      <c r="Y36" s="38" t="n">
        <v>0</v>
      </c>
      <c r="Z36" s="38" t="n">
        <v>0</v>
      </c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288.13</v>
      </c>
      <c r="C37" s="35" t="n">
        <v>288.13</v>
      </c>
      <c r="D37" s="35" t="n">
        <v>288.13</v>
      </c>
      <c r="E37" s="35" t="n">
        <v>332.67</v>
      </c>
      <c r="F37" s="35" t="n">
        <v>332.66</v>
      </c>
      <c r="G37" s="35" t="n">
        <v>332.67</v>
      </c>
      <c r="H37" s="35" t="n">
        <v>332.67</v>
      </c>
      <c r="I37" s="35" t="n">
        <v>332.67</v>
      </c>
      <c r="J37" s="35" t="n">
        <v>332.67</v>
      </c>
      <c r="K37" s="35" t="n">
        <v>332.67</v>
      </c>
      <c r="L37" s="35" t="n">
        <v>332.67</v>
      </c>
      <c r="M37" s="35" t="n">
        <v>332.67</v>
      </c>
      <c r="N37" s="36">
        <f>SUM(B37:M37)</f>
        <v/>
      </c>
      <c r="O37" s="37" t="n">
        <v>332.66</v>
      </c>
      <c r="P37" s="37" t="n">
        <v>332.66</v>
      </c>
      <c r="Q37" s="37" t="n">
        <v>332.66</v>
      </c>
      <c r="R37" s="37" t="n">
        <v>349.3</v>
      </c>
      <c r="S37" s="37" t="n">
        <v>349.3</v>
      </c>
      <c r="T37" s="37" t="n">
        <v>1234.3</v>
      </c>
      <c r="U37" s="37" t="n">
        <v>349.3</v>
      </c>
      <c r="V37" s="38" t="n">
        <v>567</v>
      </c>
      <c r="W37" s="38" t="n">
        <v>567</v>
      </c>
      <c r="X37" s="38" t="n">
        <v>567</v>
      </c>
      <c r="Y37" s="38" t="n">
        <v>567</v>
      </c>
      <c r="Z37" s="38" t="n">
        <v>567</v>
      </c>
      <c r="AA37" s="36">
        <f>SUM(O37:U37)</f>
        <v/>
      </c>
      <c r="AB37" s="36">
        <f>SUM(O37:Z37)</f>
        <v/>
      </c>
      <c r="AC37" s="38" t="n">
        <v>567</v>
      </c>
      <c r="AD37" s="38" t="n">
        <v>567</v>
      </c>
      <c r="AE37" s="38" t="n">
        <v>567</v>
      </c>
      <c r="AF37" s="38" t="n">
        <v>567</v>
      </c>
      <c r="AG37" s="38" t="n">
        <v>567</v>
      </c>
      <c r="AH37" s="38" t="n">
        <v>567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303.39</v>
      </c>
      <c r="C38" s="35" t="n">
        <v>600.05</v>
      </c>
      <c r="D38" s="35" t="n">
        <v>339.82</v>
      </c>
      <c r="E38" s="35" t="n">
        <v>1107.55</v>
      </c>
      <c r="F38" s="35" t="n">
        <v>191.41</v>
      </c>
      <c r="G38" s="35" t="n">
        <v>433.34</v>
      </c>
      <c r="H38" s="35" t="n">
        <v>13.48</v>
      </c>
      <c r="I38" s="35" t="n">
        <v>270.72</v>
      </c>
      <c r="J38" s="35" t="n">
        <v>252.23</v>
      </c>
      <c r="K38" s="35" t="n">
        <v>193.9</v>
      </c>
      <c r="L38" s="35" t="n">
        <v>265.24</v>
      </c>
      <c r="M38" s="35" t="n">
        <v>276.9</v>
      </c>
      <c r="N38" s="36">
        <f>SUM(B38:M38)</f>
        <v/>
      </c>
      <c r="O38" s="37" t="n">
        <v>1223.6</v>
      </c>
      <c r="P38" s="37" t="n">
        <v>629.46</v>
      </c>
      <c r="Q38" s="37" t="n">
        <v>822.72</v>
      </c>
      <c r="R38" s="37" t="n">
        <v>0</v>
      </c>
      <c r="S38" s="37" t="n">
        <v>235.27</v>
      </c>
      <c r="T38" s="37" t="n">
        <v>533.9</v>
      </c>
      <c r="U38" s="37" t="n">
        <v>592.62</v>
      </c>
      <c r="V38" s="38" t="n">
        <v>370</v>
      </c>
      <c r="W38" s="38" t="n">
        <v>370</v>
      </c>
      <c r="X38" s="38" t="n">
        <v>370</v>
      </c>
      <c r="Y38" s="38" t="n">
        <v>370</v>
      </c>
      <c r="Z38" s="38" t="n">
        <v>370</v>
      </c>
      <c r="AA38" s="36">
        <f>SUM(O38:U38)</f>
        <v/>
      </c>
      <c r="AB38" s="36">
        <f>SUM(O38:Z38)</f>
        <v/>
      </c>
      <c r="AC38" s="38" t="n">
        <v>370</v>
      </c>
      <c r="AD38" s="38" t="n">
        <v>370</v>
      </c>
      <c r="AE38" s="38" t="n">
        <v>370</v>
      </c>
      <c r="AF38" s="38" t="n">
        <v>370</v>
      </c>
      <c r="AG38" s="38" t="n">
        <v>370</v>
      </c>
      <c r="AH38" s="38" t="n">
        <v>370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14.75</v>
      </c>
      <c r="C39" s="35" t="n">
        <v>860.16</v>
      </c>
      <c r="D39" s="35" t="n">
        <v>301.16</v>
      </c>
      <c r="E39" s="35" t="n">
        <v>135.95</v>
      </c>
      <c r="F39" s="35" t="n">
        <v>458.8600000000001</v>
      </c>
      <c r="G39" s="35" t="n">
        <v>143.28</v>
      </c>
      <c r="H39" s="35" t="n">
        <v>52.85</v>
      </c>
      <c r="I39" s="35" t="n">
        <v>0</v>
      </c>
      <c r="J39" s="35" t="n">
        <v>837.0300000000001</v>
      </c>
      <c r="K39" s="35" t="n">
        <v>0</v>
      </c>
      <c r="L39" s="35" t="n">
        <v>0</v>
      </c>
      <c r="M39" s="35" t="n">
        <v>0</v>
      </c>
      <c r="N39" s="36">
        <f>SUM(B39:M39)</f>
        <v/>
      </c>
      <c r="O39" s="37" t="n">
        <v>0</v>
      </c>
      <c r="P39" s="37" t="n">
        <v>150</v>
      </c>
      <c r="Q39" s="37" t="n">
        <v>407.76</v>
      </c>
      <c r="R39" s="37" t="n">
        <v>21.45</v>
      </c>
      <c r="S39" s="37" t="n">
        <v>0</v>
      </c>
      <c r="T39" s="37" t="n">
        <v>0</v>
      </c>
      <c r="U39" s="37" t="n">
        <v>132.22</v>
      </c>
      <c r="V39" s="38" t="n"/>
      <c r="W39" s="38" t="n">
        <v>2500</v>
      </c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241.17</v>
      </c>
      <c r="C40" s="35" t="n">
        <v>155.6</v>
      </c>
      <c r="D40" s="35" t="n">
        <v>234.59</v>
      </c>
      <c r="E40" s="35" t="n">
        <v>34.56</v>
      </c>
      <c r="F40" s="35" t="n">
        <v>327.88</v>
      </c>
      <c r="G40" s="35" t="n">
        <v>324.71</v>
      </c>
      <c r="H40" s="35" t="n">
        <v>295.5700000000001</v>
      </c>
      <c r="I40" s="35" t="n">
        <v>176.07</v>
      </c>
      <c r="J40" s="35" t="n">
        <v>356.1900000000001</v>
      </c>
      <c r="K40" s="35" t="n">
        <v>263.93</v>
      </c>
      <c r="L40" s="35" t="n">
        <v>133.32</v>
      </c>
      <c r="M40" s="35" t="n">
        <v>172.64</v>
      </c>
      <c r="N40" s="36">
        <f>SUM(B40:M40)</f>
        <v/>
      </c>
      <c r="O40" s="37" t="n">
        <v>283.56</v>
      </c>
      <c r="P40" s="37" t="n">
        <v>93.11</v>
      </c>
      <c r="Q40" s="37" t="n">
        <v>375.91</v>
      </c>
      <c r="R40" s="37" t="n">
        <v>96.76000000000001</v>
      </c>
      <c r="S40" s="37" t="n">
        <v>261.6</v>
      </c>
      <c r="T40" s="37" t="n">
        <v>118.25</v>
      </c>
      <c r="U40" s="37" t="n">
        <v>366.0600000000001</v>
      </c>
      <c r="V40" s="38" t="n">
        <v>240</v>
      </c>
      <c r="W40" s="38" t="n">
        <v>240</v>
      </c>
      <c r="X40" s="38" t="n">
        <v>240</v>
      </c>
      <c r="Y40" s="38" t="n">
        <v>240</v>
      </c>
      <c r="Z40" s="38" t="n">
        <v>240</v>
      </c>
      <c r="AA40" s="36">
        <f>SUM(O40:U40)</f>
        <v/>
      </c>
      <c r="AB40" s="36">
        <f>SUM(O40:Z40)</f>
        <v/>
      </c>
      <c r="AC40" s="38" t="n">
        <v>240</v>
      </c>
      <c r="AD40" s="38" t="n">
        <v>240</v>
      </c>
      <c r="AE40" s="38" t="n">
        <v>240</v>
      </c>
      <c r="AF40" s="38" t="n">
        <v>240</v>
      </c>
      <c r="AG40" s="38" t="n">
        <v>240</v>
      </c>
      <c r="AH40" s="38" t="n">
        <v>240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174</v>
      </c>
      <c r="C41" s="35" t="n">
        <v>430.4</v>
      </c>
      <c r="D41" s="35" t="n">
        <v>327.59</v>
      </c>
      <c r="E41" s="35" t="n">
        <v>331.37</v>
      </c>
      <c r="F41" s="35" t="n">
        <v>431.6</v>
      </c>
      <c r="G41" s="35" t="n">
        <v>420.67</v>
      </c>
      <c r="H41" s="35" t="n">
        <v>375.23</v>
      </c>
      <c r="I41" s="35" t="n">
        <v>402.05</v>
      </c>
      <c r="J41" s="35" t="n">
        <v>655.86</v>
      </c>
      <c r="K41" s="35" t="n">
        <v>402.05</v>
      </c>
      <c r="L41" s="35" t="n">
        <v>307.15</v>
      </c>
      <c r="M41" s="35" t="n">
        <v>360.56</v>
      </c>
      <c r="N41" s="36">
        <f>SUM(B41:M41)</f>
        <v/>
      </c>
      <c r="O41" s="37" t="n">
        <v>307.15</v>
      </c>
      <c r="P41" s="37" t="n">
        <v>307.15</v>
      </c>
      <c r="Q41" s="37" t="n">
        <v>345.56</v>
      </c>
      <c r="R41" s="37" t="n">
        <v>415.2</v>
      </c>
      <c r="S41" s="37" t="n">
        <v>343.44</v>
      </c>
      <c r="T41" s="37" t="n">
        <v>208.38</v>
      </c>
      <c r="U41" s="37" t="n">
        <v>434.15</v>
      </c>
      <c r="V41" s="38" t="n">
        <v>395</v>
      </c>
      <c r="W41" s="38" t="n">
        <v>395</v>
      </c>
      <c r="X41" s="38" t="n">
        <v>395</v>
      </c>
      <c r="Y41" s="38" t="n">
        <v>395</v>
      </c>
      <c r="Z41" s="38" t="n">
        <v>395</v>
      </c>
      <c r="AA41" s="36">
        <f>SUM(O41:U41)</f>
        <v/>
      </c>
      <c r="AB41" s="36">
        <f>SUM(O41:Z41)</f>
        <v/>
      </c>
      <c r="AC41" s="38" t="n">
        <v>395</v>
      </c>
      <c r="AD41" s="38" t="n">
        <v>395</v>
      </c>
      <c r="AE41" s="38" t="n">
        <v>395</v>
      </c>
      <c r="AF41" s="38" t="n">
        <v>395</v>
      </c>
      <c r="AG41" s="38" t="n">
        <v>395</v>
      </c>
      <c r="AH41" s="38" t="n">
        <v>395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57.7</v>
      </c>
      <c r="C42" s="35" t="n">
        <v>32.5</v>
      </c>
      <c r="D42" s="35" t="n">
        <v>46.08</v>
      </c>
      <c r="E42" s="35" t="n">
        <v>27.84</v>
      </c>
      <c r="F42" s="35" t="n">
        <v>46.06</v>
      </c>
      <c r="G42" s="35" t="n">
        <v>31.21</v>
      </c>
      <c r="H42" s="35" t="n">
        <v>278.14</v>
      </c>
      <c r="I42" s="35" t="n">
        <v>30.06</v>
      </c>
      <c r="J42" s="35" t="n">
        <v>26.83</v>
      </c>
      <c r="K42" s="35" t="n">
        <v>100.92</v>
      </c>
      <c r="L42" s="35" t="n">
        <v>34.91</v>
      </c>
      <c r="M42" s="35" t="n">
        <v>59.33000000000001</v>
      </c>
      <c r="N42" s="36">
        <f>SUM(B42:M42)</f>
        <v/>
      </c>
      <c r="O42" s="37" t="n">
        <v>256.04</v>
      </c>
      <c r="P42" s="37" t="n">
        <v>296.51</v>
      </c>
      <c r="Q42" s="37" t="n">
        <v>534</v>
      </c>
      <c r="R42" s="37" t="n">
        <v>639.8100000000001</v>
      </c>
      <c r="S42" s="37" t="n">
        <v>234.32</v>
      </c>
      <c r="T42" s="37" t="n">
        <v>166.74</v>
      </c>
      <c r="U42" s="37" t="n">
        <v>337.08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99.91</v>
      </c>
      <c r="C43" s="35" t="n">
        <v>98.52</v>
      </c>
      <c r="D43" s="35" t="n">
        <v>98.52</v>
      </c>
      <c r="E43" s="35" t="n">
        <v>99.91</v>
      </c>
      <c r="F43" s="35" t="n">
        <v>99.91</v>
      </c>
      <c r="G43" s="35" t="n">
        <v>99.91</v>
      </c>
      <c r="H43" s="35" t="n">
        <v>99.91</v>
      </c>
      <c r="I43" s="35" t="n">
        <v>99.91</v>
      </c>
      <c r="J43" s="35" t="n">
        <v>110.53</v>
      </c>
      <c r="K43" s="35" t="n">
        <v>7.5</v>
      </c>
      <c r="L43" s="35" t="n">
        <v>0</v>
      </c>
      <c r="M43" s="35" t="n">
        <v>7.5</v>
      </c>
      <c r="N43" s="36">
        <f>SUM(B43:M43)</f>
        <v/>
      </c>
      <c r="O43" s="37" t="n">
        <v>72</v>
      </c>
      <c r="P43" s="37" t="n">
        <v>30</v>
      </c>
      <c r="Q43" s="37" t="n">
        <v>0</v>
      </c>
      <c r="R43" s="37" t="n">
        <v>110</v>
      </c>
      <c r="S43" s="37" t="n">
        <v>192</v>
      </c>
      <c r="T43" s="37" t="n">
        <v>335</v>
      </c>
      <c r="U43" s="37" t="n">
        <v>75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SUMIF('HAB TB'!$R:$R,'HAB P&amp;L'!$A44,'HAB TB'!C:C)</f>
        <v/>
      </c>
      <c r="P44" s="37">
        <f>SUMIF('HAB TB'!$R:$R,'HAB P&amp;L'!$A44,'HAB TB'!D:D)</f>
        <v/>
      </c>
      <c r="Q44" s="37">
        <f>SUMIF('HAB TB'!$R:$R,'HAB P&amp;L'!$A44,'HAB TB'!E:E)</f>
        <v/>
      </c>
      <c r="R44" s="37">
        <f>SUMIF('HAB TB'!$R:$R,'HAB P&amp;L'!$A44,'HAB TB'!F:F)</f>
        <v/>
      </c>
      <c r="S44" s="37">
        <f>SUMIF('HAB TB'!$R:$R,'HAB P&amp;L'!$A44,'HAB TB'!G:G)</f>
        <v/>
      </c>
      <c r="T44" s="37">
        <f>SUMIF('HAB TB'!$R:$R,'HAB P&amp;L'!$A44,'HAB TB'!H:H)</f>
        <v/>
      </c>
      <c r="U44" s="37">
        <f>SUMIF('HAB TB'!$R:$R,'HAB P&amp;L'!$A44,'HAB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SUMIF('HAB TB'!$R:$R,'HAB P&amp;L'!$A45,'HAB TB'!C:C)</f>
        <v/>
      </c>
      <c r="P45" s="37">
        <f>SUMIF('HAB TB'!$R:$R,'HAB P&amp;L'!$A45,'HAB TB'!D:D)</f>
        <v/>
      </c>
      <c r="Q45" s="37">
        <f>SUMIF('HAB TB'!$R:$R,'HAB P&amp;L'!$A45,'HAB TB'!E:E)</f>
        <v/>
      </c>
      <c r="R45" s="37">
        <f>SUMIF('HAB TB'!$R:$R,'HAB P&amp;L'!$A45,'HAB TB'!F:F)</f>
        <v/>
      </c>
      <c r="S45" s="37">
        <f>SUMIF('HAB TB'!$R:$R,'HAB P&amp;L'!$A45,'HAB TB'!G:G)</f>
        <v/>
      </c>
      <c r="T45" s="37">
        <f>SUMIF('HAB TB'!$R:$R,'HAB P&amp;L'!$A45,'HAB TB'!H:H)</f>
        <v/>
      </c>
      <c r="U45" s="37">
        <f>SUMIF('HAB TB'!$R:$R,'HAB P&amp;L'!$A45,'HAB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SUMIF('HAB TB'!$R:$R,'HAB P&amp;L'!$A46,'HAB TB'!C:C)</f>
        <v/>
      </c>
      <c r="P46" s="37">
        <f>SUMIF('HAB TB'!$R:$R,'HAB P&amp;L'!$A46,'HAB TB'!D:D)</f>
        <v/>
      </c>
      <c r="Q46" s="37">
        <f>SUMIF('HAB TB'!$R:$R,'HAB P&amp;L'!$A46,'HAB TB'!E:E)</f>
        <v/>
      </c>
      <c r="R46" s="37">
        <f>SUMIF('HAB TB'!$R:$R,'HAB P&amp;L'!$A46,'HAB TB'!F:F)</f>
        <v/>
      </c>
      <c r="S46" s="37">
        <f>SUMIF('HAB TB'!$R:$R,'HAB P&amp;L'!$A46,'HAB TB'!G:G)</f>
        <v/>
      </c>
      <c r="T46" s="37">
        <f>SUMIF('HAB TB'!$R:$R,'HAB P&amp;L'!$A46,'HAB TB'!H:H)</f>
        <v/>
      </c>
      <c r="U46" s="37">
        <f>SUMIF('HAB TB'!$R:$R,'HAB P&amp;L'!$A46,'HAB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5179.05</v>
      </c>
      <c r="C47" s="42" t="n">
        <v>6465.360000000001</v>
      </c>
      <c r="D47" s="42" t="n">
        <v>5635.89</v>
      </c>
      <c r="E47" s="42" t="n">
        <v>6069.85</v>
      </c>
      <c r="F47" s="42" t="n">
        <v>5888.38</v>
      </c>
      <c r="G47" s="42" t="n">
        <v>5785.79</v>
      </c>
      <c r="H47" s="42" t="n">
        <v>5447.849999999999</v>
      </c>
      <c r="I47" s="42" t="n">
        <v>5311.48</v>
      </c>
      <c r="J47" s="42" t="n">
        <v>6571.339999999998</v>
      </c>
      <c r="K47" s="42" t="n">
        <v>5300.97</v>
      </c>
      <c r="L47" s="42" t="n">
        <v>5073.289999999999</v>
      </c>
      <c r="M47" s="42" t="n">
        <v>5209.6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23148.91</v>
      </c>
      <c r="C48" s="23" t="n">
        <v>26440.12</v>
      </c>
      <c r="D48" s="23" t="n">
        <v>26937.53</v>
      </c>
      <c r="E48" s="23" t="n">
        <v>28746.23</v>
      </c>
      <c r="F48" s="23" t="n">
        <v>31831.28000000001</v>
      </c>
      <c r="G48" s="23" t="n">
        <v>29807.02</v>
      </c>
      <c r="H48" s="23" t="n">
        <v>30193.16</v>
      </c>
      <c r="I48" s="23" t="n">
        <v>27984.07</v>
      </c>
      <c r="J48" s="23" t="n">
        <v>34577.26999999999</v>
      </c>
      <c r="K48" s="23" t="n">
        <v>35013.71000000001</v>
      </c>
      <c r="L48" s="23" t="n">
        <v>32589.16</v>
      </c>
      <c r="M48" s="23" t="n">
        <v>34171.99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4702.150000000005</v>
      </c>
      <c r="C50" s="55" t="n">
        <v>9830.25</v>
      </c>
      <c r="D50" s="55" t="n">
        <v>14660.06</v>
      </c>
      <c r="E50" s="55" t="n">
        <v>9405.139999999992</v>
      </c>
      <c r="F50" s="55" t="n">
        <v>3363.499999999993</v>
      </c>
      <c r="G50" s="55" t="n">
        <v>25736.44999999999</v>
      </c>
      <c r="H50" s="55" t="n">
        <v>36114.42</v>
      </c>
      <c r="I50" s="55" t="n">
        <v>14083.1</v>
      </c>
      <c r="J50" s="55" t="n">
        <v>4832.140000000014</v>
      </c>
      <c r="K50" s="55" t="n">
        <v>14782.98</v>
      </c>
      <c r="L50" s="55" t="n">
        <v>13216.52</v>
      </c>
      <c r="M50" s="55" t="n">
        <v>25856.18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SUMIF('HAB TB'!$R:$R,'HAB P&amp;L'!$A53,'HAB TB'!C:C)</f>
        <v/>
      </c>
      <c r="P53" s="37">
        <f>SUMIF('HAB TB'!$R:$R,'HAB P&amp;L'!$A53,'HAB TB'!D:D)</f>
        <v/>
      </c>
      <c r="Q53" s="37">
        <f>SUMIF('HAB TB'!$R:$R,'HAB P&amp;L'!$A53,'HAB TB'!E:E)</f>
        <v/>
      </c>
      <c r="R53" s="37">
        <f>SUMIF('HAB TB'!$R:$R,'HAB P&amp;L'!$A53,'HAB TB'!F:F)</f>
        <v/>
      </c>
      <c r="S53" s="37">
        <f>SUMIF('HAB TB'!$R:$R,'HAB P&amp;L'!$A53,'HAB TB'!G:G)</f>
        <v/>
      </c>
      <c r="T53" s="37">
        <f>SUMIF('HAB TB'!$R:$R,'HAB P&amp;L'!$A53,'HAB TB'!H:H)</f>
        <v/>
      </c>
      <c r="U53" s="37">
        <f>SUMIF('HAB TB'!$R:$R,'HAB P&amp;L'!$A53,'HAB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SUMIF('HAB TB'!$R:$R,'HAB P&amp;L'!$A54,'HAB TB'!C:C)</f>
        <v/>
      </c>
      <c r="P54" s="37">
        <f>SUMIF('HAB TB'!$R:$R,'HAB P&amp;L'!$A54,'HAB TB'!D:D)</f>
        <v/>
      </c>
      <c r="Q54" s="37">
        <f>SUMIF('HAB TB'!$R:$R,'HAB P&amp;L'!$A54,'HAB TB'!E:E)</f>
        <v/>
      </c>
      <c r="R54" s="37">
        <f>SUMIF('HAB TB'!$R:$R,'HAB P&amp;L'!$A54,'HAB TB'!F:F)</f>
        <v/>
      </c>
      <c r="S54" s="37">
        <f>SUMIF('HAB TB'!$R:$R,'HAB P&amp;L'!$A54,'HAB TB'!G:G)</f>
        <v/>
      </c>
      <c r="T54" s="37">
        <f>SUMIF('HAB TB'!$R:$R,'HAB P&amp;L'!$A54,'HAB TB'!H:H)</f>
        <v/>
      </c>
      <c r="U54" s="37">
        <f>SUMIF('HAB TB'!$R:$R,'HAB P&amp;L'!$A54,'HAB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SUMIF('HAB TB'!$R:$R,'HAB P&amp;L'!$A55,'HAB TB'!C:C)</f>
        <v/>
      </c>
      <c r="P55" s="37">
        <f>SUMIF('HAB TB'!$R:$R,'HAB P&amp;L'!$A55,'HAB TB'!D:D)</f>
        <v/>
      </c>
      <c r="Q55" s="37">
        <f>SUMIF('HAB TB'!$R:$R,'HAB P&amp;L'!$A55,'HAB TB'!E:E)</f>
        <v/>
      </c>
      <c r="R55" s="37">
        <f>SUMIF('HAB TB'!$R:$R,'HAB P&amp;L'!$A55,'HAB TB'!F:F)</f>
        <v/>
      </c>
      <c r="S55" s="37">
        <f>SUMIF('HAB TB'!$R:$R,'HAB P&amp;L'!$A55,'HAB TB'!G:G)</f>
        <v/>
      </c>
      <c r="T55" s="37">
        <f>SUMIF('HAB TB'!$R:$R,'HAB P&amp;L'!$A55,'HAB TB'!H:H)</f>
        <v/>
      </c>
      <c r="U55" s="37">
        <f>SUMIF('HAB TB'!$R:$R,'HAB P&amp;L'!$A55,'HAB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SUMIF('HAB TB'!$R:$R,'HAB P&amp;L'!$A56,'HAB TB'!C:C)</f>
        <v/>
      </c>
      <c r="P56" s="37">
        <f>SUMIF('HAB TB'!$R:$R,'HAB P&amp;L'!$A56,'HAB TB'!D:D)</f>
        <v/>
      </c>
      <c r="Q56" s="37">
        <f>SUMIF('HAB TB'!$R:$R,'HAB P&amp;L'!$A56,'HAB TB'!E:E)</f>
        <v/>
      </c>
      <c r="R56" s="37">
        <f>SUMIF('HAB TB'!$R:$R,'HAB P&amp;L'!$A56,'HAB TB'!F:F)</f>
        <v/>
      </c>
      <c r="S56" s="37">
        <f>SUMIF('HAB TB'!$R:$R,'HAB P&amp;L'!$A56,'HAB TB'!G:G)</f>
        <v/>
      </c>
      <c r="T56" s="37">
        <f>SUMIF('HAB TB'!$R:$R,'HAB P&amp;L'!$A56,'HAB TB'!H:H)</f>
        <v/>
      </c>
      <c r="U56" s="37">
        <f>SUMIF('HAB TB'!$R:$R,'HAB P&amp;L'!$A56,'HAB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360</v>
      </c>
      <c r="J57" s="35" t="n">
        <v>0</v>
      </c>
      <c r="K57" s="35" t="n">
        <v>302</v>
      </c>
      <c r="L57" s="35" t="n">
        <v>0</v>
      </c>
      <c r="M57" s="35" t="n">
        <v>0</v>
      </c>
      <c r="N57" s="36">
        <f>SUM(B57:M57)</f>
        <v/>
      </c>
      <c r="O57" s="37">
        <f>SUMIF('HAB TB'!$R:$R,'HAB P&amp;L'!$A57,'HAB TB'!C:C)</f>
        <v/>
      </c>
      <c r="P57" s="37">
        <f>SUMIF('HAB TB'!$R:$R,'HAB P&amp;L'!$A57,'HAB TB'!D:D)</f>
        <v/>
      </c>
      <c r="Q57" s="37">
        <f>SUMIF('HAB TB'!$R:$R,'HAB P&amp;L'!$A57,'HAB TB'!E:E)</f>
        <v/>
      </c>
      <c r="R57" s="37">
        <f>SUMIF('HAB TB'!$R:$R,'HAB P&amp;L'!$A57,'HAB TB'!F:F)</f>
        <v/>
      </c>
      <c r="S57" s="37">
        <f>SUMIF('HAB TB'!$R:$R,'HAB P&amp;L'!$A57,'HAB TB'!G:G)</f>
        <v/>
      </c>
      <c r="T57" s="37">
        <f>SUMIF('HAB TB'!$R:$R,'HAB P&amp;L'!$A57,'HAB TB'!H:H)</f>
        <v/>
      </c>
      <c r="U57" s="37">
        <f>SUMIF('HAB TB'!$R:$R,'HAB P&amp;L'!$A57,'HAB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SUMIF('HAB TB'!$R:$R,'HAB P&amp;L'!$A58,'HAB TB'!C:C)</f>
        <v/>
      </c>
      <c r="P58" s="37">
        <f>SUMIF('HAB TB'!$R:$R,'HAB P&amp;L'!$A58,'HAB TB'!D:D)</f>
        <v/>
      </c>
      <c r="Q58" s="37">
        <f>SUMIF('HAB TB'!$R:$R,'HAB P&amp;L'!$A58,'HAB TB'!E:E)</f>
        <v/>
      </c>
      <c r="R58" s="37">
        <f>SUMIF('HAB TB'!$R:$R,'HAB P&amp;L'!$A58,'HAB TB'!F:F)</f>
        <v/>
      </c>
      <c r="S58" s="37">
        <f>SUMIF('HAB TB'!$R:$R,'HAB P&amp;L'!$A58,'HAB TB'!G:G)</f>
        <v/>
      </c>
      <c r="T58" s="37">
        <f>SUMIF('HAB TB'!$R:$R,'HAB P&amp;L'!$A58,'HAB TB'!H:H)</f>
        <v/>
      </c>
      <c r="U58" s="37">
        <f>SUMIF('HAB TB'!$R:$R,'HAB P&amp;L'!$A58,'HAB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311.37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1.2</v>
      </c>
      <c r="C60" s="35" t="n">
        <v>1.2</v>
      </c>
      <c r="D60" s="35" t="n">
        <v>1.2</v>
      </c>
      <c r="E60" s="35" t="n">
        <v>1.2</v>
      </c>
      <c r="F60" s="35" t="n">
        <v>106.19</v>
      </c>
      <c r="G60" s="35" t="n">
        <v>111</v>
      </c>
      <c r="H60" s="35" t="n">
        <v>1.2</v>
      </c>
      <c r="I60" s="35" t="n">
        <v>46.2</v>
      </c>
      <c r="J60" s="35" t="n">
        <v>0.6</v>
      </c>
      <c r="K60" s="35" t="n">
        <v>68.8</v>
      </c>
      <c r="L60" s="35" t="n">
        <v>1.2</v>
      </c>
      <c r="M60" s="35" t="n">
        <v>1.8</v>
      </c>
      <c r="N60" s="36">
        <f>SUM(B60:M60)</f>
        <v/>
      </c>
      <c r="O60" s="37" t="n">
        <v>83.40000000000001</v>
      </c>
      <c r="P60" s="37" t="n">
        <v>2.4</v>
      </c>
      <c r="Q60" s="37" t="n">
        <v>222.4</v>
      </c>
      <c r="R60" s="37" t="n">
        <v>91.8</v>
      </c>
      <c r="S60" s="37" t="n">
        <v>1.799999999999997</v>
      </c>
      <c r="T60" s="37" t="n">
        <v>107.39</v>
      </c>
      <c r="U60" s="37" t="n">
        <v>1.2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79.86999999999999</v>
      </c>
      <c r="F61" s="35" t="n">
        <v>7.99</v>
      </c>
      <c r="G61" s="35" t="n">
        <v>68.95</v>
      </c>
      <c r="H61" s="35" t="n">
        <v>97.14</v>
      </c>
      <c r="I61" s="35" t="n">
        <v>0</v>
      </c>
      <c r="J61" s="35" t="n">
        <v>0</v>
      </c>
      <c r="K61" s="35" t="n">
        <v>80.61</v>
      </c>
      <c r="L61" s="35" t="n">
        <v>108.91</v>
      </c>
      <c r="M61" s="35" t="n">
        <v>33.88</v>
      </c>
      <c r="N61" s="36">
        <f>SUM(B61:M61)</f>
        <v/>
      </c>
      <c r="O61" s="37">
        <f>SUMIF('HAB TB'!$R:$R,'HAB P&amp;L'!$A61,'HAB TB'!C:C)</f>
        <v/>
      </c>
      <c r="P61" s="37">
        <f>SUMIF('HAB TB'!$R:$R,'HAB P&amp;L'!$A61,'HAB TB'!D:D)</f>
        <v/>
      </c>
      <c r="Q61" s="37">
        <f>SUMIF('HAB TB'!$R:$R,'HAB P&amp;L'!$A61,'HAB TB'!E:E)</f>
        <v/>
      </c>
      <c r="R61" s="37">
        <f>SUMIF('HAB TB'!$R:$R,'HAB P&amp;L'!$A61,'HAB TB'!F:F)</f>
        <v/>
      </c>
      <c r="S61" s="37">
        <f>SUMIF('HAB TB'!$R:$R,'HAB P&amp;L'!$A61,'HAB TB'!G:G)</f>
        <v/>
      </c>
      <c r="T61" s="37">
        <f>SUMIF('HAB TB'!$R:$R,'HAB P&amp;L'!$A61,'HAB TB'!H:H)</f>
        <v/>
      </c>
      <c r="U61" s="37">
        <f>SUMIF('HAB TB'!$R:$R,'HAB P&amp;L'!$A61,'HAB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28</v>
      </c>
      <c r="F62" s="35" t="n">
        <v>57</v>
      </c>
      <c r="G62" s="35" t="n">
        <v>197.4</v>
      </c>
      <c r="H62" s="35" t="n">
        <v>388</v>
      </c>
      <c r="I62" s="35" t="n">
        <v>365.6</v>
      </c>
      <c r="J62" s="35" t="n">
        <v>31</v>
      </c>
      <c r="K62" s="35" t="n">
        <v>60</v>
      </c>
      <c r="L62" s="35" t="n">
        <v>0</v>
      </c>
      <c r="M62" s="35" t="n">
        <v>0</v>
      </c>
      <c r="N62" s="36">
        <f>SUM(B62:M62)</f>
        <v/>
      </c>
      <c r="O62" s="37">
        <f>SUMIF('HAB TB'!$R:$R,'HAB P&amp;L'!$A62,'HAB TB'!C:C)</f>
        <v/>
      </c>
      <c r="P62" s="37">
        <f>SUMIF('HAB TB'!$R:$R,'HAB P&amp;L'!$A62,'HAB TB'!D:D)</f>
        <v/>
      </c>
      <c r="Q62" s="37">
        <f>SUMIF('HAB TB'!$R:$R,'HAB P&amp;L'!$A62,'HAB TB'!E:E)</f>
        <v/>
      </c>
      <c r="R62" s="37">
        <f>SUMIF('HAB TB'!$R:$R,'HAB P&amp;L'!$A62,'HAB TB'!F:F)</f>
        <v/>
      </c>
      <c r="S62" s="37">
        <f>SUMIF('HAB TB'!$R:$R,'HAB P&amp;L'!$A62,'HAB TB'!G:G)</f>
        <v/>
      </c>
      <c r="T62" s="37">
        <f>SUMIF('HAB TB'!$R:$R,'HAB P&amp;L'!$A62,'HAB TB'!H:H)</f>
        <v/>
      </c>
      <c r="U62" s="37">
        <f>SUMIF('HAB TB'!$R:$R,'HAB P&amp;L'!$A62,'HAB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SUMIF('HAB TB'!$R:$R,'HAB P&amp;L'!$A63,'HAB TB'!C:C)</f>
        <v/>
      </c>
      <c r="P63" s="37">
        <f>SUMIF('HAB TB'!$R:$R,'HAB P&amp;L'!$A63,'HAB TB'!D:D)</f>
        <v/>
      </c>
      <c r="Q63" s="37">
        <f>SUMIF('HAB TB'!$R:$R,'HAB P&amp;L'!$A63,'HAB TB'!E:E)</f>
        <v/>
      </c>
      <c r="R63" s="37">
        <f>SUMIF('HAB TB'!$R:$R,'HAB P&amp;L'!$A63,'HAB TB'!F:F)</f>
        <v/>
      </c>
      <c r="S63" s="37">
        <f>SUMIF('HAB TB'!$R:$R,'HAB P&amp;L'!$A63,'HAB TB'!G:G)</f>
        <v/>
      </c>
      <c r="T63" s="37">
        <f>SUMIF('HAB TB'!$R:$R,'HAB P&amp;L'!$A63,'HAB TB'!H:H)</f>
        <v/>
      </c>
      <c r="U63" s="37">
        <f>SUMIF('HAB TB'!$R:$R,'HAB P&amp;L'!$A63,'HAB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SUMIF('HAB TB'!$R:$R,'HAB P&amp;L'!$A64,'HAB TB'!C:C)</f>
        <v/>
      </c>
      <c r="P64" s="37">
        <f>SUMIF('HAB TB'!$R:$R,'HAB P&amp;L'!$A64,'HAB TB'!D:D)</f>
        <v/>
      </c>
      <c r="Q64" s="37">
        <f>SUMIF('HAB TB'!$R:$R,'HAB P&amp;L'!$A64,'HAB TB'!E:E)</f>
        <v/>
      </c>
      <c r="R64" s="37">
        <f>SUMIF('HAB TB'!$R:$R,'HAB P&amp;L'!$A64,'HAB TB'!F:F)</f>
        <v/>
      </c>
      <c r="S64" s="37">
        <f>SUMIF('HAB TB'!$R:$R,'HAB P&amp;L'!$A64,'HAB TB'!G:G)</f>
        <v/>
      </c>
      <c r="T64" s="37">
        <f>SUMIF('HAB TB'!$R:$R,'HAB P&amp;L'!$A64,'HAB TB'!H:H)</f>
        <v/>
      </c>
      <c r="U64" s="37">
        <f>SUMIF('HAB TB'!$R:$R,'HAB P&amp;L'!$A64,'HAB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SUMIF('HAB TB'!$R:$R,'HAB P&amp;L'!$A65,'HAB TB'!C:C)</f>
        <v/>
      </c>
      <c r="P65" s="37">
        <f>SUMIF('HAB TB'!$R:$R,'HAB P&amp;L'!$A65,'HAB TB'!D:D)</f>
        <v/>
      </c>
      <c r="Q65" s="37">
        <f>SUMIF('HAB TB'!$R:$R,'HAB P&amp;L'!$A65,'HAB TB'!E:E)</f>
        <v/>
      </c>
      <c r="R65" s="37">
        <f>SUMIF('HAB TB'!$R:$R,'HAB P&amp;L'!$A65,'HAB TB'!F:F)</f>
        <v/>
      </c>
      <c r="S65" s="37">
        <f>SUMIF('HAB TB'!$R:$R,'HAB P&amp;L'!$A65,'HAB TB'!G:G)</f>
        <v/>
      </c>
      <c r="T65" s="37">
        <f>SUMIF('HAB TB'!$R:$R,'HAB P&amp;L'!$A65,'HAB TB'!H:H)</f>
        <v/>
      </c>
      <c r="U65" s="37">
        <f>SUMIF('HAB TB'!$R:$R,'HAB P&amp;L'!$A65,'HAB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SUMIF('HAB TB'!$R:$R,'HAB P&amp;L'!$A66,'HAB TB'!C:C)</f>
        <v/>
      </c>
      <c r="P66" s="37">
        <f>SUMIF('HAB TB'!$R:$R,'HAB P&amp;L'!$A66,'HAB TB'!D:D)</f>
        <v/>
      </c>
      <c r="Q66" s="37">
        <f>SUMIF('HAB TB'!$R:$R,'HAB P&amp;L'!$A66,'HAB TB'!E:E)</f>
        <v/>
      </c>
      <c r="R66" s="37">
        <f>SUMIF('HAB TB'!$R:$R,'HAB P&amp;L'!$A66,'HAB TB'!F:F)</f>
        <v/>
      </c>
      <c r="S66" s="37">
        <f>SUMIF('HAB TB'!$R:$R,'HAB P&amp;L'!$A66,'HAB TB'!G:G)</f>
        <v/>
      </c>
      <c r="T66" s="37">
        <f>SUMIF('HAB TB'!$R:$R,'HAB P&amp;L'!$A66,'HAB TB'!H:H)</f>
        <v/>
      </c>
      <c r="U66" s="37">
        <f>SUMIF('HAB TB'!$R:$R,'HAB P&amp;L'!$A66,'HAB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1304.8</v>
      </c>
      <c r="F67" s="35" t="n">
        <v>0</v>
      </c>
      <c r="G67" s="35" t="n">
        <v>0</v>
      </c>
      <c r="H67" s="35" t="n">
        <v>42.75</v>
      </c>
      <c r="I67" s="35" t="n">
        <v>-157.25</v>
      </c>
      <c r="J67" s="35" t="n">
        <v>42.75</v>
      </c>
      <c r="K67" s="35" t="n">
        <v>42.75</v>
      </c>
      <c r="L67" s="35" t="n">
        <v>42.75</v>
      </c>
      <c r="M67" s="35" t="n">
        <v>877.95</v>
      </c>
      <c r="N67" s="36">
        <f>SUM(B67:M67)</f>
        <v/>
      </c>
      <c r="O67" s="37">
        <f>SUMIF('HAB TB'!$R:$R,'HAB P&amp;L'!$A67,'HAB TB'!C:C)</f>
        <v/>
      </c>
      <c r="P67" s="37">
        <f>SUMIF('HAB TB'!$R:$R,'HAB P&amp;L'!$A67,'HAB TB'!D:D)</f>
        <v/>
      </c>
      <c r="Q67" s="37">
        <f>SUMIF('HAB TB'!$R:$R,'HAB P&amp;L'!$A67,'HAB TB'!E:E)</f>
        <v/>
      </c>
      <c r="R67" s="37">
        <f>SUMIF('HAB TB'!$R:$R,'HAB P&amp;L'!$A67,'HAB TB'!F:F)</f>
        <v/>
      </c>
      <c r="S67" s="37">
        <f>SUMIF('HAB TB'!$R:$R,'HAB P&amp;L'!$A67,'HAB TB'!G:G)</f>
        <v/>
      </c>
      <c r="T67" s="37">
        <f>SUMIF('HAB TB'!$R:$R,'HAB P&amp;L'!$A67,'HAB TB'!H:H)</f>
        <v/>
      </c>
      <c r="U67" s="37">
        <f>SUMIF('HAB TB'!$R:$R,'HAB P&amp;L'!$A67,'HAB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8.5</v>
      </c>
      <c r="C68" s="35" t="n">
        <v>8.5</v>
      </c>
      <c r="D68" s="35" t="n">
        <v>68.5</v>
      </c>
      <c r="E68" s="35" t="n">
        <v>9.35</v>
      </c>
      <c r="F68" s="35" t="n">
        <v>8.5</v>
      </c>
      <c r="G68" s="35" t="n">
        <v>8.5</v>
      </c>
      <c r="H68" s="35" t="n">
        <v>8.5</v>
      </c>
      <c r="I68" s="35" t="n">
        <v>8.5</v>
      </c>
      <c r="J68" s="35" t="n">
        <v>8.5</v>
      </c>
      <c r="K68" s="35" t="n">
        <v>8.5</v>
      </c>
      <c r="L68" s="35" t="n">
        <v>16</v>
      </c>
      <c r="M68" s="35" t="n">
        <v>8.5</v>
      </c>
      <c r="N68" s="36">
        <f>SUM(B68:M68)</f>
        <v/>
      </c>
      <c r="O68" s="37">
        <f>SUMIF('HAB TB'!$R:$R,'HAB P&amp;L'!$A68,'HAB TB'!C:C)</f>
        <v/>
      </c>
      <c r="P68" s="37">
        <f>SUMIF('HAB TB'!$R:$R,'HAB P&amp;L'!$A68,'HAB TB'!D:D)</f>
        <v/>
      </c>
      <c r="Q68" s="37">
        <f>SUMIF('HAB TB'!$R:$R,'HAB P&amp;L'!$A68,'HAB TB'!E:E)</f>
        <v/>
      </c>
      <c r="R68" s="37">
        <f>SUMIF('HAB TB'!$R:$R,'HAB P&amp;L'!$A68,'HAB TB'!F:F)</f>
        <v/>
      </c>
      <c r="S68" s="37">
        <f>SUMIF('HAB TB'!$R:$R,'HAB P&amp;L'!$A68,'HAB TB'!G:G)</f>
        <v/>
      </c>
      <c r="T68" s="37">
        <f>SUMIF('HAB TB'!$R:$R,'HAB P&amp;L'!$A68,'HAB TB'!H:H)</f>
        <v/>
      </c>
      <c r="U68" s="37">
        <f>SUMIF('HAB TB'!$R:$R,'HAB P&amp;L'!$A68,'HAB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211.08</v>
      </c>
      <c r="C69" s="42" t="n">
        <v>211.08</v>
      </c>
      <c r="D69" s="42" t="n">
        <v>271.08</v>
      </c>
      <c r="E69" s="42" t="n">
        <v>1624.6</v>
      </c>
      <c r="F69" s="42" t="n">
        <v>381.05</v>
      </c>
      <c r="G69" s="42" t="n">
        <v>587.23</v>
      </c>
      <c r="H69" s="42" t="n">
        <v>738.97</v>
      </c>
      <c r="I69" s="42" t="n">
        <v>934.4200000000001</v>
      </c>
      <c r="J69" s="42" t="n">
        <v>284.23</v>
      </c>
      <c r="K69" s="42" t="n">
        <v>777.4599999999999</v>
      </c>
      <c r="L69" s="42" t="n">
        <v>383.66</v>
      </c>
      <c r="M69" s="42" t="n">
        <v>1136.93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4491.070000000005</v>
      </c>
      <c r="C70" s="55" t="n">
        <v>9619.17</v>
      </c>
      <c r="D70" s="55" t="n">
        <v>14388.98</v>
      </c>
      <c r="E70" s="55" t="n">
        <v>7780.539999999992</v>
      </c>
      <c r="F70" s="55" t="n">
        <v>2982.449999999993</v>
      </c>
      <c r="G70" s="55" t="n">
        <v>25149.21999999999</v>
      </c>
      <c r="H70" s="55" t="n">
        <v>35375.45</v>
      </c>
      <c r="I70" s="55" t="n">
        <v>13148.68</v>
      </c>
      <c r="J70" s="55" t="n">
        <v>4547.910000000014</v>
      </c>
      <c r="K70" s="55" t="n">
        <v>14005.52</v>
      </c>
      <c r="L70" s="55" t="n">
        <v>12832.86</v>
      </c>
      <c r="M70" s="55" t="n">
        <v>24719.25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60">
        <f>SUM(O71:T71)</f>
        <v/>
      </c>
      <c r="AB71" s="56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2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34" t="inlineStr">
        <is>
          <t>Borrowing Costs</t>
        </is>
      </c>
      <c r="B73" s="8" t="n"/>
      <c r="C73" s="8" t="n"/>
      <c r="D73" s="8" t="n"/>
      <c r="E73" s="8" t="n"/>
      <c r="F73" s="8" t="n"/>
      <c r="G73" s="8" t="n"/>
      <c r="H73" s="8" t="n"/>
      <c r="I73" s="56" t="n"/>
      <c r="J73" s="56" t="n"/>
      <c r="K73" s="56" t="n"/>
      <c r="L73" s="56" t="n"/>
      <c r="M73" s="56" t="n"/>
      <c r="N73" s="56" t="n"/>
      <c r="O73" s="60" t="n">
        <v>0</v>
      </c>
      <c r="P73" s="60" t="n">
        <v>0</v>
      </c>
      <c r="Q73" s="60" t="n">
        <v>0</v>
      </c>
      <c r="R73" s="60" t="n">
        <v>0</v>
      </c>
      <c r="S73" s="60" t="n">
        <v>0</v>
      </c>
      <c r="T73" s="60" t="n">
        <v>0</v>
      </c>
      <c r="U73" s="60" t="n">
        <v>1</v>
      </c>
      <c r="V73" s="60" t="n">
        <v>0</v>
      </c>
      <c r="W73" s="60" t="n">
        <v>0</v>
      </c>
      <c r="X73" s="60" t="n">
        <v>0</v>
      </c>
      <c r="Y73" s="60" t="n">
        <v>0</v>
      </c>
      <c r="Z73" s="60" t="n">
        <v>0</v>
      </c>
      <c r="AA73" s="8" t="n"/>
      <c r="AB73" s="60">
        <f>SUM(O73:Z73)</f>
        <v/>
      </c>
      <c r="AC73" s="8" t="n"/>
      <c r="AD73" s="8" t="n"/>
      <c r="AE73" s="8" t="n"/>
      <c r="AF73" s="8" t="n"/>
      <c r="AG73" s="8" t="n"/>
      <c r="AH73" s="8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34" t="inlineStr">
        <is>
          <t>Depreciation</t>
        </is>
      </c>
      <c r="B74" s="8" t="n"/>
      <c r="C74" s="8" t="n"/>
      <c r="D74" s="8" t="n"/>
      <c r="E74" s="8" t="n"/>
      <c r="F74" s="8" t="n"/>
      <c r="G74" s="8" t="n"/>
      <c r="H74" s="8" t="n"/>
      <c r="I74" s="56" t="n"/>
      <c r="J74" s="56" t="n"/>
      <c r="K74" s="56" t="n"/>
      <c r="L74" s="56" t="n"/>
      <c r="M74" s="56" t="n"/>
      <c r="N74" s="56" t="n"/>
      <c r="O74" s="60" t="n">
        <v>134.8375</v>
      </c>
      <c r="P74" s="60" t="n">
        <v>134.8375</v>
      </c>
      <c r="Q74" s="60" t="n">
        <v>134.8375</v>
      </c>
      <c r="R74" s="60" t="n">
        <v>134.8375</v>
      </c>
      <c r="S74" s="60" t="n">
        <v>134.8375</v>
      </c>
      <c r="T74" s="60" t="n">
        <v>134.8375</v>
      </c>
      <c r="U74" s="60" t="n">
        <v>135.8375</v>
      </c>
      <c r="V74" s="60" t="n">
        <v>134.8375</v>
      </c>
      <c r="W74" s="60" t="n">
        <v>134.8375</v>
      </c>
      <c r="X74" s="60" t="n">
        <v>134.8375</v>
      </c>
      <c r="Y74" s="60" t="n">
        <v>134.8375</v>
      </c>
      <c r="Z74" s="60" t="n">
        <v>134.8375</v>
      </c>
      <c r="AA74" s="8" t="n"/>
      <c r="AB74" s="60">
        <f>SUM(O74:Z74)</f>
        <v/>
      </c>
      <c r="AC74" s="8" t="n"/>
      <c r="AD74" s="8" t="n"/>
      <c r="AE74" s="8" t="n"/>
      <c r="AF74" s="8" t="n"/>
      <c r="AG74" s="8" t="n"/>
      <c r="AH74" s="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Amortisation</t>
        </is>
      </c>
      <c r="B75" s="8" t="n"/>
      <c r="C75" s="8" t="n"/>
      <c r="D75" s="8" t="n"/>
      <c r="E75" s="8" t="n"/>
      <c r="F75" s="8" t="n"/>
      <c r="G75" s="8" t="n"/>
      <c r="H75" s="8" t="n"/>
      <c r="I75" s="56" t="n"/>
      <c r="J75" s="56" t="n"/>
      <c r="K75" s="56" t="n"/>
      <c r="L75" s="56" t="n"/>
      <c r="M75" s="56" t="n"/>
      <c r="N75" s="56" t="n"/>
      <c r="O75" s="60" t="n">
        <v>0</v>
      </c>
      <c r="P75" s="60" t="n">
        <v>0</v>
      </c>
      <c r="Q75" s="60" t="n">
        <v>0</v>
      </c>
      <c r="R75" s="60" t="n">
        <v>0</v>
      </c>
      <c r="S75" s="60" t="n">
        <v>0</v>
      </c>
      <c r="T75" s="60" t="n">
        <v>0</v>
      </c>
      <c r="U75" s="60" t="n">
        <v>1</v>
      </c>
      <c r="V75" s="60" t="n">
        <v>0</v>
      </c>
      <c r="W75" s="60" t="n">
        <v>0</v>
      </c>
      <c r="X75" s="60" t="n">
        <v>0</v>
      </c>
      <c r="Y75" s="60" t="n">
        <v>0</v>
      </c>
      <c r="Z75" s="60" t="n">
        <v>0</v>
      </c>
      <c r="AA75" s="8" t="n"/>
      <c r="AB75" s="60">
        <f>SUM(O75:Z75)</f>
        <v/>
      </c>
      <c r="AC75" s="8" t="n"/>
      <c r="AD75" s="8" t="n"/>
      <c r="AE75" s="8" t="n"/>
      <c r="AF75" s="8" t="n"/>
      <c r="AG75" s="8" t="n"/>
      <c r="AH75" s="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70" t="inlineStr">
        <is>
          <t>Profit Before Tax</t>
        </is>
      </c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>
        <f>O70-SUM(O73:O75)</f>
        <v/>
      </c>
      <c r="P76" s="56">
        <f>P70-SUM(P73:P75)</f>
        <v/>
      </c>
      <c r="Q76" s="56">
        <f>Q70-SUM(Q73:Q75)</f>
        <v/>
      </c>
      <c r="R76" s="56">
        <f>R70-SUM(R73:R75)</f>
        <v/>
      </c>
      <c r="S76" s="56">
        <f>S70-SUM(S73:S75)</f>
        <v/>
      </c>
      <c r="T76" s="56">
        <f>T70-SUM(T73:T75)</f>
        <v/>
      </c>
      <c r="U76" s="56">
        <f>U70-SUM(U73:U75)</f>
        <v/>
      </c>
      <c r="V76" s="56">
        <f>V70-SUM(V73:V75)</f>
        <v/>
      </c>
      <c r="W76" s="56">
        <f>W70-SUM(W73:W75)</f>
        <v/>
      </c>
      <c r="X76" s="56">
        <f>X70-SUM(X73:X75)</f>
        <v/>
      </c>
      <c r="Y76" s="56">
        <f>Y70-SUM(Y73:Y75)</f>
        <v/>
      </c>
      <c r="Z76" s="56">
        <f>Z70-SUM(Z73:Z75)</f>
        <v/>
      </c>
      <c r="AA76" s="56" t="n"/>
      <c r="AB76" s="56">
        <f>AB70-SUM(AB73:AB75)</f>
        <v/>
      </c>
      <c r="AC76" s="56" t="n"/>
      <c r="AD76" s="56" t="n"/>
      <c r="AE76" s="56" t="n"/>
      <c r="AF76" s="56" t="n"/>
      <c r="AG76" s="56" t="n"/>
      <c r="AH76" s="56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 ht="15.75" customHeight="1">
      <c r="A77" s="71" t="inlineStr">
        <is>
          <t>Corp Tax Due</t>
        </is>
      </c>
      <c r="B77" s="64" t="n"/>
      <c r="C77" s="64" t="n"/>
      <c r="D77" s="64" t="n"/>
      <c r="E77" s="64" t="n"/>
      <c r="F77" s="64" t="n"/>
      <c r="G77" s="64" t="n"/>
      <c r="H77" s="64" t="n"/>
      <c r="I77" s="72" t="n"/>
      <c r="J77" s="72" t="n"/>
      <c r="K77" s="72" t="n"/>
      <c r="L77" s="72" t="n"/>
      <c r="M77" s="72" t="n"/>
      <c r="N77" s="72" t="n"/>
      <c r="O77" s="72">
        <f>(O76*0.25)</f>
        <v/>
      </c>
      <c r="P77" s="72">
        <f>(P76*0.25)</f>
        <v/>
      </c>
      <c r="Q77" s="72">
        <f>(Q76*0.25)</f>
        <v/>
      </c>
      <c r="R77" s="72">
        <f>(R76*0.25)</f>
        <v/>
      </c>
      <c r="S77" s="72">
        <f>(S76*0.25)</f>
        <v/>
      </c>
      <c r="T77" s="72">
        <f>(T76*0.25)</f>
        <v/>
      </c>
      <c r="U77" s="72">
        <f>(U76*0.25)</f>
        <v/>
      </c>
      <c r="V77" s="72">
        <f>(V76*0.25)</f>
        <v/>
      </c>
      <c r="W77" s="72">
        <f>(W76*0.25)</f>
        <v/>
      </c>
      <c r="X77" s="72">
        <f>(X76*0.25)</f>
        <v/>
      </c>
      <c r="Y77" s="72">
        <f>(Y76*0.25)</f>
        <v/>
      </c>
      <c r="Z77" s="72">
        <f>(Z76*0.25)</f>
        <v/>
      </c>
      <c r="AA77" s="72" t="n"/>
      <c r="AB77" s="72">
        <f>(AB76*0.25)</f>
        <v/>
      </c>
      <c r="AC77" s="72" t="n"/>
      <c r="AD77" s="72" t="n"/>
      <c r="AE77" s="72" t="n"/>
      <c r="AF77" s="72" t="n"/>
      <c r="AG77" s="72" t="n"/>
      <c r="AH77" s="72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 ht="15.75" customHeight="1">
      <c r="A78" s="34" t="n"/>
      <c r="B78" s="8" t="n"/>
      <c r="C78" s="8" t="n"/>
      <c r="D78" s="8" t="n"/>
      <c r="E78" s="8" t="n"/>
      <c r="F78" s="8" t="n"/>
      <c r="G78" s="8" t="n"/>
      <c r="H78" s="8" t="n"/>
      <c r="I78" s="56" t="n"/>
      <c r="J78" s="56" t="n"/>
      <c r="K78" s="56" t="n"/>
      <c r="L78" s="56" t="n"/>
      <c r="M78" s="56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6" t="n"/>
      <c r="X78" s="56" t="n"/>
      <c r="Y78" s="56" t="n"/>
      <c r="Z78" s="56" t="n"/>
      <c r="AA78" s="56" t="n"/>
      <c r="AB78" s="56" t="n"/>
      <c r="AC78" s="56" t="n"/>
      <c r="AD78" s="56" t="n"/>
      <c r="AE78" s="56" t="n"/>
      <c r="AF78" s="56" t="n"/>
      <c r="AG78" s="56" t="n"/>
      <c r="AH78" s="56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34" t="n"/>
      <c r="B79" s="8" t="n"/>
      <c r="C79" s="8" t="n"/>
      <c r="D79" s="8" t="n"/>
      <c r="E79" s="8" t="n"/>
      <c r="F79" s="8" t="n"/>
      <c r="G79" s="8" t="n"/>
      <c r="H79" s="8" t="n"/>
      <c r="I79" s="56" t="n"/>
      <c r="J79" s="56" t="n"/>
      <c r="K79" s="56" t="n"/>
      <c r="L79" s="56" t="n"/>
      <c r="M79" s="56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  <c r="AC79" s="56" t="n"/>
      <c r="AD79" s="56" t="n"/>
      <c r="AE79" s="56" t="n"/>
      <c r="AF79" s="56" t="n"/>
      <c r="AG79" s="56" t="n"/>
      <c r="AH79" s="56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>
      <c r="A80" s="34" t="n"/>
      <c r="B80" s="8" t="n"/>
      <c r="C80" s="8" t="n"/>
      <c r="D80" s="8" t="n"/>
      <c r="E80" s="8" t="n"/>
      <c r="F80" s="8" t="n"/>
      <c r="G80" s="8" t="n"/>
      <c r="H80" s="8" t="n"/>
      <c r="I80" s="56" t="n"/>
      <c r="J80" s="56" t="n"/>
      <c r="K80" s="56" t="n"/>
      <c r="L80" s="56" t="n"/>
      <c r="M80" s="56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6" t="n"/>
      <c r="X80" s="56" t="n"/>
      <c r="Y80" s="56" t="n"/>
      <c r="Z80" s="56" t="n"/>
      <c r="AA80" s="56" t="n"/>
      <c r="AB80" s="56" t="n"/>
      <c r="AC80" s="56" t="n"/>
      <c r="AD80" s="56" t="n"/>
      <c r="AE80" s="56" t="n"/>
      <c r="AF80" s="56" t="n"/>
      <c r="AG80" s="56" t="n"/>
      <c r="AH80" s="56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34" t="n"/>
      <c r="B81" s="8" t="n"/>
      <c r="C81" s="8" t="n"/>
      <c r="D81" s="8" t="n"/>
      <c r="E81" s="8" t="n"/>
      <c r="F81" s="8" t="n"/>
      <c r="G81" s="8" t="n"/>
      <c r="H81" s="8" t="n"/>
      <c r="I81" s="56" t="n"/>
      <c r="J81" s="56" t="n"/>
      <c r="K81" s="56" t="n"/>
      <c r="L81" s="56" t="n"/>
      <c r="M81" s="56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  <c r="AC81" s="56" t="n"/>
      <c r="AD81" s="56" t="n"/>
      <c r="AE81" s="56" t="n"/>
      <c r="AF81" s="56" t="n"/>
      <c r="AG81" s="56" t="n"/>
      <c r="AH81" s="56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34" t="n"/>
      <c r="B82" s="8" t="n"/>
      <c r="C82" s="8" t="n"/>
      <c r="D82" s="8" t="n"/>
      <c r="E82" s="8" t="n"/>
      <c r="F82" s="8" t="n"/>
      <c r="G82" s="8" t="n"/>
      <c r="H82" s="8" t="n"/>
      <c r="I82" s="56" t="n"/>
      <c r="J82" s="56" t="n"/>
      <c r="K82" s="56" t="n"/>
      <c r="L82" s="56" t="n"/>
      <c r="M82" s="56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6" t="n"/>
      <c r="X82" s="56" t="n"/>
      <c r="Y82" s="56" t="n"/>
      <c r="Z82" s="56" t="n"/>
      <c r="AA82" s="56" t="n"/>
      <c r="AB82" s="56" t="n"/>
      <c r="AC82" s="56" t="n"/>
      <c r="AD82" s="56" t="n"/>
      <c r="AE82" s="56" t="n"/>
      <c r="AF82" s="56" t="n"/>
      <c r="AG82" s="56" t="n"/>
      <c r="AH82" s="56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34" t="n"/>
      <c r="B83" s="8" t="n"/>
      <c r="C83" s="8" t="n"/>
      <c r="D83" s="8" t="n"/>
      <c r="E83" s="8" t="n"/>
      <c r="F83" s="8" t="n"/>
      <c r="G83" s="8" t="n"/>
      <c r="H83" s="8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  <c r="AC83" s="56" t="n"/>
      <c r="AD83" s="56" t="n"/>
      <c r="AE83" s="56" t="n"/>
      <c r="AF83" s="56" t="n"/>
      <c r="AG83" s="56" t="n"/>
      <c r="AH83" s="56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34" t="n"/>
      <c r="B84" s="8" t="n"/>
      <c r="C84" s="8" t="n"/>
      <c r="D84" s="8" t="n"/>
      <c r="E84" s="8" t="n"/>
      <c r="F84" s="8" t="n"/>
      <c r="G84" s="8" t="n"/>
      <c r="H84" s="8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6" t="n"/>
      <c r="X84" s="56" t="n"/>
      <c r="Y84" s="56" t="n"/>
      <c r="Z84" s="56" t="n"/>
      <c r="AA84" s="56" t="n"/>
      <c r="AB84" s="56" t="n"/>
      <c r="AC84" s="56" t="n"/>
      <c r="AD84" s="56" t="n"/>
      <c r="AE84" s="56" t="n"/>
      <c r="AF84" s="56" t="n"/>
      <c r="AG84" s="56" t="n"/>
      <c r="AH84" s="56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60" t="inlineStr">
        <is>
          <t>Memo</t>
        </is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60">
        <f>SUM(O85:T85)</f>
        <v/>
      </c>
      <c r="AB85" s="56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Direct - Sales</t>
        </is>
      </c>
      <c r="B86" s="60" t="n">
        <v>27851.06</v>
      </c>
      <c r="C86" s="60" t="n">
        <v>36270.37</v>
      </c>
      <c r="D86" s="60" t="n">
        <v>41597.59</v>
      </c>
      <c r="E86" s="60" t="n">
        <v>38151.37</v>
      </c>
      <c r="F86" s="60" t="n">
        <v>35194.78</v>
      </c>
      <c r="G86" s="60" t="n">
        <v>55543.46999999999</v>
      </c>
      <c r="H86" s="60" t="n">
        <v>66307.58</v>
      </c>
      <c r="I86" s="60" t="n">
        <v>42067.17</v>
      </c>
      <c r="J86" s="60" t="n">
        <v>39409.41</v>
      </c>
      <c r="K86" s="60" t="n">
        <v>49796.69</v>
      </c>
      <c r="L86" s="60" t="n">
        <v>45805.68</v>
      </c>
      <c r="M86" s="8" t="n"/>
      <c r="N86" s="8" t="n"/>
      <c r="O86" s="60">
        <f>-SUMIF('HAB TB'!$T:$T,'HAB P&amp;L'!$A86,'HAB TB'!C:C)</f>
        <v/>
      </c>
      <c r="P86" s="60">
        <f>-SUMIF('HAB TB'!$T:$T,'HAB P&amp;L'!$A86,'HAB TB'!D:D)</f>
        <v/>
      </c>
      <c r="Q86" s="60">
        <f>-SUMIF('HAB TB'!$T:$T,'HAB P&amp;L'!$A86,'HAB TB'!E:E)</f>
        <v/>
      </c>
      <c r="R86" s="60">
        <f>-SUMIF('HAB TB'!$T:$T,'HAB P&amp;L'!$A86,'HAB TB'!F:F)</f>
        <v/>
      </c>
      <c r="S86" s="60">
        <f>-SUMIF('HAB TB'!$T:$T,'HAB P&amp;L'!$A86,'HAB TB'!G:G)</f>
        <v/>
      </c>
      <c r="T86" s="60">
        <f>-SUMIF('HAB TB'!$T:$T,'HAB P&amp;L'!$A86,'HAB TB'!H:H)</f>
        <v/>
      </c>
      <c r="U86" s="60">
        <f>-SUMIF('HAB TB'!$T:$T,'HAB P&amp;L'!$A86,'HAB TB'!I:I)</f>
        <v/>
      </c>
      <c r="V86" s="60">
        <f>-SUMIF('HAB TB'!$T:$T,'HAB P&amp;L'!$A86,'HAB TB'!J:J)</f>
        <v/>
      </c>
      <c r="W86" s="60">
        <f>-SUMIF('HAB TB'!$T:$T,'HAB P&amp;L'!$A86,'HAB TB'!K:K)</f>
        <v/>
      </c>
      <c r="X86" s="60">
        <f>-SUMIF('HAB TB'!$T:$T,'HAB P&amp;L'!$A86,'HAB TB'!L:L)</f>
        <v/>
      </c>
      <c r="Y86" s="60">
        <f>-SUMIF('HAB TB'!$T:$T,'HAB P&amp;L'!$A86,'HAB TB'!M:M)</f>
        <v/>
      </c>
      <c r="Z86" s="60">
        <f>-SUMIF('HAB TB'!$T:$T,'HAB P&amp;L'!$A86,'HAB TB'!N:N)</f>
        <v/>
      </c>
      <c r="AA86" s="60">
        <f>SUM(O86:T86)</f>
        <v/>
      </c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34" t="inlineStr">
        <is>
          <t>Direct - Staff Cost</t>
        </is>
      </c>
      <c r="B87" s="60" t="n">
        <v>-15648.24</v>
      </c>
      <c r="C87" s="60" t="n">
        <v>-18409.52</v>
      </c>
      <c r="D87" s="60" t="n">
        <v>-19663.6</v>
      </c>
      <c r="E87" s="60" t="n">
        <v>-21338.35</v>
      </c>
      <c r="F87" s="60" t="n">
        <v>-23094.97</v>
      </c>
      <c r="G87" s="60" t="n">
        <v>-22006.96</v>
      </c>
      <c r="H87" s="60" t="n">
        <v>-22849.88</v>
      </c>
      <c r="I87" s="60" t="n">
        <v>-21324.02</v>
      </c>
      <c r="J87" s="60" t="n">
        <v>-26356.50999999999</v>
      </c>
      <c r="K87" s="60" t="n">
        <v>-26819.11</v>
      </c>
      <c r="L87" s="60" t="n">
        <v>-25918.13</v>
      </c>
      <c r="M87" s="8" t="n"/>
      <c r="N87" s="8" t="n"/>
      <c r="O87" s="60">
        <f>-SUMIF('HAB TB'!$T:$T,'HAB P&amp;L'!$A87,'HAB TB'!C:C)</f>
        <v/>
      </c>
      <c r="P87" s="60">
        <f>-SUMIF('HAB TB'!$T:$T,'HAB P&amp;L'!$A87,'HAB TB'!D:D)</f>
        <v/>
      </c>
      <c r="Q87" s="60">
        <f>-SUMIF('HAB TB'!$T:$T,'HAB P&amp;L'!$A87,'HAB TB'!E:E)</f>
        <v/>
      </c>
      <c r="R87" s="60">
        <f>-SUMIF('HAB TB'!$T:$T,'HAB P&amp;L'!$A87,'HAB TB'!F:F)</f>
        <v/>
      </c>
      <c r="S87" s="60">
        <f>-SUMIF('HAB TB'!$T:$T,'HAB P&amp;L'!$A87,'HAB TB'!G:G)</f>
        <v/>
      </c>
      <c r="T87" s="60">
        <f>-SUMIF('HAB TB'!$T:$T,'HAB P&amp;L'!$A87,'HAB TB'!H:H)</f>
        <v/>
      </c>
      <c r="U87" s="60">
        <f>-SUMIF('HAB TB'!$T:$T,'HAB P&amp;L'!$A87,'HAB TB'!I:I)</f>
        <v/>
      </c>
      <c r="V87" s="60">
        <f>-SUMIF('HAB TB'!$T:$T,'HAB P&amp;L'!$A87,'HAB TB'!J:J)</f>
        <v/>
      </c>
      <c r="W87" s="60">
        <f>-SUMIF('HAB TB'!$T:$T,'HAB P&amp;L'!$A87,'HAB TB'!K:K)</f>
        <v/>
      </c>
      <c r="X87" s="60">
        <f>-SUMIF('HAB TB'!$T:$T,'HAB P&amp;L'!$A87,'HAB TB'!L:L)</f>
        <v/>
      </c>
      <c r="Y87" s="60">
        <f>-SUMIF('HAB TB'!$T:$T,'HAB P&amp;L'!$A87,'HAB TB'!M:M)</f>
        <v/>
      </c>
      <c r="Z87" s="60">
        <f>-SUMIF('HAB TB'!$T:$T,'HAB P&amp;L'!$A87,'HAB TB'!N:N)</f>
        <v/>
      </c>
      <c r="AA87" s="60">
        <f>SUM(O87:T87)</f>
        <v/>
      </c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60" t="inlineStr">
        <is>
          <t>Direct - Childcare Cost</t>
        </is>
      </c>
      <c r="B88" s="60" t="n">
        <v>-2321.62</v>
      </c>
      <c r="C88" s="60" t="n">
        <v>-1565.24</v>
      </c>
      <c r="D88" s="60" t="n">
        <v>-1638.04</v>
      </c>
      <c r="E88" s="60" t="n">
        <v>-1338.03</v>
      </c>
      <c r="F88" s="60" t="n">
        <v>-2847.929999999999</v>
      </c>
      <c r="G88" s="60" t="n">
        <v>-2014.27</v>
      </c>
      <c r="H88" s="60" t="n">
        <v>-1895.43</v>
      </c>
      <c r="I88" s="60" t="n">
        <v>-1348.57</v>
      </c>
      <c r="J88" s="60" t="n">
        <v>-1649.42</v>
      </c>
      <c r="K88" s="60" t="n">
        <v>-2893.63</v>
      </c>
      <c r="L88" s="60" t="n">
        <v>-1597.74</v>
      </c>
      <c r="M88" s="60" t="n">
        <v>-1561.17</v>
      </c>
      <c r="N88" s="8" t="n"/>
      <c r="O88" s="60">
        <f>-SUMIF('HAB TB'!$T:$T,'HAB P&amp;L'!$A88,'HAB TB'!C:C)</f>
        <v/>
      </c>
      <c r="P88" s="60">
        <f>-SUMIF('HAB TB'!$T:$T,'HAB P&amp;L'!$A88,'HAB TB'!D:D)</f>
        <v/>
      </c>
      <c r="Q88" s="60">
        <f>-SUMIF('HAB TB'!$T:$T,'HAB P&amp;L'!$A88,'HAB TB'!E:E)</f>
        <v/>
      </c>
      <c r="R88" s="60">
        <f>-SUMIF('HAB TB'!$T:$T,'HAB P&amp;L'!$A88,'HAB TB'!F:F)</f>
        <v/>
      </c>
      <c r="S88" s="60">
        <f>-SUMIF('HAB TB'!$T:$T,'HAB P&amp;L'!$A88,'HAB TB'!G:G)</f>
        <v/>
      </c>
      <c r="T88" s="60">
        <f>-SUMIF('HAB TB'!$T:$T,'HAB P&amp;L'!$A88,'HAB TB'!H:H)</f>
        <v/>
      </c>
      <c r="U88" s="60">
        <f>-SUMIF('HAB TB'!$T:$T,'HAB P&amp;L'!$A88,'HAB TB'!I:I)</f>
        <v/>
      </c>
      <c r="V88" s="60">
        <f>-SUMIF('HAB TB'!$T:$T,'HAB P&amp;L'!$A88,'HAB TB'!J:J)</f>
        <v/>
      </c>
      <c r="W88" s="60">
        <f>-SUMIF('HAB TB'!$T:$T,'HAB P&amp;L'!$A88,'HAB TB'!K:K)</f>
        <v/>
      </c>
      <c r="X88" s="60">
        <f>-SUMIF('HAB TB'!$T:$T,'HAB P&amp;L'!$A88,'HAB TB'!L:L)</f>
        <v/>
      </c>
      <c r="Y88" s="60">
        <f>-SUMIF('HAB TB'!$T:$T,'HAB P&amp;L'!$A88,'HAB TB'!M:M)</f>
        <v/>
      </c>
      <c r="Z88" s="60">
        <f>-SUMIF('HAB TB'!$T:$T,'HAB P&amp;L'!$A88,'HAB TB'!N:N)</f>
        <v/>
      </c>
      <c r="AA88" s="60">
        <f>SUM(O88:T88)</f>
        <v/>
      </c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60" t="inlineStr">
        <is>
          <t>Direct - Premises &amp; Admin</t>
        </is>
      </c>
      <c r="B89" s="60" t="n">
        <v>-5179.05</v>
      </c>
      <c r="C89" s="60" t="n">
        <v>-6465.360000000001</v>
      </c>
      <c r="D89" s="60" t="n">
        <v>-5635.89</v>
      </c>
      <c r="E89" s="60" t="n">
        <v>-6069.85</v>
      </c>
      <c r="F89" s="60" t="n">
        <v>-5888.38</v>
      </c>
      <c r="G89" s="60" t="n">
        <v>-5785.790000000001</v>
      </c>
      <c r="H89" s="60" t="n">
        <v>-5447.849999999999</v>
      </c>
      <c r="I89" s="60" t="n">
        <v>-5311.48</v>
      </c>
      <c r="J89" s="60" t="n">
        <v>-6571.339999999998</v>
      </c>
      <c r="K89" s="60" t="n">
        <v>-5300.97</v>
      </c>
      <c r="L89" s="60" t="n">
        <v>-5073.289999999999</v>
      </c>
      <c r="M89" s="60" t="n">
        <v>-5209.6</v>
      </c>
      <c r="N89" s="8" t="n"/>
      <c r="O89" s="60">
        <f>-SUMIF('HAB TB'!$T:$T,'HAB P&amp;L'!$A89,'HAB TB'!C:C)</f>
        <v/>
      </c>
      <c r="P89" s="60">
        <f>-SUMIF('HAB TB'!$T:$T,'HAB P&amp;L'!$A89,'HAB TB'!D:D)</f>
        <v/>
      </c>
      <c r="Q89" s="60">
        <f>-SUMIF('HAB TB'!$T:$T,'HAB P&amp;L'!$A89,'HAB TB'!E:E)</f>
        <v/>
      </c>
      <c r="R89" s="60">
        <f>-SUMIF('HAB TB'!$T:$T,'HAB P&amp;L'!$A89,'HAB TB'!F:F)</f>
        <v/>
      </c>
      <c r="S89" s="60">
        <f>-SUMIF('HAB TB'!$T:$T,'HAB P&amp;L'!$A89,'HAB TB'!G:G)</f>
        <v/>
      </c>
      <c r="T89" s="60">
        <f>-SUMIF('HAB TB'!$T:$T,'HAB P&amp;L'!$A89,'HAB TB'!H:H)</f>
        <v/>
      </c>
      <c r="U89" s="60">
        <f>-SUMIF('HAB TB'!$T:$T,'HAB P&amp;L'!$A89,'HAB TB'!I:I)</f>
        <v/>
      </c>
      <c r="V89" s="60">
        <f>-SUMIF('HAB TB'!$T:$T,'HAB P&amp;L'!$A89,'HAB TB'!J:J)</f>
        <v/>
      </c>
      <c r="W89" s="60">
        <f>-SUMIF('HAB TB'!$T:$T,'HAB P&amp;L'!$A89,'HAB TB'!K:K)</f>
        <v/>
      </c>
      <c r="X89" s="60">
        <f>-SUMIF('HAB TB'!$T:$T,'HAB P&amp;L'!$A89,'HAB TB'!L:L)</f>
        <v/>
      </c>
      <c r="Y89" s="60">
        <f>-SUMIF('HAB TB'!$T:$T,'HAB P&amp;L'!$A89,'HAB TB'!M:M)</f>
        <v/>
      </c>
      <c r="Z89" s="60">
        <f>-SUMIF('HAB TB'!$T:$T,'HAB P&amp;L'!$A89,'HAB TB'!N:N)</f>
        <v/>
      </c>
      <c r="AA89" s="60">
        <f>SUM(O89:T89)</f>
        <v/>
      </c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60" t="inlineStr">
        <is>
          <t>In-Direct - Staff Cost</t>
        </is>
      </c>
      <c r="B90" s="60" t="n">
        <v>0</v>
      </c>
      <c r="C90" s="60" t="n">
        <v>0</v>
      </c>
      <c r="D90" s="60" t="n">
        <v>0</v>
      </c>
      <c r="E90" s="60" t="n">
        <v>0</v>
      </c>
      <c r="F90" s="60" t="n">
        <v>0</v>
      </c>
      <c r="G90" s="60" t="n">
        <v>0</v>
      </c>
      <c r="H90" s="60" t="n">
        <v>0</v>
      </c>
      <c r="I90" s="60" t="n">
        <v>0</v>
      </c>
      <c r="J90" s="60" t="n">
        <v>0</v>
      </c>
      <c r="K90" s="60" t="n">
        <v>0</v>
      </c>
      <c r="L90" s="60" t="n">
        <v>0</v>
      </c>
      <c r="M90" s="60" t="n">
        <v>0</v>
      </c>
      <c r="N90" s="8" t="n"/>
      <c r="O90" s="60">
        <f>-SUMIF('HAB TB'!$T:$T,'HAB P&amp;L'!$A90,'HAB TB'!C:C)</f>
        <v/>
      </c>
      <c r="P90" s="60">
        <f>-SUMIF('HAB TB'!$T:$T,'HAB P&amp;L'!$A90,'HAB TB'!D:D)</f>
        <v/>
      </c>
      <c r="Q90" s="60">
        <f>-SUMIF('HAB TB'!$T:$T,'HAB P&amp;L'!$A90,'HAB TB'!E:E)</f>
        <v/>
      </c>
      <c r="R90" s="60">
        <f>-SUMIF('HAB TB'!$T:$T,'HAB P&amp;L'!$A90,'HAB TB'!F:F)</f>
        <v/>
      </c>
      <c r="S90" s="60">
        <f>-SUMIF('HAB TB'!$T:$T,'HAB P&amp;L'!$A90,'HAB TB'!G:G)</f>
        <v/>
      </c>
      <c r="T90" s="60">
        <f>-SUMIF('HAB TB'!$T:$T,'HAB P&amp;L'!$A90,'HAB TB'!H:H)</f>
        <v/>
      </c>
      <c r="U90" s="60">
        <f>-SUMIF('HAB TB'!$T:$T,'HAB P&amp;L'!$A90,'HAB TB'!I:I)</f>
        <v/>
      </c>
      <c r="V90" s="60">
        <f>-SUMIF('HAB TB'!$T:$T,'HAB P&amp;L'!$A90,'HAB TB'!J:J)</f>
        <v/>
      </c>
      <c r="W90" s="60">
        <f>-SUMIF('HAB TB'!$T:$T,'HAB P&amp;L'!$A90,'HAB TB'!K:K)</f>
        <v/>
      </c>
      <c r="X90" s="60">
        <f>-SUMIF('HAB TB'!$T:$T,'HAB P&amp;L'!$A90,'HAB TB'!L:L)</f>
        <v/>
      </c>
      <c r="Y90" s="60">
        <f>-SUMIF('HAB TB'!$T:$T,'HAB P&amp;L'!$A90,'HAB TB'!M:M)</f>
        <v/>
      </c>
      <c r="Z90" s="60">
        <f>-SUMIF('HAB TB'!$T:$T,'HAB P&amp;L'!$A90,'HAB TB'!N:N)</f>
        <v/>
      </c>
      <c r="AA90" s="60">
        <f>SUM(O90:T90)</f>
        <v/>
      </c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In-Direct - Overheads</t>
        </is>
      </c>
      <c r="B91" s="60" t="n">
        <v>-211.08</v>
      </c>
      <c r="C91" s="60" t="n">
        <v>-211.08</v>
      </c>
      <c r="D91" s="60" t="n">
        <v>-271.08</v>
      </c>
      <c r="E91" s="60" t="n">
        <v>-1624.6</v>
      </c>
      <c r="F91" s="60" t="n">
        <v>-381.05</v>
      </c>
      <c r="G91" s="60" t="n">
        <v>-587.23</v>
      </c>
      <c r="H91" s="60" t="n">
        <v>-738.97</v>
      </c>
      <c r="I91" s="60" t="n">
        <v>-934.4200000000001</v>
      </c>
      <c r="J91" s="60" t="n">
        <v>-284.23</v>
      </c>
      <c r="K91" s="60" t="n">
        <v>-777.4599999999999</v>
      </c>
      <c r="L91" s="60" t="n">
        <v>-383.66</v>
      </c>
      <c r="M91" s="60" t="n">
        <v>-1136.93</v>
      </c>
      <c r="N91" s="8" t="n"/>
      <c r="O91" s="60">
        <f>-SUMIF('HAB TB'!$T:$T,'HAB P&amp;L'!$A91,'HAB TB'!C:C)</f>
        <v/>
      </c>
      <c r="P91" s="60">
        <f>-SUMIF('HAB TB'!$T:$T,'HAB P&amp;L'!$A91,'HAB TB'!D:D)</f>
        <v/>
      </c>
      <c r="Q91" s="60">
        <f>-SUMIF('HAB TB'!$T:$T,'HAB P&amp;L'!$A91,'HAB TB'!E:E)</f>
        <v/>
      </c>
      <c r="R91" s="60">
        <f>-SUMIF('HAB TB'!$T:$T,'HAB P&amp;L'!$A91,'HAB TB'!F:F)</f>
        <v/>
      </c>
      <c r="S91" s="60">
        <f>-SUMIF('HAB TB'!$T:$T,'HAB P&amp;L'!$A91,'HAB TB'!G:G)</f>
        <v/>
      </c>
      <c r="T91" s="60">
        <f>-SUMIF('HAB TB'!$T:$T,'HAB P&amp;L'!$A91,'HAB TB'!H:H)</f>
        <v/>
      </c>
      <c r="U91" s="60">
        <f>-SUMIF('HAB TB'!$T:$T,'HAB P&amp;L'!$A91,'HAB TB'!I:I)</f>
        <v/>
      </c>
      <c r="V91" s="60">
        <f>-SUMIF('HAB TB'!$T:$T,'HAB P&amp;L'!$A91,'HAB TB'!J:J)</f>
        <v/>
      </c>
      <c r="W91" s="60">
        <f>-SUMIF('HAB TB'!$T:$T,'HAB P&amp;L'!$A91,'HAB TB'!K:K)</f>
        <v/>
      </c>
      <c r="X91" s="60">
        <f>-SUMIF('HAB TB'!$T:$T,'HAB P&amp;L'!$A91,'HAB TB'!L:L)</f>
        <v/>
      </c>
      <c r="Y91" s="60">
        <f>-SUMIF('HAB TB'!$T:$T,'HAB P&amp;L'!$A91,'HAB TB'!M:M)</f>
        <v/>
      </c>
      <c r="Z91" s="60">
        <f>-SUMIF('HAB TB'!$T:$T,'HAB P&amp;L'!$A91,'HAB TB'!N:N)</f>
        <v/>
      </c>
      <c r="AA91" s="60">
        <f>SUM(O91:T91)</f>
        <v/>
      </c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 ht="15.75" customHeight="1">
      <c r="A92" s="8" t="n"/>
      <c r="B92" s="64" t="n">
        <v>4491.070000000004</v>
      </c>
      <c r="C92" s="64" t="n">
        <v>9619.170000000002</v>
      </c>
      <c r="D92" s="64" t="n">
        <v>14388.98</v>
      </c>
      <c r="E92" s="64" t="n">
        <v>7780.539999999992</v>
      </c>
      <c r="F92" s="64" t="n">
        <v>2982.449999999993</v>
      </c>
      <c r="G92" s="64" t="n">
        <v>25149.21999999999</v>
      </c>
      <c r="H92" s="64" t="n">
        <v>35375.45</v>
      </c>
      <c r="I92" s="64" t="n">
        <v>13148.68</v>
      </c>
      <c r="J92" s="64" t="n">
        <v>4547.910000000011</v>
      </c>
      <c r="K92" s="64" t="n">
        <v>14005.52</v>
      </c>
      <c r="L92" s="64" t="n">
        <v>12832.86</v>
      </c>
      <c r="M92" s="64" t="n">
        <v>-7907.700000000001</v>
      </c>
      <c r="N92" s="8" t="n"/>
      <c r="O92" s="64">
        <f>SUM(O86:O91)</f>
        <v/>
      </c>
      <c r="P92" s="64">
        <f>SUM(P86:P91)</f>
        <v/>
      </c>
      <c r="Q92" s="64">
        <f>SUM(Q86:Q91)</f>
        <v/>
      </c>
      <c r="R92" s="64">
        <f>SUM(R86:R91)</f>
        <v/>
      </c>
      <c r="S92" s="64">
        <f>SUM(S86:S91)</f>
        <v/>
      </c>
      <c r="T92" s="64">
        <f>SUM(T86:T91)</f>
        <v/>
      </c>
      <c r="U92" s="64">
        <f>SUM(U86:U91)</f>
        <v/>
      </c>
      <c r="V92" s="64">
        <f>SUM(V86:V91)</f>
        <v/>
      </c>
      <c r="W92" s="64">
        <f>SUM(W86:W91)</f>
        <v/>
      </c>
      <c r="X92" s="64">
        <f>SUM(X86:X91)</f>
        <v/>
      </c>
      <c r="Y92" s="64">
        <f>SUM(Y86:Y91)</f>
        <v/>
      </c>
      <c r="Z92" s="64">
        <f>SUM(Z86:Z91)</f>
        <v/>
      </c>
      <c r="AA92" s="60">
        <f>SUM(O92:T92)</f>
        <v/>
      </c>
      <c r="AB92" s="8" t="n"/>
      <c r="AC92" s="64" t="n"/>
      <c r="AD92" s="64" t="n"/>
      <c r="AE92" s="64" t="n"/>
      <c r="AF92" s="64" t="n"/>
      <c r="AG92" s="64" t="n"/>
      <c r="AH92" s="64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 ht="15.75" customHeight="1">
      <c r="A93" s="8" t="n"/>
      <c r="B93" s="60" t="n">
        <v>0</v>
      </c>
      <c r="C93" s="60" t="n">
        <v>0</v>
      </c>
      <c r="D93" s="60" t="n">
        <v>0</v>
      </c>
      <c r="E93" s="60" t="n">
        <v>0</v>
      </c>
      <c r="F93" s="60" t="n">
        <v>0</v>
      </c>
      <c r="G93" s="60" t="n">
        <v>0</v>
      </c>
      <c r="H93" s="60" t="n">
        <v>0</v>
      </c>
      <c r="I93" s="60" t="n">
        <v>0</v>
      </c>
      <c r="J93" s="60" t="n">
        <v>0</v>
      </c>
      <c r="K93" s="60" t="n">
        <v>0</v>
      </c>
      <c r="L93" s="60" t="n">
        <v>0</v>
      </c>
      <c r="M93" s="60" t="n">
        <v>32626.95</v>
      </c>
      <c r="N93" s="8" t="n"/>
      <c r="O93" s="60">
        <f>+O70-O92</f>
        <v/>
      </c>
      <c r="P93" s="60">
        <f>+P70-P92</f>
        <v/>
      </c>
      <c r="Q93" s="60">
        <f>+Q70-Q92</f>
        <v/>
      </c>
      <c r="R93" s="60">
        <f>+R70-R92</f>
        <v/>
      </c>
      <c r="S93" s="60">
        <f>+S70-S92</f>
        <v/>
      </c>
      <c r="T93" s="60">
        <f>+T70-T92</f>
        <v/>
      </c>
      <c r="U93" s="60">
        <f>+U70-U92</f>
        <v/>
      </c>
      <c r="V93" s="60">
        <f>+V70-V92</f>
        <v/>
      </c>
      <c r="W93" s="60">
        <f>+W70-W92</f>
        <v/>
      </c>
      <c r="X93" s="60">
        <f>+X70-X92</f>
        <v/>
      </c>
      <c r="Y93" s="60">
        <f>+Y70-Y92</f>
        <v/>
      </c>
      <c r="Z93" s="60">
        <f>+Z70-Z92</f>
        <v/>
      </c>
      <c r="AA93" s="60">
        <f>SUM(O93:T93)</f>
        <v/>
      </c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60" t="n">
        <v>0</v>
      </c>
      <c r="C95" s="60" t="n">
        <v>0</v>
      </c>
      <c r="D95" s="60" t="n">
        <v>0</v>
      </c>
      <c r="E95" s="60" t="n">
        <v>0</v>
      </c>
      <c r="F95" s="60" t="n">
        <v>-8.640199666842818e-12</v>
      </c>
      <c r="G95" s="60" t="n">
        <v>0</v>
      </c>
      <c r="H95" s="60" t="n">
        <v>0</v>
      </c>
      <c r="I95" s="60" t="n">
        <v>0</v>
      </c>
      <c r="J95" s="60" t="n">
        <v>0</v>
      </c>
      <c r="K95" s="60" t="n">
        <v>0</v>
      </c>
      <c r="L95" s="60" t="n">
        <v>0</v>
      </c>
      <c r="M95" s="60" t="n">
        <v>-32626.94999999999</v>
      </c>
      <c r="N95" s="8" t="n"/>
      <c r="O95" s="60">
        <f>O92+O96</f>
        <v/>
      </c>
      <c r="P95" s="60">
        <f>P92+P96</f>
        <v/>
      </c>
      <c r="Q95" s="60">
        <f>Q92+Q96</f>
        <v/>
      </c>
      <c r="R95" s="60">
        <f>R92+R96</f>
        <v/>
      </c>
      <c r="S95" s="60">
        <f>S92+S96</f>
        <v/>
      </c>
      <c r="T95" s="60">
        <f>T92+T96</f>
        <v/>
      </c>
      <c r="U95" s="60">
        <f>U92+U96</f>
        <v/>
      </c>
      <c r="V95" s="60">
        <f>V92+V96</f>
        <v/>
      </c>
      <c r="W95" s="60">
        <f>W92+W96</f>
        <v/>
      </c>
      <c r="X95" s="60">
        <f>X92+X96</f>
        <v/>
      </c>
      <c r="Y95" s="60">
        <f>Y92+Y96</f>
        <v/>
      </c>
      <c r="Z95" s="60">
        <f>Z92+Z96</f>
        <v/>
      </c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60" t="n">
        <v>-4491.070000000002</v>
      </c>
      <c r="C96" s="60" t="n">
        <v>-9619.170000000006</v>
      </c>
      <c r="D96" s="60" t="n">
        <v>-14388.98</v>
      </c>
      <c r="E96" s="60" t="n">
        <v>-7780.539999999989</v>
      </c>
      <c r="F96" s="60" t="n">
        <v>-2982.450000000002</v>
      </c>
      <c r="G96" s="60" t="n">
        <v>-25149.21999999999</v>
      </c>
      <c r="H96" s="60" t="n">
        <v>-35375.45</v>
      </c>
      <c r="I96" s="60" t="n">
        <v>-13148.68</v>
      </c>
      <c r="J96" s="60" t="n">
        <v>-4547.910000000006</v>
      </c>
      <c r="K96" s="60" t="n">
        <v>-14005.52</v>
      </c>
      <c r="L96" s="60" t="n">
        <v>-12832.86</v>
      </c>
      <c r="M96" s="60" t="n">
        <v>-24719.24999999999</v>
      </c>
      <c r="N96" s="8" t="n"/>
      <c r="O96" s="60">
        <f>SUM('HAB TB'!C2:C46)</f>
        <v/>
      </c>
      <c r="P96" s="60">
        <f>SUM('HAB TB'!D2:D46)</f>
        <v/>
      </c>
      <c r="Q96" s="60">
        <f>SUM('HAB TB'!E2:E46)</f>
        <v/>
      </c>
      <c r="R96" s="60">
        <f>SUM('HAB TB'!F2:F46)</f>
        <v/>
      </c>
      <c r="S96" s="60">
        <f>SUM('HAB TB'!G2:G46)</f>
        <v/>
      </c>
      <c r="T96" s="60">
        <f>SUM('HAB TB'!H2:H46)</f>
        <v/>
      </c>
      <c r="U96" s="60">
        <f>SUM('HAB TB'!I2:I46)</f>
        <v/>
      </c>
      <c r="V96" s="60">
        <f>SUM('HAB TB'!J2:J46)</f>
        <v/>
      </c>
      <c r="W96" s="60">
        <f>SUM('HAB TB'!K2:K46)</f>
        <v/>
      </c>
      <c r="X96" s="60">
        <f>SUM('HAB TB'!L2:L46)</f>
        <v/>
      </c>
      <c r="Y96" s="60">
        <f>SUM('HAB TB'!M2:M46)</f>
        <v/>
      </c>
      <c r="Z96" s="60">
        <f>SUM('HAB TB'!N2:N46)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Hazebrouck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44526.36</v>
      </c>
      <c r="C8" s="35" t="n">
        <v>42668.15</v>
      </c>
      <c r="D8" s="35" t="n">
        <v>49356.27</v>
      </c>
      <c r="E8" s="35" t="n">
        <v>55745.42</v>
      </c>
      <c r="F8" s="35" t="n">
        <v>50381.74</v>
      </c>
      <c r="G8" s="35" t="n">
        <v>50496.26</v>
      </c>
      <c r="H8" s="35" t="n">
        <v>61970.37</v>
      </c>
      <c r="I8" s="35" t="n">
        <v>50217.38</v>
      </c>
      <c r="J8" s="35" t="n">
        <v>36754.18</v>
      </c>
      <c r="K8" s="35" t="n">
        <v>35941.95</v>
      </c>
      <c r="L8" s="35" t="n">
        <v>31455.98</v>
      </c>
      <c r="M8" s="35" t="n">
        <v>43997.17</v>
      </c>
      <c r="N8" s="36">
        <f>SUM(B8:M8)</f>
        <v/>
      </c>
      <c r="O8" s="37" t="n">
        <v>40552.59</v>
      </c>
      <c r="P8" s="37" t="n">
        <v>36292.38999999999</v>
      </c>
      <c r="Q8" s="37" t="n">
        <v>41164.89999999999</v>
      </c>
      <c r="R8" s="37" t="n">
        <v>42853.82999999999</v>
      </c>
      <c r="S8" s="37" t="n">
        <v>34239.50999999999</v>
      </c>
      <c r="T8" s="37" t="n">
        <v>35527.34</v>
      </c>
      <c r="U8" s="37" t="n">
        <v>44114.17999999999</v>
      </c>
      <c r="V8" s="38" t="n">
        <v>38209</v>
      </c>
      <c r="W8" s="38" t="n">
        <v>28974</v>
      </c>
      <c r="X8" s="38" t="n">
        <v>31722</v>
      </c>
      <c r="Y8" s="38" t="n">
        <v>31557</v>
      </c>
      <c r="Z8" s="38" t="n">
        <v>38081</v>
      </c>
      <c r="AA8" s="36">
        <f>SUM(O8:U8)</f>
        <v/>
      </c>
      <c r="AB8" s="36">
        <f>SUM(O8:Z8)</f>
        <v/>
      </c>
      <c r="AC8" s="38" t="n">
        <v>59616.39</v>
      </c>
      <c r="AD8" s="38" t="n">
        <v>56865.4</v>
      </c>
      <c r="AE8" s="38" t="n">
        <v>68454.33</v>
      </c>
      <c r="AF8" s="38" t="n">
        <v>58114.53</v>
      </c>
      <c r="AG8" s="38" t="n">
        <v>45217.21</v>
      </c>
      <c r="AH8" s="38" t="n">
        <v>47158.84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16877.61</v>
      </c>
      <c r="C9" s="35" t="n">
        <v>16877.61</v>
      </c>
      <c r="D9" s="35" t="n">
        <v>17395.39</v>
      </c>
      <c r="E9" s="35" t="n">
        <v>12211.58</v>
      </c>
      <c r="F9" s="35" t="n">
        <v>12211.58</v>
      </c>
      <c r="G9" s="35" t="n">
        <v>12211.58</v>
      </c>
      <c r="H9" s="35" t="n">
        <v>35264.02</v>
      </c>
      <c r="I9" s="35" t="n">
        <v>0</v>
      </c>
      <c r="J9" s="35" t="n">
        <v>14082.29</v>
      </c>
      <c r="K9" s="35" t="n">
        <v>14082.29</v>
      </c>
      <c r="L9" s="35" t="n">
        <v>33950.17</v>
      </c>
      <c r="M9" s="35" t="n">
        <v>34388.31</v>
      </c>
      <c r="N9" s="36">
        <f>SUM(B9:M9)</f>
        <v/>
      </c>
      <c r="O9" s="37" t="n">
        <v>24341.41</v>
      </c>
      <c r="P9" s="37" t="n">
        <v>24341.41</v>
      </c>
      <c r="Q9" s="37" t="n">
        <v>31208.03</v>
      </c>
      <c r="R9" s="37" t="n">
        <v>23609.06</v>
      </c>
      <c r="S9" s="37" t="n">
        <v>23609.06</v>
      </c>
      <c r="T9" s="37" t="n">
        <v>26879.66</v>
      </c>
      <c r="U9" s="37" t="n">
        <v>24032.53</v>
      </c>
      <c r="V9" s="38" t="n"/>
      <c r="W9" s="38" t="n">
        <v>22105.08</v>
      </c>
      <c r="X9" s="38" t="n">
        <v>27987</v>
      </c>
      <c r="Y9" s="38" t="n">
        <v>27276</v>
      </c>
      <c r="Z9" s="38" t="n">
        <v>11777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100</v>
      </c>
      <c r="C10" s="35" t="n">
        <v>100</v>
      </c>
      <c r="D10" s="35" t="n">
        <v>150</v>
      </c>
      <c r="E10" s="35" t="n">
        <v>150</v>
      </c>
      <c r="F10" s="35" t="n">
        <v>150</v>
      </c>
      <c r="G10" s="35" t="n">
        <v>150</v>
      </c>
      <c r="H10" s="35" t="n">
        <v>150</v>
      </c>
      <c r="I10" s="35" t="n">
        <v>3333.04</v>
      </c>
      <c r="J10" s="35" t="n">
        <v>150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 t="n">
        <v>150</v>
      </c>
      <c r="P10" s="37" t="n">
        <v>150</v>
      </c>
      <c r="Q10" s="37" t="n">
        <v>150</v>
      </c>
      <c r="R10" s="37" t="n">
        <v>150</v>
      </c>
      <c r="S10" s="37" t="n">
        <v>150</v>
      </c>
      <c r="T10" s="37" t="n">
        <v>150</v>
      </c>
      <c r="U10" s="37" t="n">
        <v>150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61503.97</v>
      </c>
      <c r="C11" s="42" t="n">
        <v>59645.76</v>
      </c>
      <c r="D11" s="42" t="n">
        <v>66901.66</v>
      </c>
      <c r="E11" s="42" t="n">
        <v>68107</v>
      </c>
      <c r="F11" s="42" t="n">
        <v>62743.32</v>
      </c>
      <c r="G11" s="42" t="n">
        <v>62857.84</v>
      </c>
      <c r="H11" s="42" t="n">
        <v>97384.39</v>
      </c>
      <c r="I11" s="42" t="n">
        <v>53550.42</v>
      </c>
      <c r="J11" s="42" t="n">
        <v>50986.47</v>
      </c>
      <c r="K11" s="42" t="n">
        <v>50174.24</v>
      </c>
      <c r="L11" s="42" t="n">
        <v>65556.14999999999</v>
      </c>
      <c r="M11" s="42" t="n">
        <v>78535.48000000001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24899.66</v>
      </c>
      <c r="C16" s="35" t="n">
        <v>26577.82</v>
      </c>
      <c r="D16" s="35" t="n">
        <v>26925.91</v>
      </c>
      <c r="E16" s="35" t="n">
        <v>29092.65</v>
      </c>
      <c r="F16" s="35" t="n">
        <v>30703.98</v>
      </c>
      <c r="G16" s="35" t="n">
        <v>32699.41</v>
      </c>
      <c r="H16" s="35" t="n">
        <v>32041.49</v>
      </c>
      <c r="I16" s="35" t="n">
        <v>30033.99</v>
      </c>
      <c r="J16" s="35" t="n">
        <v>30047.01</v>
      </c>
      <c r="K16" s="35" t="n">
        <v>23930.87</v>
      </c>
      <c r="L16" s="35" t="n">
        <v>23821.02</v>
      </c>
      <c r="M16" s="35" t="n">
        <v>27265.52</v>
      </c>
      <c r="N16" s="36">
        <f>SUM(B16:M16)</f>
        <v/>
      </c>
      <c r="O16" s="37" t="n">
        <v>28276.3</v>
      </c>
      <c r="P16" s="37" t="n">
        <v>26802.27</v>
      </c>
      <c r="Q16" s="37" t="n">
        <v>25382.96</v>
      </c>
      <c r="R16" s="37" t="n">
        <v>25595.28</v>
      </c>
      <c r="S16" s="37" t="n">
        <v>24639.07</v>
      </c>
      <c r="T16" s="37" t="n">
        <v>24164.19</v>
      </c>
      <c r="U16" s="37" t="n">
        <v>25386.13</v>
      </c>
      <c r="V16" s="38" t="n">
        <v>25386.13</v>
      </c>
      <c r="W16" s="38" t="n">
        <v>25386.13</v>
      </c>
      <c r="X16" s="38" t="n">
        <v>25386.13</v>
      </c>
      <c r="Y16" s="38" t="n">
        <v>25386.13</v>
      </c>
      <c r="Z16" s="38" t="n">
        <v>25386.13</v>
      </c>
      <c r="AA16" s="36">
        <f>SUM(O16:U16)</f>
        <v/>
      </c>
      <c r="AB16" s="36">
        <f>SUM(O16:Z16)</f>
        <v/>
      </c>
      <c r="AC16" s="38" t="n">
        <v>25386.13</v>
      </c>
      <c r="AD16" s="38" t="n">
        <v>25386.13</v>
      </c>
      <c r="AE16" s="38" t="n">
        <v>25386.13</v>
      </c>
      <c r="AF16" s="38" t="n">
        <v>25386.13</v>
      </c>
      <c r="AG16" s="38" t="n">
        <v>25386.13</v>
      </c>
      <c r="AH16" s="38" t="n">
        <v>25386.13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2002.62</v>
      </c>
      <c r="C17" s="35" t="n">
        <v>2207.05</v>
      </c>
      <c r="D17" s="35" t="n">
        <v>2189.18</v>
      </c>
      <c r="E17" s="35" t="n">
        <v>3403.25</v>
      </c>
      <c r="F17" s="35" t="n">
        <v>3660.67</v>
      </c>
      <c r="G17" s="35" t="n">
        <v>3726.55</v>
      </c>
      <c r="H17" s="35" t="n">
        <v>3675.17</v>
      </c>
      <c r="I17" s="35" t="n">
        <v>3450.1</v>
      </c>
      <c r="J17" s="35" t="n">
        <v>3516.17</v>
      </c>
      <c r="K17" s="35" t="n">
        <v>2723.85</v>
      </c>
      <c r="L17" s="35" t="n">
        <v>2722.83</v>
      </c>
      <c r="M17" s="35" t="n">
        <v>2951.52</v>
      </c>
      <c r="N17" s="36">
        <f>SUM(B17:M17)</f>
        <v/>
      </c>
      <c r="O17" s="37" t="n">
        <v>3122.38</v>
      </c>
      <c r="P17" s="37" t="n">
        <v>2859.56</v>
      </c>
      <c r="Q17" s="37" t="n">
        <v>2641.72</v>
      </c>
      <c r="R17" s="37" t="n">
        <v>2695.94</v>
      </c>
      <c r="S17" s="37" t="n">
        <v>2587.54</v>
      </c>
      <c r="T17" s="37" t="n">
        <v>2503.45</v>
      </c>
      <c r="U17" s="37" t="n">
        <v>2708.66</v>
      </c>
      <c r="V17" s="38" t="n">
        <v>2708.66</v>
      </c>
      <c r="W17" s="38" t="n">
        <v>2708.66</v>
      </c>
      <c r="X17" s="38" t="n">
        <v>2708.66</v>
      </c>
      <c r="Y17" s="38" t="n">
        <v>2708.66</v>
      </c>
      <c r="Z17" s="38" t="n">
        <v>2708.66</v>
      </c>
      <c r="AA17" s="36">
        <f>SUM(O17:U17)</f>
        <v/>
      </c>
      <c r="AB17" s="36">
        <f>SUM(O17:Z17)</f>
        <v/>
      </c>
      <c r="AC17" s="38" t="n">
        <v>2708.66</v>
      </c>
      <c r="AD17" s="38" t="n">
        <v>2708.66</v>
      </c>
      <c r="AE17" s="38" t="n">
        <v>2708.66</v>
      </c>
      <c r="AF17" s="38" t="n">
        <v>2708.66</v>
      </c>
      <c r="AG17" s="38" t="n">
        <v>2708.66</v>
      </c>
      <c r="AH17" s="38" t="n">
        <v>2708.66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498.73</v>
      </c>
      <c r="C18" s="35" t="n">
        <v>506.68</v>
      </c>
      <c r="D18" s="35" t="n">
        <v>526.7</v>
      </c>
      <c r="E18" s="35" t="n">
        <v>643.53</v>
      </c>
      <c r="F18" s="35" t="n">
        <v>694.99</v>
      </c>
      <c r="G18" s="35" t="n">
        <v>708.16</v>
      </c>
      <c r="H18" s="35" t="n">
        <v>700.99</v>
      </c>
      <c r="I18" s="35" t="n">
        <v>652.88</v>
      </c>
      <c r="J18" s="35" t="n">
        <v>662.3</v>
      </c>
      <c r="K18" s="35" t="n">
        <v>516.9299999999999</v>
      </c>
      <c r="L18" s="35" t="n">
        <v>516.73</v>
      </c>
      <c r="M18" s="35" t="n">
        <v>527.27</v>
      </c>
      <c r="N18" s="36">
        <f>SUM(B18:M18)</f>
        <v/>
      </c>
      <c r="O18" s="37" t="n">
        <v>546.7</v>
      </c>
      <c r="P18" s="37" t="n">
        <v>540.97</v>
      </c>
      <c r="Q18" s="37" t="n">
        <v>497.41</v>
      </c>
      <c r="R18" s="37" t="n">
        <v>511.34</v>
      </c>
      <c r="S18" s="37" t="n">
        <v>489.65</v>
      </c>
      <c r="T18" s="37" t="n">
        <v>472.83</v>
      </c>
      <c r="U18" s="37" t="n">
        <v>513.88</v>
      </c>
      <c r="V18" s="38" t="n">
        <v>513.88</v>
      </c>
      <c r="W18" s="38" t="n">
        <v>513.88</v>
      </c>
      <c r="X18" s="38" t="n">
        <v>513.88</v>
      </c>
      <c r="Y18" s="38" t="n">
        <v>513.88</v>
      </c>
      <c r="Z18" s="38" t="n">
        <v>513.88</v>
      </c>
      <c r="AA18" s="36">
        <f>SUM(O18:U18)</f>
        <v/>
      </c>
      <c r="AB18" s="36">
        <f>SUM(O18:Z18)</f>
        <v/>
      </c>
      <c r="AC18" s="38" t="n">
        <v>513.88</v>
      </c>
      <c r="AD18" s="38" t="n">
        <v>513.88</v>
      </c>
      <c r="AE18" s="38" t="n">
        <v>513.88</v>
      </c>
      <c r="AF18" s="38" t="n">
        <v>513.88</v>
      </c>
      <c r="AG18" s="38" t="n">
        <v>513.88</v>
      </c>
      <c r="AH18" s="38" t="n">
        <v>513.88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70.56</v>
      </c>
      <c r="C19" s="35" t="n">
        <v>56.16</v>
      </c>
      <c r="D19" s="35" t="n">
        <v>171.23</v>
      </c>
      <c r="E19" s="35" t="n">
        <v>0</v>
      </c>
      <c r="F19" s="35" t="n">
        <v>119.96</v>
      </c>
      <c r="G19" s="35" t="n">
        <v>78.48</v>
      </c>
      <c r="H19" s="35" t="n">
        <v>0</v>
      </c>
      <c r="I19" s="35" t="n">
        <v>0</v>
      </c>
      <c r="J19" s="35" t="n">
        <v>0</v>
      </c>
      <c r="K19" s="35" t="n">
        <v>136.44</v>
      </c>
      <c r="L19" s="35" t="n">
        <v>0</v>
      </c>
      <c r="M19" s="35" t="n">
        <v>0</v>
      </c>
      <c r="N19" s="36">
        <f>SUM(B19:M19)</f>
        <v/>
      </c>
      <c r="O19" s="37" t="n">
        <v>135.3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59.28</v>
      </c>
      <c r="U19" s="37" t="n">
        <v>29.94</v>
      </c>
      <c r="V19" s="38" t="n">
        <v>50</v>
      </c>
      <c r="W19" s="38" t="n">
        <v>50</v>
      </c>
      <c r="X19" s="38" t="n">
        <v>50</v>
      </c>
      <c r="Y19" s="38" t="n">
        <v>50</v>
      </c>
      <c r="Z19" s="38" t="n">
        <v>50</v>
      </c>
      <c r="AA19" s="36">
        <f>SUM(O19:U19)</f>
        <v/>
      </c>
      <c r="AB19" s="36">
        <f>SUM(O19:Z19)</f>
        <v/>
      </c>
      <c r="AC19" s="38" t="n">
        <v>50</v>
      </c>
      <c r="AD19" s="38" t="n">
        <v>50</v>
      </c>
      <c r="AE19" s="38" t="n">
        <v>50</v>
      </c>
      <c r="AF19" s="38" t="n">
        <v>50</v>
      </c>
      <c r="AG19" s="38" t="n">
        <v>50</v>
      </c>
      <c r="AH19" s="38" t="n">
        <v>50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96</v>
      </c>
      <c r="C20" s="35" t="n">
        <v>0</v>
      </c>
      <c r="D20" s="35" t="n">
        <v>48</v>
      </c>
      <c r="E20" s="35" t="n">
        <v>156</v>
      </c>
      <c r="F20" s="35" t="n">
        <v>98.40000000000001</v>
      </c>
      <c r="G20" s="35" t="n">
        <v>0</v>
      </c>
      <c r="H20" s="35" t="n">
        <v>270</v>
      </c>
      <c r="I20" s="35" t="n">
        <v>0</v>
      </c>
      <c r="J20" s="35" t="n">
        <v>0</v>
      </c>
      <c r="K20" s="35" t="n">
        <v>193.2</v>
      </c>
      <c r="L20" s="35" t="n">
        <v>594</v>
      </c>
      <c r="M20" s="35" t="n">
        <v>37.2</v>
      </c>
      <c r="N20" s="36">
        <f>SUM(B20:M20)</f>
        <v/>
      </c>
      <c r="O20" s="37" t="n">
        <v>0</v>
      </c>
      <c r="P20" s="37" t="n">
        <v>58</v>
      </c>
      <c r="Q20" s="37" t="n">
        <v>0</v>
      </c>
      <c r="R20" s="37" t="n">
        <v>24</v>
      </c>
      <c r="S20" s="37" t="n">
        <v>0</v>
      </c>
      <c r="T20" s="37" t="n">
        <v>-500</v>
      </c>
      <c r="U20" s="37" t="n">
        <v>331.63</v>
      </c>
      <c r="V20" s="38" t="n">
        <v>0</v>
      </c>
      <c r="W20" s="38" t="n">
        <v>0</v>
      </c>
      <c r="X20" s="38" t="n">
        <v>0</v>
      </c>
      <c r="Y20" s="38" t="n">
        <v>0</v>
      </c>
      <c r="Z20" s="38" t="n">
        <v>0</v>
      </c>
      <c r="AA20" s="36">
        <f>SUM(O20:U20)</f>
        <v/>
      </c>
      <c r="AB20" s="36">
        <f>SUM(O20:Z20)</f>
        <v/>
      </c>
      <c r="AC20" s="38" t="n">
        <v>0</v>
      </c>
      <c r="AD20" s="38" t="n">
        <v>0</v>
      </c>
      <c r="AE20" s="38" t="n">
        <v>0</v>
      </c>
      <c r="AF20" s="38" t="n">
        <v>0</v>
      </c>
      <c r="AG20" s="38" t="n">
        <v>0</v>
      </c>
      <c r="AH20" s="38" t="n">
        <v>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133.75</v>
      </c>
      <c r="C21" s="35" t="n">
        <v>119.98</v>
      </c>
      <c r="D21" s="35" t="n">
        <v>168.98</v>
      </c>
      <c r="E21" s="35" t="n">
        <v>151.14</v>
      </c>
      <c r="F21" s="35" t="n">
        <v>162.64</v>
      </c>
      <c r="G21" s="35" t="n">
        <v>156.4</v>
      </c>
      <c r="H21" s="35" t="n">
        <v>78.23999999999999</v>
      </c>
      <c r="I21" s="35" t="n">
        <v>238.74</v>
      </c>
      <c r="J21" s="35" t="n">
        <v>0</v>
      </c>
      <c r="K21" s="35" t="n">
        <v>154.24</v>
      </c>
      <c r="L21" s="35" t="n">
        <v>73.00999999999999</v>
      </c>
      <c r="M21" s="35" t="n">
        <v>375.95</v>
      </c>
      <c r="N21" s="36">
        <f>SUM(B21:M21)</f>
        <v/>
      </c>
      <c r="O21" s="37" t="n">
        <v>132.69</v>
      </c>
      <c r="P21" s="37" t="n">
        <v>153.97</v>
      </c>
      <c r="Q21" s="37" t="n">
        <v>157.6</v>
      </c>
      <c r="R21" s="37" t="n">
        <v>163.93</v>
      </c>
      <c r="S21" s="37" t="n">
        <v>163.71</v>
      </c>
      <c r="T21" s="37" t="n">
        <v>48.41</v>
      </c>
      <c r="U21" s="37" t="n">
        <v>199.54</v>
      </c>
      <c r="V21" s="38" t="n">
        <v>132.69</v>
      </c>
      <c r="W21" s="38" t="n">
        <v>132.69</v>
      </c>
      <c r="X21" s="38" t="n">
        <v>132.69</v>
      </c>
      <c r="Y21" s="38" t="n">
        <v>132.69</v>
      </c>
      <c r="Z21" s="38" t="n">
        <v>132.69</v>
      </c>
      <c r="AA21" s="36">
        <f>SUM(O21:U21)</f>
        <v/>
      </c>
      <c r="AB21" s="36">
        <f>SUM(O21:Z21)</f>
        <v/>
      </c>
      <c r="AC21" s="38" t="n">
        <v>132.69</v>
      </c>
      <c r="AD21" s="38" t="n">
        <v>132.69</v>
      </c>
      <c r="AE21" s="38" t="n">
        <v>132.69</v>
      </c>
      <c r="AF21" s="38" t="n">
        <v>132.69</v>
      </c>
      <c r="AG21" s="38" t="n">
        <v>132.69</v>
      </c>
      <c r="AH21" s="38" t="n">
        <v>132.69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SUMIF('HB TB'!$R:$R,'HB P&amp;L'!$A22,'HB TB'!C:C)</f>
        <v/>
      </c>
      <c r="P22" s="37">
        <f>SUMIF('HB TB'!$R:$R,'HB P&amp;L'!$A22,'HB TB'!D:D)</f>
        <v/>
      </c>
      <c r="Q22" s="37">
        <f>SUMIF('HB TB'!$R:$R,'HB P&amp;L'!$A22,'HB TB'!E:E)</f>
        <v/>
      </c>
      <c r="R22" s="37">
        <f>SUMIF('HB TB'!$R:$R,'HB P&amp;L'!$A22,'HB TB'!F:F)</f>
        <v/>
      </c>
      <c r="S22" s="37">
        <f>SUMIF('HB TB'!$R:$R,'HB P&amp;L'!$A22,'HB TB'!G:G)</f>
        <v/>
      </c>
      <c r="T22" s="37">
        <f>SUMIF('HB TB'!$R:$R,'HB P&amp;L'!$A22,'HB TB'!H:H)</f>
        <v/>
      </c>
      <c r="U22" s="37">
        <f>SUMIF('HB TB'!$R:$R,'HB P&amp;L'!$A22,'HB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30</v>
      </c>
      <c r="I23" s="35" t="n">
        <v>9.49</v>
      </c>
      <c r="J23" s="35" t="n">
        <v>21</v>
      </c>
      <c r="K23" s="35" t="n">
        <v>26.97</v>
      </c>
      <c r="L23" s="35" t="n">
        <v>0</v>
      </c>
      <c r="M23" s="35" t="n">
        <v>10.05</v>
      </c>
      <c r="N23" s="36">
        <f>SUM(B23:M23)</f>
        <v/>
      </c>
      <c r="O23" s="37" t="n">
        <v>30</v>
      </c>
      <c r="P23" s="37" t="n">
        <v>50.75</v>
      </c>
      <c r="Q23" s="37" t="n">
        <v>27.55</v>
      </c>
      <c r="R23" s="37" t="n">
        <v>0</v>
      </c>
      <c r="S23" s="37" t="n">
        <v>0</v>
      </c>
      <c r="T23" s="37" t="n">
        <v>0</v>
      </c>
      <c r="U23" s="37" t="n">
        <v>0</v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SUMIF('HB TB'!$R:$R,'HB P&amp;L'!$A24,'HB TB'!C:C)</f>
        <v/>
      </c>
      <c r="P24" s="37">
        <f>SUMIF('HB TB'!$R:$R,'HB P&amp;L'!$A24,'HB TB'!D:D)</f>
        <v/>
      </c>
      <c r="Q24" s="37">
        <f>SUMIF('HB TB'!$R:$R,'HB P&amp;L'!$A24,'HB TB'!E:E)</f>
        <v/>
      </c>
      <c r="R24" s="37">
        <f>SUMIF('HB TB'!$R:$R,'HB P&amp;L'!$A24,'HB TB'!F:F)</f>
        <v/>
      </c>
      <c r="S24" s="37">
        <f>SUMIF('HB TB'!$R:$R,'HB P&amp;L'!$A24,'HB TB'!G:G)</f>
        <v/>
      </c>
      <c r="T24" s="37">
        <f>SUMIF('HB TB'!$R:$R,'HB P&amp;L'!$A24,'HB TB'!H:H)</f>
        <v/>
      </c>
      <c r="U24" s="37">
        <f>SUMIF('HB TB'!$R:$R,'HB P&amp;L'!$A24,'HB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27701.32</v>
      </c>
      <c r="C25" s="42" t="n">
        <v>29467.69</v>
      </c>
      <c r="D25" s="42" t="n">
        <v>30030</v>
      </c>
      <c r="E25" s="42" t="n">
        <v>33446.57</v>
      </c>
      <c r="F25" s="42" t="n">
        <v>35440.64</v>
      </c>
      <c r="G25" s="42" t="n">
        <v>37369.00000000001</v>
      </c>
      <c r="H25" s="42" t="n">
        <v>36795.89</v>
      </c>
      <c r="I25" s="42" t="n">
        <v>34385.2</v>
      </c>
      <c r="J25" s="42" t="n">
        <v>34246.48</v>
      </c>
      <c r="K25" s="42" t="n">
        <v>27682.5</v>
      </c>
      <c r="L25" s="42" t="n">
        <v>27727.59</v>
      </c>
      <c r="M25" s="42" t="n">
        <v>31167.51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2744.18</v>
      </c>
      <c r="C27" s="35" t="n">
        <v>2024.31</v>
      </c>
      <c r="D27" s="35" t="n">
        <v>2049.67</v>
      </c>
      <c r="E27" s="35" t="n">
        <v>1664.58</v>
      </c>
      <c r="F27" s="35" t="n">
        <v>1769.58</v>
      </c>
      <c r="G27" s="35" t="n">
        <v>2265.91</v>
      </c>
      <c r="H27" s="35" t="n">
        <v>2338.29</v>
      </c>
      <c r="I27" s="35" t="n">
        <v>1692.46</v>
      </c>
      <c r="J27" s="35" t="n">
        <v>2080.16</v>
      </c>
      <c r="K27" s="35" t="n">
        <v>2053.82</v>
      </c>
      <c r="L27" s="35" t="n">
        <v>1983.01</v>
      </c>
      <c r="M27" s="35" t="n">
        <v>1442.92</v>
      </c>
      <c r="N27" s="36">
        <f>SUM(B27:M27)</f>
        <v/>
      </c>
      <c r="O27" s="37" t="n">
        <v>1913.69</v>
      </c>
      <c r="P27" s="37" t="n">
        <v>2339.36</v>
      </c>
      <c r="Q27" s="37" t="n">
        <v>2227.04</v>
      </c>
      <c r="R27" s="37" t="n">
        <v>1978.58</v>
      </c>
      <c r="S27" s="37" t="n">
        <v>1723.72</v>
      </c>
      <c r="T27" s="37" t="n">
        <v>2074.85</v>
      </c>
      <c r="U27" s="37" t="n">
        <v>2481.22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345.51</v>
      </c>
      <c r="C28" s="35" t="n">
        <v>751.0200000000001</v>
      </c>
      <c r="D28" s="35" t="n">
        <v>178.36</v>
      </c>
      <c r="E28" s="35" t="n">
        <v>150.78</v>
      </c>
      <c r="F28" s="35" t="n">
        <v>488.33</v>
      </c>
      <c r="G28" s="35" t="n">
        <v>322.31</v>
      </c>
      <c r="H28" s="35" t="n">
        <v>82.25999999999999</v>
      </c>
      <c r="I28" s="35" t="n">
        <v>311.59</v>
      </c>
      <c r="J28" s="35" t="n">
        <v>65.91</v>
      </c>
      <c r="K28" s="35" t="n">
        <v>455.4800000000001</v>
      </c>
      <c r="L28" s="35" t="n">
        <v>445.5099999999999</v>
      </c>
      <c r="M28" s="35" t="n">
        <v>229.46</v>
      </c>
      <c r="N28" s="36">
        <f>SUM(B28:M28)</f>
        <v/>
      </c>
      <c r="O28" s="37" t="n">
        <v>272.87</v>
      </c>
      <c r="P28" s="37" t="n">
        <v>16.47</v>
      </c>
      <c r="Q28" s="37" t="n">
        <v>417.58</v>
      </c>
      <c r="R28" s="37" t="n">
        <v>44.43</v>
      </c>
      <c r="S28" s="37" t="n">
        <v>553.8199999999999</v>
      </c>
      <c r="T28" s="37" t="n">
        <v>372.91</v>
      </c>
      <c r="U28" s="37" t="n">
        <v>274.15</v>
      </c>
      <c r="V28" s="38" t="n">
        <v>53</v>
      </c>
      <c r="W28" s="38" t="n">
        <v>53</v>
      </c>
      <c r="X28" s="38" t="n">
        <v>53</v>
      </c>
      <c r="Y28" s="38" t="n">
        <v>53</v>
      </c>
      <c r="Z28" s="38" t="n">
        <v>53</v>
      </c>
      <c r="AA28" s="36">
        <f>SUM(O28:U28)</f>
        <v/>
      </c>
      <c r="AB28" s="36">
        <f>SUM(O28:Z28)</f>
        <v/>
      </c>
      <c r="AC28" s="38" t="n">
        <v>53</v>
      </c>
      <c r="AD28" s="38" t="n">
        <v>53</v>
      </c>
      <c r="AE28" s="38" t="n">
        <v>53</v>
      </c>
      <c r="AF28" s="38" t="n">
        <v>53</v>
      </c>
      <c r="AG28" s="38" t="n">
        <v>53</v>
      </c>
      <c r="AH28" s="38" t="n">
        <v>53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69.13</v>
      </c>
      <c r="C29" s="35" t="n">
        <v>84.98</v>
      </c>
      <c r="D29" s="35" t="n">
        <v>67.86</v>
      </c>
      <c r="E29" s="35" t="n">
        <v>123.59</v>
      </c>
      <c r="F29" s="35" t="n">
        <v>68.06999999999999</v>
      </c>
      <c r="G29" s="35" t="n">
        <v>30.29</v>
      </c>
      <c r="H29" s="35" t="n">
        <v>53.46</v>
      </c>
      <c r="I29" s="35" t="n">
        <v>187.21</v>
      </c>
      <c r="J29" s="35" t="n">
        <v>111.33</v>
      </c>
      <c r="K29" s="35" t="n">
        <v>121.13</v>
      </c>
      <c r="L29" s="35" t="n">
        <v>192.24</v>
      </c>
      <c r="M29" s="35" t="n">
        <v>74.47</v>
      </c>
      <c r="N29" s="36">
        <f>SUM(B29:M29)</f>
        <v/>
      </c>
      <c r="O29" s="37" t="n">
        <v>68</v>
      </c>
      <c r="P29" s="37" t="n">
        <v>106.03</v>
      </c>
      <c r="Q29" s="37" t="n">
        <v>139.34</v>
      </c>
      <c r="R29" s="37" t="n">
        <v>75.17</v>
      </c>
      <c r="S29" s="37" t="n">
        <v>133.3</v>
      </c>
      <c r="T29" s="37" t="n">
        <v>104.5</v>
      </c>
      <c r="U29" s="37" t="n">
        <v>50.74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0.002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65.61999999999999</v>
      </c>
      <c r="C30" s="35" t="n">
        <v>0</v>
      </c>
      <c r="D30" s="35" t="n">
        <v>34.48999999999999</v>
      </c>
      <c r="E30" s="35" t="n">
        <v>0</v>
      </c>
      <c r="F30" s="35" t="n">
        <v>10.98</v>
      </c>
      <c r="G30" s="35" t="n">
        <v>60.12</v>
      </c>
      <c r="H30" s="35" t="n">
        <v>75.83</v>
      </c>
      <c r="I30" s="35" t="n">
        <v>75.47</v>
      </c>
      <c r="J30" s="35" t="n">
        <v>37.5</v>
      </c>
      <c r="K30" s="35" t="n">
        <v>39.66</v>
      </c>
      <c r="L30" s="35" t="n">
        <v>17.99</v>
      </c>
      <c r="M30" s="35" t="n">
        <v>26.23</v>
      </c>
      <c r="N30" s="36">
        <f>SUM(B30:M30)</f>
        <v/>
      </c>
      <c r="O30" s="37" t="n">
        <v>34.47</v>
      </c>
      <c r="P30" s="37" t="n">
        <v>5.99</v>
      </c>
      <c r="Q30" s="37" t="n">
        <v>35.57</v>
      </c>
      <c r="R30" s="37" t="n">
        <v>10.58</v>
      </c>
      <c r="S30" s="37" t="n">
        <v>32.1</v>
      </c>
      <c r="T30" s="37" t="n">
        <v>12.04</v>
      </c>
      <c r="U30" s="37" t="n">
        <v>5.04</v>
      </c>
      <c r="V30" s="38" t="n">
        <v>98</v>
      </c>
      <c r="W30" s="38" t="n">
        <v>98</v>
      </c>
      <c r="X30" s="38" t="n">
        <v>98</v>
      </c>
      <c r="Y30" s="38" t="n">
        <v>98</v>
      </c>
      <c r="Z30" s="38" t="n">
        <v>98</v>
      </c>
      <c r="AA30" s="36">
        <f>SUM(O30:U30)</f>
        <v/>
      </c>
      <c r="AB30" s="36">
        <f>SUM(O30:Z30)</f>
        <v/>
      </c>
      <c r="AC30" s="38" t="n">
        <v>98</v>
      </c>
      <c r="AD30" s="38" t="n">
        <v>98</v>
      </c>
      <c r="AE30" s="38" t="n">
        <v>98</v>
      </c>
      <c r="AF30" s="38" t="n">
        <v>98</v>
      </c>
      <c r="AG30" s="38" t="n">
        <v>98</v>
      </c>
      <c r="AH30" s="38" t="n">
        <v>98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46.92999999999999</v>
      </c>
      <c r="C31" s="35" t="n">
        <v>379.43</v>
      </c>
      <c r="D31" s="35" t="n">
        <v>0</v>
      </c>
      <c r="E31" s="35" t="n">
        <v>296.79</v>
      </c>
      <c r="F31" s="35" t="n">
        <v>5.49</v>
      </c>
      <c r="G31" s="35" t="n">
        <v>42.48</v>
      </c>
      <c r="H31" s="35" t="n">
        <v>146.76</v>
      </c>
      <c r="I31" s="35" t="n">
        <v>139.82</v>
      </c>
      <c r="J31" s="35" t="n">
        <v>78.06999999999999</v>
      </c>
      <c r="K31" s="35" t="n">
        <v>255.55</v>
      </c>
      <c r="L31" s="35" t="n">
        <v>279.7</v>
      </c>
      <c r="M31" s="35" t="n">
        <v>94.52999999999999</v>
      </c>
      <c r="N31" s="36">
        <f>SUM(B31:M31)</f>
        <v/>
      </c>
      <c r="O31" s="37" t="n">
        <v>18.6</v>
      </c>
      <c r="P31" s="37" t="n">
        <v>0</v>
      </c>
      <c r="Q31" s="37" t="n">
        <v>17.49</v>
      </c>
      <c r="R31" s="37" t="n">
        <v>91.95999999999999</v>
      </c>
      <c r="S31" s="37" t="n">
        <v>-77.97</v>
      </c>
      <c r="T31" s="37" t="n">
        <v>0</v>
      </c>
      <c r="U31" s="37" t="n">
        <v>7.94</v>
      </c>
      <c r="V31" s="38" t="n">
        <v>53</v>
      </c>
      <c r="W31" s="38" t="n">
        <v>53</v>
      </c>
      <c r="X31" s="38" t="n">
        <v>53</v>
      </c>
      <c r="Y31" s="38" t="n">
        <v>53</v>
      </c>
      <c r="Z31" s="38" t="n">
        <v>53</v>
      </c>
      <c r="AA31" s="36">
        <f>SUM(O31:U31)</f>
        <v/>
      </c>
      <c r="AB31" s="36">
        <f>SUM(O31:Z31)</f>
        <v/>
      </c>
      <c r="AC31" s="38" t="n">
        <v>53</v>
      </c>
      <c r="AD31" s="38" t="n">
        <v>53</v>
      </c>
      <c r="AE31" s="38" t="n">
        <v>53</v>
      </c>
      <c r="AF31" s="38" t="n">
        <v>53</v>
      </c>
      <c r="AG31" s="38" t="n">
        <v>53</v>
      </c>
      <c r="AH31" s="38" t="n">
        <v>53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177.16</v>
      </c>
      <c r="C32" s="35" t="n">
        <v>97.81999999999999</v>
      </c>
      <c r="D32" s="35" t="n">
        <v>168.92</v>
      </c>
      <c r="E32" s="35" t="n">
        <v>204.4</v>
      </c>
      <c r="F32" s="35" t="n">
        <v>266.11</v>
      </c>
      <c r="G32" s="35" t="n">
        <v>242.35</v>
      </c>
      <c r="H32" s="35" t="n">
        <v>117.49</v>
      </c>
      <c r="I32" s="35" t="n">
        <v>282.09</v>
      </c>
      <c r="J32" s="35" t="n">
        <v>150.05</v>
      </c>
      <c r="K32" s="35" t="n">
        <v>101.07</v>
      </c>
      <c r="L32" s="35" t="n">
        <v>140.87</v>
      </c>
      <c r="M32" s="35" t="n">
        <v>168.72</v>
      </c>
      <c r="N32" s="36">
        <f>SUM(B32:M32)</f>
        <v/>
      </c>
      <c r="O32" s="37" t="n">
        <v>284.34</v>
      </c>
      <c r="P32" s="37" t="n">
        <v>440.32</v>
      </c>
      <c r="Q32" s="37" t="n">
        <v>438.53</v>
      </c>
      <c r="R32" s="37" t="n">
        <v>394.8199999999999</v>
      </c>
      <c r="S32" s="37" t="n">
        <v>302.87</v>
      </c>
      <c r="T32" s="37" t="n">
        <v>208.43</v>
      </c>
      <c r="U32" s="37" t="n">
        <v>87.88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SUMIF('HB TB'!$R:$R,'HB P&amp;L'!$A33,'HB TB'!C:C)</f>
        <v/>
      </c>
      <c r="P33" s="37">
        <f>SUMIF('HB TB'!$R:$R,'HB P&amp;L'!$A33,'HB TB'!D:D)</f>
        <v/>
      </c>
      <c r="Q33" s="37">
        <f>SUMIF('HB TB'!$R:$R,'HB P&amp;L'!$A33,'HB TB'!E:E)</f>
        <v/>
      </c>
      <c r="R33" s="37">
        <f>SUMIF('HB TB'!$R:$R,'HB P&amp;L'!$A33,'HB TB'!F:F)</f>
        <v/>
      </c>
      <c r="S33" s="37">
        <f>SUMIF('HB TB'!$R:$R,'HB P&amp;L'!$A33,'HB TB'!G:G)</f>
        <v/>
      </c>
      <c r="T33" s="37">
        <f>SUMIF('HB TB'!$R:$R,'HB P&amp;L'!$A33,'HB TB'!H:H)</f>
        <v/>
      </c>
      <c r="U33" s="37">
        <f>SUMIF('HB TB'!$R:$R,'HB P&amp;L'!$A33,'HB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3448.529999999999</v>
      </c>
      <c r="C34" s="42" t="n">
        <v>3337.56</v>
      </c>
      <c r="D34" s="42" t="n">
        <v>2499.3</v>
      </c>
      <c r="E34" s="42" t="n">
        <v>2440.14</v>
      </c>
      <c r="F34" s="42" t="n">
        <v>2608.56</v>
      </c>
      <c r="G34" s="42" t="n">
        <v>2963.46</v>
      </c>
      <c r="H34" s="42" t="n">
        <v>2814.09</v>
      </c>
      <c r="I34" s="42" t="n">
        <v>2688.64</v>
      </c>
      <c r="J34" s="42" t="n">
        <v>2523.02</v>
      </c>
      <c r="K34" s="42" t="n">
        <v>3026.71</v>
      </c>
      <c r="L34" s="42" t="n">
        <v>3059.32</v>
      </c>
      <c r="M34" s="42" t="n">
        <v>2036.33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4645.83</v>
      </c>
      <c r="C36" s="35" t="n">
        <v>4645.83</v>
      </c>
      <c r="D36" s="35" t="n">
        <v>4645.83</v>
      </c>
      <c r="E36" s="35" t="n">
        <v>4645.83</v>
      </c>
      <c r="F36" s="35" t="n">
        <v>4645.83</v>
      </c>
      <c r="G36" s="35" t="n">
        <v>4645.83</v>
      </c>
      <c r="H36" s="35" t="n">
        <v>4645.84</v>
      </c>
      <c r="I36" s="35" t="n">
        <v>4645.83</v>
      </c>
      <c r="J36" s="35" t="n">
        <v>4645.84</v>
      </c>
      <c r="K36" s="35" t="n">
        <v>4645.83</v>
      </c>
      <c r="L36" s="35" t="n">
        <v>4645.83</v>
      </c>
      <c r="M36" s="35" t="n">
        <v>4645.83</v>
      </c>
      <c r="N36" s="36">
        <f>SUM(B36:M36)</f>
        <v/>
      </c>
      <c r="O36" s="37" t="n">
        <v>4645.84</v>
      </c>
      <c r="P36" s="37" t="n">
        <v>4645.83</v>
      </c>
      <c r="Q36" s="37" t="n">
        <v>4645.83</v>
      </c>
      <c r="R36" s="37" t="n">
        <v>4645.83</v>
      </c>
      <c r="S36" s="37" t="n">
        <v>4645.83</v>
      </c>
      <c r="T36" s="37" t="n">
        <v>4645.84</v>
      </c>
      <c r="U36" s="37" t="n">
        <v>4645.83</v>
      </c>
      <c r="V36" s="38" t="n">
        <v>4646</v>
      </c>
      <c r="W36" s="38" t="n">
        <v>4646</v>
      </c>
      <c r="X36" s="38" t="n">
        <v>4646</v>
      </c>
      <c r="Y36" s="38" t="n">
        <v>4646</v>
      </c>
      <c r="Z36" s="38" t="n">
        <v>4646</v>
      </c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3844.75</v>
      </c>
      <c r="C37" s="35" t="n">
        <v>3844.75</v>
      </c>
      <c r="D37" s="35" t="n">
        <v>3844.75</v>
      </c>
      <c r="E37" s="35" t="n">
        <v>3908.13</v>
      </c>
      <c r="F37" s="35" t="n">
        <v>3908.13</v>
      </c>
      <c r="G37" s="35" t="n">
        <v>3908.13</v>
      </c>
      <c r="H37" s="35" t="n">
        <v>3908.13</v>
      </c>
      <c r="I37" s="35" t="n">
        <v>3908.13</v>
      </c>
      <c r="J37" s="35" t="n">
        <v>3908.13</v>
      </c>
      <c r="K37" s="35" t="n">
        <v>3908.13</v>
      </c>
      <c r="L37" s="35" t="n">
        <v>3908.13</v>
      </c>
      <c r="M37" s="35" t="n">
        <v>3908.13</v>
      </c>
      <c r="N37" s="36">
        <f>SUM(B37:M37)</f>
        <v/>
      </c>
      <c r="O37" s="37" t="n">
        <v>3908.11</v>
      </c>
      <c r="P37" s="37" t="n">
        <v>3908.11</v>
      </c>
      <c r="Q37" s="37" t="n">
        <v>3908.11</v>
      </c>
      <c r="R37" s="37" t="n">
        <v>3082.92</v>
      </c>
      <c r="S37" s="37" t="n">
        <v>3082.92</v>
      </c>
      <c r="T37" s="37" t="n">
        <v>3082.92</v>
      </c>
      <c r="U37" s="37" t="n">
        <v>3082.92</v>
      </c>
      <c r="V37" s="38" t="n">
        <v>3082.92</v>
      </c>
      <c r="W37" s="38" t="n">
        <v>3082.92</v>
      </c>
      <c r="X37" s="38" t="n">
        <v>3082.92</v>
      </c>
      <c r="Y37" s="38" t="n">
        <v>3082.92</v>
      </c>
      <c r="Z37" s="38" t="n">
        <v>3082.92</v>
      </c>
      <c r="AA37" s="36">
        <f>SUM(O37:U37)</f>
        <v/>
      </c>
      <c r="AB37" s="36">
        <f>SUM(O37:Z37)</f>
        <v/>
      </c>
      <c r="AC37" s="38" t="n">
        <v>3082.92</v>
      </c>
      <c r="AD37" s="38" t="n">
        <v>3082.92</v>
      </c>
      <c r="AE37" s="38" t="n">
        <v>3082.92</v>
      </c>
      <c r="AF37" s="38" t="n">
        <v>3082.92</v>
      </c>
      <c r="AG37" s="38" t="n">
        <v>3082.92</v>
      </c>
      <c r="AH37" s="38" t="n">
        <v>3082.92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300</v>
      </c>
      <c r="C38" s="35" t="n">
        <v>300</v>
      </c>
      <c r="D38" s="35" t="n">
        <v>300</v>
      </c>
      <c r="E38" s="35" t="n">
        <v>300</v>
      </c>
      <c r="F38" s="35" t="n">
        <v>300</v>
      </c>
      <c r="G38" s="35" t="n">
        <v>300</v>
      </c>
      <c r="H38" s="35" t="n">
        <v>300</v>
      </c>
      <c r="I38" s="35" t="n">
        <v>300</v>
      </c>
      <c r="J38" s="35" t="n">
        <v>300</v>
      </c>
      <c r="K38" s="35" t="n">
        <v>300</v>
      </c>
      <c r="L38" s="35" t="n">
        <v>300</v>
      </c>
      <c r="M38" s="35" t="n">
        <v>300</v>
      </c>
      <c r="N38" s="36">
        <f>SUM(B38:M38)</f>
        <v/>
      </c>
      <c r="O38" s="37" t="n">
        <v>300</v>
      </c>
      <c r="P38" s="37" t="n">
        <v>300</v>
      </c>
      <c r="Q38" s="37" t="n">
        <v>300</v>
      </c>
      <c r="R38" s="37" t="n">
        <v>300</v>
      </c>
      <c r="S38" s="37" t="n">
        <v>300</v>
      </c>
      <c r="T38" s="37" t="n">
        <v>300</v>
      </c>
      <c r="U38" s="37" t="n">
        <v>300</v>
      </c>
      <c r="V38" s="38" t="n">
        <v>300</v>
      </c>
      <c r="W38" s="38" t="n">
        <v>300</v>
      </c>
      <c r="X38" s="38" t="n">
        <v>300</v>
      </c>
      <c r="Y38" s="38" t="n">
        <v>300</v>
      </c>
      <c r="Z38" s="38" t="n">
        <v>300</v>
      </c>
      <c r="AA38" s="36">
        <f>SUM(O38:U38)</f>
        <v/>
      </c>
      <c r="AB38" s="36">
        <f>SUM(O38:Z38)</f>
        <v/>
      </c>
      <c r="AC38" s="38" t="n">
        <v>300</v>
      </c>
      <c r="AD38" s="38" t="n">
        <v>300</v>
      </c>
      <c r="AE38" s="38" t="n">
        <v>300</v>
      </c>
      <c r="AF38" s="38" t="n">
        <v>300</v>
      </c>
      <c r="AG38" s="38" t="n">
        <v>300</v>
      </c>
      <c r="AH38" s="38" t="n">
        <v>300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29.52</v>
      </c>
      <c r="C39" s="35" t="n">
        <v>4464.59</v>
      </c>
      <c r="D39" s="35" t="n">
        <v>0</v>
      </c>
      <c r="E39" s="35" t="n">
        <v>0</v>
      </c>
      <c r="F39" s="35" t="n">
        <v>48.2</v>
      </c>
      <c r="G39" s="35" t="n">
        <v>0</v>
      </c>
      <c r="H39" s="35" t="n">
        <v>0</v>
      </c>
      <c r="I39" s="35" t="n">
        <v>36.18</v>
      </c>
      <c r="J39" s="35" t="n">
        <v>48.39</v>
      </c>
      <c r="K39" s="35" t="n">
        <v>21.13</v>
      </c>
      <c r="L39" s="35" t="n">
        <v>40</v>
      </c>
      <c r="M39" s="35" t="n">
        <v>0</v>
      </c>
      <c r="N39" s="36">
        <f>SUM(B39:M39)</f>
        <v/>
      </c>
      <c r="O39" s="37" t="n">
        <v>0</v>
      </c>
      <c r="P39" s="37" t="n">
        <v>80.40000000000001</v>
      </c>
      <c r="Q39" s="37" t="n">
        <v>0</v>
      </c>
      <c r="R39" s="37" t="n">
        <v>0</v>
      </c>
      <c r="S39" s="37" t="n">
        <v>0</v>
      </c>
      <c r="T39" s="37" t="n">
        <v>0</v>
      </c>
      <c r="U39" s="37" t="n">
        <v>313.1</v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1025.16</v>
      </c>
      <c r="C40" s="35" t="n">
        <v>994.6700000000001</v>
      </c>
      <c r="D40" s="35" t="n">
        <v>1230.5</v>
      </c>
      <c r="E40" s="35" t="n">
        <v>952.4300000000001</v>
      </c>
      <c r="F40" s="35" t="n">
        <v>1083.43</v>
      </c>
      <c r="G40" s="35" t="n">
        <v>1263.91</v>
      </c>
      <c r="H40" s="35" t="n">
        <v>1279.37</v>
      </c>
      <c r="I40" s="35" t="n">
        <v>880.76</v>
      </c>
      <c r="J40" s="35" t="n">
        <v>903.78</v>
      </c>
      <c r="K40" s="35" t="n">
        <v>1337.18</v>
      </c>
      <c r="L40" s="35" t="n">
        <v>906.53</v>
      </c>
      <c r="M40" s="35" t="n">
        <v>956.1900000000001</v>
      </c>
      <c r="N40" s="36">
        <f>SUM(B40:M40)</f>
        <v/>
      </c>
      <c r="O40" s="37" t="n">
        <v>1070.49</v>
      </c>
      <c r="P40" s="37" t="n">
        <v>1130.83</v>
      </c>
      <c r="Q40" s="37" t="n">
        <v>1703.53</v>
      </c>
      <c r="R40" s="37" t="n">
        <v>260.51</v>
      </c>
      <c r="S40" s="37" t="n">
        <v>862.84</v>
      </c>
      <c r="T40" s="37" t="n">
        <v>1019.03</v>
      </c>
      <c r="U40" s="37" t="n">
        <v>2198.64</v>
      </c>
      <c r="V40" s="38" t="n">
        <v>1107</v>
      </c>
      <c r="W40" s="38" t="n">
        <v>1107</v>
      </c>
      <c r="X40" s="38" t="n">
        <v>1107</v>
      </c>
      <c r="Y40" s="38" t="n">
        <v>1107</v>
      </c>
      <c r="Z40" s="38" t="n">
        <v>1107</v>
      </c>
      <c r="AA40" s="36">
        <f>SUM(O40:U40)</f>
        <v/>
      </c>
      <c r="AB40" s="36">
        <f>SUM(O40:Z40)</f>
        <v/>
      </c>
      <c r="AC40" s="38" t="n">
        <v>1107</v>
      </c>
      <c r="AD40" s="38" t="n">
        <v>1107</v>
      </c>
      <c r="AE40" s="38" t="n">
        <v>1107</v>
      </c>
      <c r="AF40" s="38" t="n">
        <v>1107</v>
      </c>
      <c r="AG40" s="38" t="n">
        <v>1107</v>
      </c>
      <c r="AH40" s="38" t="n">
        <v>1107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335.27</v>
      </c>
      <c r="C41" s="35" t="n">
        <v>416.27</v>
      </c>
      <c r="D41" s="35" t="n">
        <v>437.9400000000001</v>
      </c>
      <c r="E41" s="35" t="n">
        <v>344.92</v>
      </c>
      <c r="F41" s="35" t="n">
        <v>406.1900000000001</v>
      </c>
      <c r="G41" s="35" t="n">
        <v>426.02</v>
      </c>
      <c r="H41" s="35" t="n">
        <v>372.62</v>
      </c>
      <c r="I41" s="35" t="n">
        <v>437.31</v>
      </c>
      <c r="J41" s="35" t="n">
        <v>655.72</v>
      </c>
      <c r="K41" s="35" t="n">
        <v>386.92</v>
      </c>
      <c r="L41" s="35" t="n">
        <v>388.32</v>
      </c>
      <c r="M41" s="35" t="n">
        <v>441.73</v>
      </c>
      <c r="N41" s="36">
        <f>SUM(B41:M41)</f>
        <v/>
      </c>
      <c r="O41" s="37" t="n">
        <v>427.01</v>
      </c>
      <c r="P41" s="37" t="n">
        <v>402.51</v>
      </c>
      <c r="Q41" s="37" t="n">
        <v>455.91</v>
      </c>
      <c r="R41" s="37" t="n">
        <v>510.55</v>
      </c>
      <c r="S41" s="37" t="n">
        <v>429.51</v>
      </c>
      <c r="T41" s="37" t="n">
        <v>320.85</v>
      </c>
      <c r="U41" s="37" t="n">
        <v>493.58</v>
      </c>
      <c r="V41" s="38" t="n">
        <v>423</v>
      </c>
      <c r="W41" s="38" t="n">
        <v>423</v>
      </c>
      <c r="X41" s="38" t="n">
        <v>423</v>
      </c>
      <c r="Y41" s="38" t="n">
        <v>423</v>
      </c>
      <c r="Z41" s="38" t="n">
        <v>423</v>
      </c>
      <c r="AA41" s="36">
        <f>SUM(O41:U41)</f>
        <v/>
      </c>
      <c r="AB41" s="36">
        <f>SUM(O41:Z41)</f>
        <v/>
      </c>
      <c r="AC41" s="38" t="n">
        <v>423</v>
      </c>
      <c r="AD41" s="38" t="n">
        <v>423</v>
      </c>
      <c r="AE41" s="38" t="n">
        <v>423</v>
      </c>
      <c r="AF41" s="38" t="n">
        <v>423</v>
      </c>
      <c r="AG41" s="38" t="n">
        <v>423</v>
      </c>
      <c r="AH41" s="38" t="n">
        <v>423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108.05</v>
      </c>
      <c r="C42" s="35" t="n">
        <v>44.34</v>
      </c>
      <c r="D42" s="35" t="n">
        <v>32.23</v>
      </c>
      <c r="E42" s="35" t="n">
        <v>12</v>
      </c>
      <c r="F42" s="35" t="n">
        <v>40.39</v>
      </c>
      <c r="G42" s="35" t="n">
        <v>34.34</v>
      </c>
      <c r="H42" s="35" t="n">
        <v>140.57</v>
      </c>
      <c r="I42" s="35" t="n">
        <v>47.51</v>
      </c>
      <c r="J42" s="35" t="n">
        <v>80.84999999999999</v>
      </c>
      <c r="K42" s="35" t="n">
        <v>63.14</v>
      </c>
      <c r="L42" s="35" t="n">
        <v>51.95</v>
      </c>
      <c r="M42" s="35" t="n">
        <v>154.14</v>
      </c>
      <c r="N42" s="36">
        <f>SUM(B42:M42)</f>
        <v/>
      </c>
      <c r="O42" s="37" t="n">
        <v>19.19</v>
      </c>
      <c r="P42" s="37" t="n">
        <v>48.62</v>
      </c>
      <c r="Q42" s="37" t="n">
        <v>59.29</v>
      </c>
      <c r="R42" s="37" t="n">
        <v>44.34</v>
      </c>
      <c r="S42" s="37" t="n">
        <v>41.65</v>
      </c>
      <c r="T42" s="37" t="n">
        <v>62.16</v>
      </c>
      <c r="U42" s="37" t="n">
        <v>73.75999999999999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0</v>
      </c>
      <c r="Q43" s="37" t="n">
        <v>74</v>
      </c>
      <c r="R43" s="37" t="n">
        <v>50</v>
      </c>
      <c r="S43" s="37" t="n">
        <v>0</v>
      </c>
      <c r="T43" s="37" t="n">
        <v>0</v>
      </c>
      <c r="U43" s="37" t="n">
        <v>0</v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SUMIF('HB TB'!$R:$R,'HB P&amp;L'!$A44,'HB TB'!C:C)</f>
        <v/>
      </c>
      <c r="P44" s="37">
        <f>SUMIF('HB TB'!$R:$R,'HB P&amp;L'!$A44,'HB TB'!D:D)</f>
        <v/>
      </c>
      <c r="Q44" s="37">
        <f>SUMIF('HB TB'!$R:$R,'HB P&amp;L'!$A44,'HB TB'!E:E)</f>
        <v/>
      </c>
      <c r="R44" s="37">
        <f>SUMIF('HB TB'!$R:$R,'HB P&amp;L'!$A44,'HB TB'!F:F)</f>
        <v/>
      </c>
      <c r="S44" s="37">
        <f>SUMIF('HB TB'!$R:$R,'HB P&amp;L'!$A44,'HB TB'!G:G)</f>
        <v/>
      </c>
      <c r="T44" s="37">
        <f>SUMIF('HB TB'!$R:$R,'HB P&amp;L'!$A44,'HB TB'!H:H)</f>
        <v/>
      </c>
      <c r="U44" s="37">
        <f>SUMIF('HB TB'!$R:$R,'HB P&amp;L'!$A44,'HB TB'!I:I)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220</v>
      </c>
      <c r="G45" s="35" t="n">
        <v>45</v>
      </c>
      <c r="H45" s="35" t="n">
        <v>0</v>
      </c>
      <c r="I45" s="35" t="n">
        <v>90</v>
      </c>
      <c r="J45" s="35" t="n">
        <v>0</v>
      </c>
      <c r="K45" s="35" t="n">
        <v>137.5</v>
      </c>
      <c r="L45" s="35" t="n">
        <v>137.5</v>
      </c>
      <c r="M45" s="35" t="n">
        <v>137.5</v>
      </c>
      <c r="N45" s="36">
        <f>SUM(B45:M45)</f>
        <v/>
      </c>
      <c r="O45" s="37" t="n">
        <v>236.5</v>
      </c>
      <c r="P45" s="37" t="n">
        <v>137.5</v>
      </c>
      <c r="Q45" s="37" t="n">
        <v>137.5</v>
      </c>
      <c r="R45" s="37" t="n">
        <v>239.5</v>
      </c>
      <c r="S45" s="37" t="n">
        <v>357.5</v>
      </c>
      <c r="T45" s="37" t="n">
        <v>137.5</v>
      </c>
      <c r="U45" s="37" t="n">
        <v>137.5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SUMIF('HB TB'!$R:$R,'HB P&amp;L'!$A46,'HB TB'!C:C)</f>
        <v/>
      </c>
      <c r="P46" s="37">
        <f>SUMIF('HB TB'!$R:$R,'HB P&amp;L'!$A46,'HB TB'!D:D)</f>
        <v/>
      </c>
      <c r="Q46" s="37">
        <f>SUMIF('HB TB'!$R:$R,'HB P&amp;L'!$A46,'HB TB'!E:E)</f>
        <v/>
      </c>
      <c r="R46" s="37">
        <f>SUMIF('HB TB'!$R:$R,'HB P&amp;L'!$A46,'HB TB'!F:F)</f>
        <v/>
      </c>
      <c r="S46" s="37">
        <f>SUMIF('HB TB'!$R:$R,'HB P&amp;L'!$A46,'HB TB'!G:G)</f>
        <v/>
      </c>
      <c r="T46" s="37">
        <f>SUMIF('HB TB'!$R:$R,'HB P&amp;L'!$A46,'HB TB'!H:H)</f>
        <v/>
      </c>
      <c r="U46" s="37">
        <f>SUMIF('HB TB'!$R:$R,'HB P&amp;L'!$A46,'HB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10288.58</v>
      </c>
      <c r="C47" s="42" t="n">
        <v>14710.45</v>
      </c>
      <c r="D47" s="42" t="n">
        <v>10491.25</v>
      </c>
      <c r="E47" s="42" t="n">
        <v>10163.31</v>
      </c>
      <c r="F47" s="42" t="n">
        <v>10652.17</v>
      </c>
      <c r="G47" s="42" t="n">
        <v>10623.23</v>
      </c>
      <c r="H47" s="42" t="n">
        <v>10646.53</v>
      </c>
      <c r="I47" s="42" t="n">
        <v>10345.72</v>
      </c>
      <c r="J47" s="42" t="n">
        <v>10542.71</v>
      </c>
      <c r="K47" s="42" t="n">
        <v>10799.83</v>
      </c>
      <c r="L47" s="42" t="n">
        <v>10378.26</v>
      </c>
      <c r="M47" s="42" t="n">
        <v>10543.52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41438.43</v>
      </c>
      <c r="C48" s="23" t="n">
        <v>47515.7</v>
      </c>
      <c r="D48" s="23" t="n">
        <v>43020.55</v>
      </c>
      <c r="E48" s="23" t="n">
        <v>46050.02</v>
      </c>
      <c r="F48" s="23" t="n">
        <v>48701.37</v>
      </c>
      <c r="G48" s="23" t="n">
        <v>50955.69</v>
      </c>
      <c r="H48" s="23" t="n">
        <v>50256.50999999999</v>
      </c>
      <c r="I48" s="23" t="n">
        <v>47419.56</v>
      </c>
      <c r="J48" s="23" t="n">
        <v>47312.21</v>
      </c>
      <c r="K48" s="23" t="n">
        <v>41509.03999999999</v>
      </c>
      <c r="L48" s="23" t="n">
        <v>41165.17</v>
      </c>
      <c r="M48" s="23" t="n">
        <v>43747.36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20065.54</v>
      </c>
      <c r="C50" s="55" t="n">
        <v>12130.06</v>
      </c>
      <c r="D50" s="55" t="n">
        <v>23881.11</v>
      </c>
      <c r="E50" s="55" t="n">
        <v>22056.98</v>
      </c>
      <c r="F50" s="55" t="n">
        <v>14041.95</v>
      </c>
      <c r="G50" s="55" t="n">
        <v>11902.15</v>
      </c>
      <c r="H50" s="55" t="n">
        <v>47127.88</v>
      </c>
      <c r="I50" s="55" t="n">
        <v>6130.860000000001</v>
      </c>
      <c r="J50" s="55" t="n">
        <v>3674.260000000002</v>
      </c>
      <c r="K50" s="55" t="n">
        <v>8665.200000000004</v>
      </c>
      <c r="L50" s="55" t="n">
        <v>24390.98</v>
      </c>
      <c r="M50" s="55" t="n">
        <v>34788.12000000001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SUMIF('HB TB'!$R:$R,'HB P&amp;L'!$A53,'HB TB'!C:C)</f>
        <v/>
      </c>
      <c r="P53" s="37">
        <f>SUMIF('HB TB'!$R:$R,'HB P&amp;L'!$A53,'HB TB'!D:D)</f>
        <v/>
      </c>
      <c r="Q53" s="37">
        <f>SUMIF('HB TB'!$R:$R,'HB P&amp;L'!$A53,'HB TB'!E:E)</f>
        <v/>
      </c>
      <c r="R53" s="37">
        <f>SUMIF('HB TB'!$R:$R,'HB P&amp;L'!$A53,'HB TB'!F:F)</f>
        <v/>
      </c>
      <c r="S53" s="37">
        <f>SUMIF('HB TB'!$R:$R,'HB P&amp;L'!$A53,'HB TB'!G:G)</f>
        <v/>
      </c>
      <c r="T53" s="37">
        <f>SUMIF('HB TB'!$R:$R,'HB P&amp;L'!$A53,'HB TB'!H:H)</f>
        <v/>
      </c>
      <c r="U53" s="37">
        <f>SUMIF('HB TB'!$R:$R,'HB P&amp;L'!$A53,'HB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SUMIF('HB TB'!$R:$R,'HB P&amp;L'!$A54,'HB TB'!C:C)</f>
        <v/>
      </c>
      <c r="P54" s="37">
        <f>SUMIF('HB TB'!$R:$R,'HB P&amp;L'!$A54,'HB TB'!D:D)</f>
        <v/>
      </c>
      <c r="Q54" s="37">
        <f>SUMIF('HB TB'!$R:$R,'HB P&amp;L'!$A54,'HB TB'!E:E)</f>
        <v/>
      </c>
      <c r="R54" s="37">
        <f>SUMIF('HB TB'!$R:$R,'HB P&amp;L'!$A54,'HB TB'!F:F)</f>
        <v/>
      </c>
      <c r="S54" s="37">
        <f>SUMIF('HB TB'!$R:$R,'HB P&amp;L'!$A54,'HB TB'!G:G)</f>
        <v/>
      </c>
      <c r="T54" s="37">
        <f>SUMIF('HB TB'!$R:$R,'HB P&amp;L'!$A54,'HB TB'!H:H)</f>
        <v/>
      </c>
      <c r="U54" s="37">
        <f>SUMIF('HB TB'!$R:$R,'HB P&amp;L'!$A54,'HB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SUMIF('HB TB'!$R:$R,'HB P&amp;L'!$A55,'HB TB'!C:C)</f>
        <v/>
      </c>
      <c r="P55" s="37">
        <f>SUMIF('HB TB'!$R:$R,'HB P&amp;L'!$A55,'HB TB'!D:D)</f>
        <v/>
      </c>
      <c r="Q55" s="37">
        <f>SUMIF('HB TB'!$R:$R,'HB P&amp;L'!$A55,'HB TB'!E:E)</f>
        <v/>
      </c>
      <c r="R55" s="37">
        <f>SUMIF('HB TB'!$R:$R,'HB P&amp;L'!$A55,'HB TB'!F:F)</f>
        <v/>
      </c>
      <c r="S55" s="37">
        <f>SUMIF('HB TB'!$R:$R,'HB P&amp;L'!$A55,'HB TB'!G:G)</f>
        <v/>
      </c>
      <c r="T55" s="37">
        <f>SUMIF('HB TB'!$R:$R,'HB P&amp;L'!$A55,'HB TB'!H:H)</f>
        <v/>
      </c>
      <c r="U55" s="37">
        <f>SUMIF('HB TB'!$R:$R,'HB P&amp;L'!$A55,'HB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SUMIF('HB TB'!$R:$R,'HB P&amp;L'!$A56,'HB TB'!C:C)</f>
        <v/>
      </c>
      <c r="P56" s="37">
        <f>SUMIF('HB TB'!$R:$R,'HB P&amp;L'!$A56,'HB TB'!D:D)</f>
        <v/>
      </c>
      <c r="Q56" s="37">
        <f>SUMIF('HB TB'!$R:$R,'HB P&amp;L'!$A56,'HB TB'!E:E)</f>
        <v/>
      </c>
      <c r="R56" s="37">
        <f>SUMIF('HB TB'!$R:$R,'HB P&amp;L'!$A56,'HB TB'!F:F)</f>
        <v/>
      </c>
      <c r="S56" s="37">
        <f>SUMIF('HB TB'!$R:$R,'HB P&amp;L'!$A56,'HB TB'!G:G)</f>
        <v/>
      </c>
      <c r="T56" s="37">
        <f>SUMIF('HB TB'!$R:$R,'HB P&amp;L'!$A56,'HB TB'!H:H)</f>
        <v/>
      </c>
      <c r="U56" s="37">
        <f>SUMIF('HB TB'!$R:$R,'HB P&amp;L'!$A56,'HB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160.38</v>
      </c>
      <c r="N57" s="36">
        <f>SUM(B57:M57)</f>
        <v/>
      </c>
      <c r="O57" s="37">
        <f>SUMIF('HB TB'!$R:$R,'HB P&amp;L'!$A57,'HB TB'!C:C)</f>
        <v/>
      </c>
      <c r="P57" s="37">
        <f>SUMIF('HB TB'!$R:$R,'HB P&amp;L'!$A57,'HB TB'!D:D)</f>
        <v/>
      </c>
      <c r="Q57" s="37">
        <f>SUMIF('HB TB'!$R:$R,'HB P&amp;L'!$A57,'HB TB'!E:E)</f>
        <v/>
      </c>
      <c r="R57" s="37">
        <f>SUMIF('HB TB'!$R:$R,'HB P&amp;L'!$A57,'HB TB'!F:F)</f>
        <v/>
      </c>
      <c r="S57" s="37">
        <f>SUMIF('HB TB'!$R:$R,'HB P&amp;L'!$A57,'HB TB'!G:G)</f>
        <v/>
      </c>
      <c r="T57" s="37">
        <f>SUMIF('HB TB'!$R:$R,'HB P&amp;L'!$A57,'HB TB'!H:H)</f>
        <v/>
      </c>
      <c r="U57" s="37">
        <f>SUMIF('HB TB'!$R:$R,'HB P&amp;L'!$A57,'HB TB'!I:I)</f>
        <v/>
      </c>
      <c r="V57" s="38" t="n"/>
      <c r="W57" s="38" t="n"/>
      <c r="X57" s="38" t="n"/>
      <c r="Y57" s="38" t="n"/>
      <c r="Z57" s="38">
        <f>30*10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SUMIF('HB TB'!$R:$R,'HB P&amp;L'!$A58,'HB TB'!C:C)</f>
        <v/>
      </c>
      <c r="P58" s="37">
        <f>SUMIF('HB TB'!$R:$R,'HB P&amp;L'!$A58,'HB TB'!D:D)</f>
        <v/>
      </c>
      <c r="Q58" s="37">
        <f>SUMIF('HB TB'!$R:$R,'HB P&amp;L'!$A58,'HB TB'!E:E)</f>
        <v/>
      </c>
      <c r="R58" s="37">
        <f>SUMIF('HB TB'!$R:$R,'HB P&amp;L'!$A58,'HB TB'!F:F)</f>
        <v/>
      </c>
      <c r="S58" s="37">
        <f>SUMIF('HB TB'!$R:$R,'HB P&amp;L'!$A58,'HB TB'!G:G)</f>
        <v/>
      </c>
      <c r="T58" s="37">
        <f>SUMIF('HB TB'!$R:$R,'HB P&amp;L'!$A58,'HB TB'!H:H)</f>
        <v/>
      </c>
      <c r="U58" s="37">
        <f>SUMIF('HB TB'!$R:$R,'HB P&amp;L'!$A58,'HB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6</v>
      </c>
      <c r="C60" s="35" t="n">
        <v>4.8</v>
      </c>
      <c r="D60" s="35" t="n">
        <v>5.4</v>
      </c>
      <c r="E60" s="35" t="n">
        <v>5.399999999999999</v>
      </c>
      <c r="F60" s="35" t="n">
        <v>6</v>
      </c>
      <c r="G60" s="35" t="n">
        <v>4.2</v>
      </c>
      <c r="H60" s="35" t="n">
        <v>6.600000000000001</v>
      </c>
      <c r="I60" s="35" t="n">
        <v>3</v>
      </c>
      <c r="J60" s="35" t="n">
        <v>2.4</v>
      </c>
      <c r="K60" s="35" t="n">
        <v>70</v>
      </c>
      <c r="L60" s="35" t="n">
        <v>1.8</v>
      </c>
      <c r="M60" s="35" t="n">
        <v>3</v>
      </c>
      <c r="N60" s="36">
        <f>SUM(B60:M60)</f>
        <v/>
      </c>
      <c r="O60" s="37" t="n">
        <v>1.2</v>
      </c>
      <c r="P60" s="37" t="n">
        <v>2.4</v>
      </c>
      <c r="Q60" s="37" t="n">
        <v>2.4</v>
      </c>
      <c r="R60" s="37" t="n">
        <v>3</v>
      </c>
      <c r="S60" s="37" t="n">
        <v>2.4</v>
      </c>
      <c r="T60" s="37" t="n">
        <v>2.4</v>
      </c>
      <c r="U60" s="37" t="n">
        <v>2.4</v>
      </c>
      <c r="V60" s="38" t="n">
        <v>5</v>
      </c>
      <c r="W60" s="38" t="n">
        <v>5</v>
      </c>
      <c r="X60" s="38" t="n">
        <v>5</v>
      </c>
      <c r="Y60" s="38" t="n">
        <v>5</v>
      </c>
      <c r="Z60" s="38" t="n">
        <v>5</v>
      </c>
      <c r="AA60" s="36">
        <f>SUM(O60:U60)</f>
        <v/>
      </c>
      <c r="AB60" s="36">
        <f>SUM(O60:Z60)</f>
        <v/>
      </c>
      <c r="AC60" s="38" t="n">
        <v>5</v>
      </c>
      <c r="AD60" s="38" t="n">
        <v>5</v>
      </c>
      <c r="AE60" s="38" t="n">
        <v>5</v>
      </c>
      <c r="AF60" s="38" t="n">
        <v>5</v>
      </c>
      <c r="AG60" s="38" t="n">
        <v>5</v>
      </c>
      <c r="AH60" s="38" t="n">
        <v>5</v>
      </c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3.98</v>
      </c>
      <c r="D61" s="35" t="n">
        <v>29.96</v>
      </c>
      <c r="E61" s="35" t="n">
        <v>11.95</v>
      </c>
      <c r="F61" s="35" t="n">
        <v>14.88</v>
      </c>
      <c r="G61" s="35" t="n">
        <v>60.69</v>
      </c>
      <c r="H61" s="35" t="n">
        <v>102.51</v>
      </c>
      <c r="I61" s="35" t="n">
        <v>0</v>
      </c>
      <c r="J61" s="35" t="n">
        <v>0</v>
      </c>
      <c r="K61" s="35" t="n">
        <v>15.26</v>
      </c>
      <c r="L61" s="35" t="n">
        <v>12.12</v>
      </c>
      <c r="M61" s="35" t="n">
        <v>54</v>
      </c>
      <c r="N61" s="36">
        <f>SUM(B61:M61)</f>
        <v/>
      </c>
      <c r="O61" s="37">
        <f>SUMIF('HB TB'!$R:$R,'HB P&amp;L'!$A61,'HB TB'!C:C)</f>
        <v/>
      </c>
      <c r="P61" s="37">
        <f>SUMIF('HB TB'!$R:$R,'HB P&amp;L'!$A61,'HB TB'!D:D)</f>
        <v/>
      </c>
      <c r="Q61" s="37">
        <f>SUMIF('HB TB'!$R:$R,'HB P&amp;L'!$A61,'HB TB'!E:E)</f>
        <v/>
      </c>
      <c r="R61" s="37">
        <f>SUMIF('HB TB'!$R:$R,'HB P&amp;L'!$A61,'HB TB'!F:F)</f>
        <v/>
      </c>
      <c r="S61" s="37">
        <f>SUMIF('HB TB'!$R:$R,'HB P&amp;L'!$A61,'HB TB'!G:G)</f>
        <v/>
      </c>
      <c r="T61" s="37">
        <f>SUMIF('HB TB'!$R:$R,'HB P&amp;L'!$A61,'HB TB'!H:H)</f>
        <v/>
      </c>
      <c r="U61" s="37">
        <f>SUMIF('HB TB'!$R:$R,'HB P&amp;L'!$A61,'HB TB'!I:I)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18</v>
      </c>
      <c r="C62" s="35" t="n">
        <v>0</v>
      </c>
      <c r="D62" s="35" t="n">
        <v>80</v>
      </c>
      <c r="E62" s="35" t="n">
        <v>110</v>
      </c>
      <c r="F62" s="35" t="n">
        <v>330</v>
      </c>
      <c r="G62" s="35" t="n">
        <v>250</v>
      </c>
      <c r="H62" s="35" t="n">
        <v>0</v>
      </c>
      <c r="I62" s="35" t="n">
        <v>180</v>
      </c>
      <c r="J62" s="35" t="n">
        <v>70</v>
      </c>
      <c r="K62" s="35" t="n">
        <v>0</v>
      </c>
      <c r="L62" s="35" t="n">
        <v>40</v>
      </c>
      <c r="M62" s="35" t="n">
        <v>0</v>
      </c>
      <c r="N62" s="36">
        <f>SUM(B62:M62)</f>
        <v/>
      </c>
      <c r="O62" s="37" t="n">
        <v>105</v>
      </c>
      <c r="P62" s="37" t="n">
        <v>0</v>
      </c>
      <c r="Q62" s="37" t="n">
        <v>125</v>
      </c>
      <c r="R62" s="37" t="n">
        <v>60</v>
      </c>
      <c r="S62" s="37" t="n">
        <v>0</v>
      </c>
      <c r="T62" s="37" t="n">
        <v>0</v>
      </c>
      <c r="U62" s="37" t="n">
        <v>0</v>
      </c>
      <c r="V62" s="38" t="n">
        <v>100</v>
      </c>
      <c r="W62" s="38" t="n">
        <v>100</v>
      </c>
      <c r="X62" s="38" t="n">
        <v>100</v>
      </c>
      <c r="Y62" s="38" t="n">
        <v>100</v>
      </c>
      <c r="Z62" s="38" t="n">
        <v>100</v>
      </c>
      <c r="AA62" s="36">
        <f>SUM(O62:U62)</f>
        <v/>
      </c>
      <c r="AB62" s="36">
        <f>SUM(O62:Z62)</f>
        <v/>
      </c>
      <c r="AC62" s="38" t="n">
        <v>100</v>
      </c>
      <c r="AD62" s="38" t="n">
        <v>100</v>
      </c>
      <c r="AE62" s="38" t="n">
        <v>100</v>
      </c>
      <c r="AF62" s="38" t="n">
        <v>100</v>
      </c>
      <c r="AG62" s="38" t="n">
        <v>100</v>
      </c>
      <c r="AH62" s="38" t="n">
        <v>100</v>
      </c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SUMIF('HB TB'!$R:$R,'HB P&amp;L'!$A63,'HB TB'!C:C)</f>
        <v/>
      </c>
      <c r="P63" s="37">
        <f>SUMIF('HB TB'!$R:$R,'HB P&amp;L'!$A63,'HB TB'!D:D)</f>
        <v/>
      </c>
      <c r="Q63" s="37">
        <f>SUMIF('HB TB'!$R:$R,'HB P&amp;L'!$A63,'HB TB'!E:E)</f>
        <v/>
      </c>
      <c r="R63" s="37">
        <f>SUMIF('HB TB'!$R:$R,'HB P&amp;L'!$A63,'HB TB'!F:F)</f>
        <v/>
      </c>
      <c r="S63" s="37">
        <f>SUMIF('HB TB'!$R:$R,'HB P&amp;L'!$A63,'HB TB'!G:G)</f>
        <v/>
      </c>
      <c r="T63" s="37">
        <f>SUMIF('HB TB'!$R:$R,'HB P&amp;L'!$A63,'HB TB'!H:H)</f>
        <v/>
      </c>
      <c r="U63" s="37">
        <f>SUMIF('HB TB'!$R:$R,'HB P&amp;L'!$A63,'HB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SUMIF('HB TB'!$R:$R,'HB P&amp;L'!$A64,'HB TB'!C:C)</f>
        <v/>
      </c>
      <c r="P64" s="37">
        <f>SUMIF('HB TB'!$R:$R,'HB P&amp;L'!$A64,'HB TB'!D:D)</f>
        <v/>
      </c>
      <c r="Q64" s="37">
        <f>SUMIF('HB TB'!$R:$R,'HB P&amp;L'!$A64,'HB TB'!E:E)</f>
        <v/>
      </c>
      <c r="R64" s="37">
        <f>SUMIF('HB TB'!$R:$R,'HB P&amp;L'!$A64,'HB TB'!F:F)</f>
        <v/>
      </c>
      <c r="S64" s="37">
        <f>SUMIF('HB TB'!$R:$R,'HB P&amp;L'!$A64,'HB TB'!G:G)</f>
        <v/>
      </c>
      <c r="T64" s="37">
        <f>SUMIF('HB TB'!$R:$R,'HB P&amp;L'!$A64,'HB TB'!H:H)</f>
        <v/>
      </c>
      <c r="U64" s="37">
        <f>SUMIF('HB TB'!$R:$R,'HB P&amp;L'!$A64,'HB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SUMIF('HB TB'!$R:$R,'HB P&amp;L'!$A65,'HB TB'!C:C)</f>
        <v/>
      </c>
      <c r="P65" s="37">
        <f>SUMIF('HB TB'!$R:$R,'HB P&amp;L'!$A65,'HB TB'!D:D)</f>
        <v/>
      </c>
      <c r="Q65" s="37">
        <f>SUMIF('HB TB'!$R:$R,'HB P&amp;L'!$A65,'HB TB'!E:E)</f>
        <v/>
      </c>
      <c r="R65" s="37">
        <f>SUMIF('HB TB'!$R:$R,'HB P&amp;L'!$A65,'HB TB'!F:F)</f>
        <v/>
      </c>
      <c r="S65" s="37">
        <f>SUMIF('HB TB'!$R:$R,'HB P&amp;L'!$A65,'HB TB'!G:G)</f>
        <v/>
      </c>
      <c r="T65" s="37">
        <f>SUMIF('HB TB'!$R:$R,'HB P&amp;L'!$A65,'HB TB'!H:H)</f>
        <v/>
      </c>
      <c r="U65" s="37">
        <f>SUMIF('HB TB'!$R:$R,'HB P&amp;L'!$A65,'HB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SUMIF('HB TB'!$R:$R,'HB P&amp;L'!$A66,'HB TB'!C:C)</f>
        <v/>
      </c>
      <c r="P66" s="37">
        <f>SUMIF('HB TB'!$R:$R,'HB P&amp;L'!$A66,'HB TB'!D:D)</f>
        <v/>
      </c>
      <c r="Q66" s="37">
        <f>SUMIF('HB TB'!$R:$R,'HB P&amp;L'!$A66,'HB TB'!E:E)</f>
        <v/>
      </c>
      <c r="R66" s="37">
        <f>SUMIF('HB TB'!$R:$R,'HB P&amp;L'!$A66,'HB TB'!F:F)</f>
        <v/>
      </c>
      <c r="S66" s="37">
        <f>SUMIF('HB TB'!$R:$R,'HB P&amp;L'!$A66,'HB TB'!G:G)</f>
        <v/>
      </c>
      <c r="T66" s="37">
        <f>SUMIF('HB TB'!$R:$R,'HB P&amp;L'!$A66,'HB TB'!H:H)</f>
        <v/>
      </c>
      <c r="U66" s="37">
        <f>SUMIF('HB TB'!$R:$R,'HB P&amp;L'!$A66,'HB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SUMIF('HB TB'!$R:$R,'HB P&amp;L'!$A67,'HB TB'!C:C)</f>
        <v/>
      </c>
      <c r="P67" s="37">
        <f>SUMIF('HB TB'!$R:$R,'HB P&amp;L'!$A67,'HB TB'!D:D)</f>
        <v/>
      </c>
      <c r="Q67" s="37">
        <f>SUMIF('HB TB'!$R:$R,'HB P&amp;L'!$A67,'HB TB'!E:E)</f>
        <v/>
      </c>
      <c r="R67" s="37">
        <f>SUMIF('HB TB'!$R:$R,'HB P&amp;L'!$A67,'HB TB'!F:F)</f>
        <v/>
      </c>
      <c r="S67" s="37">
        <f>SUMIF('HB TB'!$R:$R,'HB P&amp;L'!$A67,'HB TB'!G:G)</f>
        <v/>
      </c>
      <c r="T67" s="37">
        <f>SUMIF('HB TB'!$R:$R,'HB P&amp;L'!$A67,'HB TB'!H:H)</f>
        <v/>
      </c>
      <c r="U67" s="37">
        <f>SUMIF('HB TB'!$R:$R,'HB P&amp;L'!$A67,'HB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SUMIF('HB TB'!$R:$R,'HB P&amp;L'!$A68,'HB TB'!C:C)</f>
        <v/>
      </c>
      <c r="P68" s="37">
        <f>SUMIF('HB TB'!$R:$R,'HB P&amp;L'!$A68,'HB TB'!D:D)</f>
        <v/>
      </c>
      <c r="Q68" s="37">
        <f>SUMIF('HB TB'!$R:$R,'HB P&amp;L'!$A68,'HB TB'!E:E)</f>
        <v/>
      </c>
      <c r="R68" s="37">
        <f>SUMIF('HB TB'!$R:$R,'HB P&amp;L'!$A68,'HB TB'!F:F)</f>
        <v/>
      </c>
      <c r="S68" s="37">
        <f>SUMIF('HB TB'!$R:$R,'HB P&amp;L'!$A68,'HB TB'!G:G)</f>
        <v/>
      </c>
      <c r="T68" s="37">
        <f>SUMIF('HB TB'!$R:$R,'HB P&amp;L'!$A68,'HB TB'!H:H)</f>
        <v/>
      </c>
      <c r="U68" s="37">
        <f>SUMIF('HB TB'!$R:$R,'HB P&amp;L'!$A68,'HB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225.38</v>
      </c>
      <c r="C69" s="42" t="n">
        <v>210.16</v>
      </c>
      <c r="D69" s="42" t="n">
        <v>316.74</v>
      </c>
      <c r="E69" s="42" t="n">
        <v>328.73</v>
      </c>
      <c r="F69" s="42" t="n">
        <v>552.26</v>
      </c>
      <c r="G69" s="42" t="n">
        <v>516.27</v>
      </c>
      <c r="H69" s="42" t="n">
        <v>310.49</v>
      </c>
      <c r="I69" s="42" t="n">
        <v>384.38</v>
      </c>
      <c r="J69" s="42" t="n">
        <v>273.78</v>
      </c>
      <c r="K69" s="42" t="n">
        <v>300.06</v>
      </c>
      <c r="L69" s="42" t="n">
        <v>268.72</v>
      </c>
      <c r="M69" s="42" t="n">
        <v>432.18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19840.16</v>
      </c>
      <c r="C70" s="55" t="n">
        <v>11919.90000000001</v>
      </c>
      <c r="D70" s="55" t="n">
        <v>23564.37</v>
      </c>
      <c r="E70" s="55" t="n">
        <v>21728.25</v>
      </c>
      <c r="F70" s="55" t="n">
        <v>13489.69</v>
      </c>
      <c r="G70" s="55" t="n">
        <v>11385.88</v>
      </c>
      <c r="H70" s="55" t="n">
        <v>46817.39000000001</v>
      </c>
      <c r="I70" s="55" t="n">
        <v>5746.48</v>
      </c>
      <c r="J70" s="55" t="n">
        <v>3400.480000000002</v>
      </c>
      <c r="K70" s="55" t="n">
        <v>8365.140000000005</v>
      </c>
      <c r="L70" s="55" t="n">
        <v>24122.25999999999</v>
      </c>
      <c r="M70" s="55" t="n">
        <v>34355.94000000001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60" t="inlineStr">
        <is>
          <t>Direct - Sales</t>
        </is>
      </c>
      <c r="B74" s="60" t="n">
        <v>61503.97</v>
      </c>
      <c r="C74" s="60" t="n">
        <v>59645.76</v>
      </c>
      <c r="D74" s="60" t="n">
        <v>66901.66</v>
      </c>
      <c r="E74" s="60" t="n">
        <v>68107</v>
      </c>
      <c r="F74" s="60" t="n">
        <v>62743.32</v>
      </c>
      <c r="G74" s="60" t="n">
        <v>62857.84</v>
      </c>
      <c r="H74" s="60" t="n">
        <v>97384.39</v>
      </c>
      <c r="I74" s="60" t="n">
        <v>53550.42</v>
      </c>
      <c r="J74" s="60" t="n">
        <v>50986.47</v>
      </c>
      <c r="K74" s="8" t="n"/>
      <c r="L74" s="8" t="n"/>
      <c r="M74" s="8" t="n"/>
      <c r="N74" s="8" t="n"/>
      <c r="O74" s="60">
        <f>-SUMIF('HB TB'!$T:$T,'HB P&amp;L'!$A74,'HB TB'!C:C)</f>
        <v/>
      </c>
      <c r="P74" s="60">
        <f>-SUMIF('HB TB'!$T:$T,'HB P&amp;L'!$A74,'HB TB'!D:D)</f>
        <v/>
      </c>
      <c r="Q74" s="60">
        <f>-SUMIF('HB TB'!$T:$T,'HB P&amp;L'!$A74,'HB TB'!E:E)</f>
        <v/>
      </c>
      <c r="R74" s="60">
        <f>-SUMIF('HB TB'!$T:$T,'HB P&amp;L'!$A74,'HB TB'!F:F)</f>
        <v/>
      </c>
      <c r="S74" s="60">
        <f>-SUMIF('HB TB'!$T:$T,'HB P&amp;L'!$A74,'HB TB'!G:G)</f>
        <v/>
      </c>
      <c r="T74" s="60">
        <f>-SUMIF('HB TB'!$T:$T,'HB P&amp;L'!$A74,'HB TB'!H:H)</f>
        <v/>
      </c>
      <c r="U74" s="60">
        <f>-SUMIF('HB TB'!$T:$T,'HB P&amp;L'!$A74,'HB TB'!I:I)</f>
        <v/>
      </c>
      <c r="V74" s="60">
        <f>-SUMIF('HB TB'!$T:$T,'HB P&amp;L'!$A74,'HB TB'!J:J)</f>
        <v/>
      </c>
      <c r="W74" s="60">
        <f>-SUMIF('HB TB'!$T:$T,'HB P&amp;L'!$A74,'HB TB'!K:K)</f>
        <v/>
      </c>
      <c r="X74" s="60">
        <f>-SUMIF('HB TB'!$T:$T,'HB P&amp;L'!$A74,'HB TB'!L:L)</f>
        <v/>
      </c>
      <c r="Y74" s="60">
        <f>-SUMIF('HB TB'!$T:$T,'HB P&amp;L'!$A74,'HB TB'!M:M)</f>
        <v/>
      </c>
      <c r="Z74" s="60">
        <f>-SUMIF('HB TB'!$T:$T,'HB P&amp;L'!$A74,'HB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Direct - Staff Cost</t>
        </is>
      </c>
      <c r="B75" s="18" t="n">
        <v>-27701.32</v>
      </c>
      <c r="C75" s="18" t="n">
        <v>-29467.69</v>
      </c>
      <c r="D75" s="18" t="n">
        <v>-30030</v>
      </c>
      <c r="E75" s="18" t="n">
        <v>-33446.57</v>
      </c>
      <c r="F75" s="18" t="n">
        <v>-35440.64</v>
      </c>
      <c r="G75" s="18" t="n">
        <v>-37369.00000000001</v>
      </c>
      <c r="H75" s="18" t="n">
        <v>-36795.89</v>
      </c>
      <c r="I75" s="18" t="n">
        <v>-34385.2</v>
      </c>
      <c r="J75" s="18" t="n">
        <v>-34246.48</v>
      </c>
      <c r="K75" s="18" t="n"/>
      <c r="L75" s="18" t="n"/>
      <c r="M75" s="18" t="n"/>
      <c r="N75" s="8" t="n"/>
      <c r="O75" s="60">
        <f>-SUMIF('HB TB'!$T:$T,'HB P&amp;L'!$A75,'HB TB'!C:C)</f>
        <v/>
      </c>
      <c r="P75" s="60">
        <f>-SUMIF('HB TB'!$T:$T,'HB P&amp;L'!$A75,'HB TB'!D:D)</f>
        <v/>
      </c>
      <c r="Q75" s="60">
        <f>-SUMIF('HB TB'!$T:$T,'HB P&amp;L'!$A75,'HB TB'!E:E)</f>
        <v/>
      </c>
      <c r="R75" s="60">
        <f>-SUMIF('HB TB'!$T:$T,'HB P&amp;L'!$A75,'HB TB'!F:F)</f>
        <v/>
      </c>
      <c r="S75" s="60">
        <f>-SUMIF('HB TB'!$T:$T,'HB P&amp;L'!$A75,'HB TB'!G:G)</f>
        <v/>
      </c>
      <c r="T75" s="60">
        <f>-SUMIF('HB TB'!$T:$T,'HB P&amp;L'!$A75,'HB TB'!H:H)</f>
        <v/>
      </c>
      <c r="U75" s="60">
        <f>-SUMIF('HB TB'!$T:$T,'HB P&amp;L'!$A75,'HB TB'!I:I)</f>
        <v/>
      </c>
      <c r="V75" s="60">
        <f>-SUMIF('HB TB'!$T:$T,'HB P&amp;L'!$A75,'HB TB'!J:J)</f>
        <v/>
      </c>
      <c r="W75" s="60">
        <f>-SUMIF('HB TB'!$T:$T,'HB P&amp;L'!$A75,'HB TB'!K:K)</f>
        <v/>
      </c>
      <c r="X75" s="60">
        <f>-SUMIF('HB TB'!$T:$T,'HB P&amp;L'!$A75,'HB TB'!L:L)</f>
        <v/>
      </c>
      <c r="Y75" s="60">
        <f>-SUMIF('HB TB'!$T:$T,'HB P&amp;L'!$A75,'HB TB'!M:M)</f>
        <v/>
      </c>
      <c r="Z75" s="60">
        <f>-SUMIF('HB TB'!$T:$T,'HB P&amp;L'!$A75,'HB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60" t="inlineStr">
        <is>
          <t>Direct - Childcare Cost</t>
        </is>
      </c>
      <c r="B76" s="18" t="n">
        <v>-3448.529999999999</v>
      </c>
      <c r="C76" s="18" t="n">
        <v>-3337.56</v>
      </c>
      <c r="D76" s="18" t="n">
        <v>-2499.3</v>
      </c>
      <c r="E76" s="18" t="n">
        <v>-2440.14</v>
      </c>
      <c r="F76" s="18" t="n">
        <v>-2608.559999999999</v>
      </c>
      <c r="G76" s="18" t="n">
        <v>-2963.46</v>
      </c>
      <c r="H76" s="18" t="n">
        <v>-2814.09</v>
      </c>
      <c r="I76" s="18" t="n">
        <v>-2688.64</v>
      </c>
      <c r="J76" s="18" t="n">
        <v>-2523.02</v>
      </c>
      <c r="K76" s="18" t="n"/>
      <c r="L76" s="18" t="n"/>
      <c r="M76" s="18" t="n"/>
      <c r="N76" s="8" t="n"/>
      <c r="O76" s="60">
        <f>-SUMIF('HB TB'!$T:$T,'HB P&amp;L'!$A76,'HB TB'!C:C)</f>
        <v/>
      </c>
      <c r="P76" s="60">
        <f>-SUMIF('HB TB'!$T:$T,'HB P&amp;L'!$A76,'HB TB'!D:D)</f>
        <v/>
      </c>
      <c r="Q76" s="60">
        <f>-SUMIF('HB TB'!$T:$T,'HB P&amp;L'!$A76,'HB TB'!E:E)</f>
        <v/>
      </c>
      <c r="R76" s="60">
        <f>-SUMIF('HB TB'!$T:$T,'HB P&amp;L'!$A76,'HB TB'!F:F)</f>
        <v/>
      </c>
      <c r="S76" s="60">
        <f>-SUMIF('HB TB'!$T:$T,'HB P&amp;L'!$A76,'HB TB'!G:G)</f>
        <v/>
      </c>
      <c r="T76" s="60">
        <f>-SUMIF('HB TB'!$T:$T,'HB P&amp;L'!$A76,'HB TB'!H:H)</f>
        <v/>
      </c>
      <c r="U76" s="60">
        <f>-SUMIF('HB TB'!$T:$T,'HB P&amp;L'!$A76,'HB TB'!I:I)</f>
        <v/>
      </c>
      <c r="V76" s="60">
        <f>-SUMIF('HB TB'!$T:$T,'HB P&amp;L'!$A76,'HB TB'!J:J)</f>
        <v/>
      </c>
      <c r="W76" s="60">
        <f>-SUMIF('HB TB'!$T:$T,'HB P&amp;L'!$A76,'HB TB'!K:K)</f>
        <v/>
      </c>
      <c r="X76" s="60">
        <f>-SUMIF('HB TB'!$T:$T,'HB P&amp;L'!$A76,'HB TB'!L:L)</f>
        <v/>
      </c>
      <c r="Y76" s="60">
        <f>-SUMIF('HB TB'!$T:$T,'HB P&amp;L'!$A76,'HB TB'!M:M)</f>
        <v/>
      </c>
      <c r="Z76" s="60">
        <f>-SUMIF('HB TB'!$T:$T,'HB P&amp;L'!$A76,'HB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Direct - Premises &amp; Admin</t>
        </is>
      </c>
      <c r="B77" s="18" t="n">
        <v>-10288.58</v>
      </c>
      <c r="C77" s="18" t="n">
        <v>-14710.45</v>
      </c>
      <c r="D77" s="18" t="n">
        <v>-10491.25</v>
      </c>
      <c r="E77" s="18" t="n">
        <v>-10163.31</v>
      </c>
      <c r="F77" s="18" t="n">
        <v>-10652.17</v>
      </c>
      <c r="G77" s="18" t="n">
        <v>-10623.23</v>
      </c>
      <c r="H77" s="18" t="n">
        <v>-10646.53</v>
      </c>
      <c r="I77" s="18" t="n">
        <v>-10345.72</v>
      </c>
      <c r="J77" s="18" t="n">
        <v>-10542.71</v>
      </c>
      <c r="K77" s="18" t="n"/>
      <c r="L77" s="18" t="n"/>
      <c r="M77" s="18" t="n"/>
      <c r="N77" s="8" t="n"/>
      <c r="O77" s="60">
        <f>-SUMIF('HB TB'!$T:$T,'HB P&amp;L'!$A77,'HB TB'!C:C)</f>
        <v/>
      </c>
      <c r="P77" s="60">
        <f>-SUMIF('HB TB'!$T:$T,'HB P&amp;L'!$A77,'HB TB'!D:D)</f>
        <v/>
      </c>
      <c r="Q77" s="60">
        <f>-SUMIF('HB TB'!$T:$T,'HB P&amp;L'!$A77,'HB TB'!E:E)</f>
        <v/>
      </c>
      <c r="R77" s="60">
        <f>-SUMIF('HB TB'!$T:$T,'HB P&amp;L'!$A77,'HB TB'!F:F)</f>
        <v/>
      </c>
      <c r="S77" s="60">
        <f>-SUMIF('HB TB'!$T:$T,'HB P&amp;L'!$A77,'HB TB'!G:G)</f>
        <v/>
      </c>
      <c r="T77" s="60">
        <f>-SUMIF('HB TB'!$T:$T,'HB P&amp;L'!$A77,'HB TB'!H:H)</f>
        <v/>
      </c>
      <c r="U77" s="60">
        <f>-SUMIF('HB TB'!$T:$T,'HB P&amp;L'!$A77,'HB TB'!I:I)</f>
        <v/>
      </c>
      <c r="V77" s="60">
        <f>-SUMIF('HB TB'!$T:$T,'HB P&amp;L'!$A77,'HB TB'!J:J)</f>
        <v/>
      </c>
      <c r="W77" s="60">
        <f>-SUMIF('HB TB'!$T:$T,'HB P&amp;L'!$A77,'HB TB'!K:K)</f>
        <v/>
      </c>
      <c r="X77" s="60">
        <f>-SUMIF('HB TB'!$T:$T,'HB P&amp;L'!$A77,'HB TB'!L:L)</f>
        <v/>
      </c>
      <c r="Y77" s="60">
        <f>-SUMIF('HB TB'!$T:$T,'HB P&amp;L'!$A77,'HB TB'!M:M)</f>
        <v/>
      </c>
      <c r="Z77" s="60">
        <f>-SUMIF('HB TB'!$T:$T,'HB P&amp;L'!$A77,'HB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/>
      <c r="L78" s="18" t="n"/>
      <c r="M78" s="18" t="n"/>
      <c r="N78" s="8" t="n"/>
      <c r="O78" s="60">
        <f>-SUMIF('HB TB'!$T:$T,'HB P&amp;L'!$A78,'HB TB'!C:C)</f>
        <v/>
      </c>
      <c r="P78" s="60">
        <f>-SUMIF('HB TB'!$T:$T,'HB P&amp;L'!$A78,'HB TB'!D:D)</f>
        <v/>
      </c>
      <c r="Q78" s="60">
        <f>-SUMIF('HB TB'!$T:$T,'HB P&amp;L'!$A78,'HB TB'!E:E)</f>
        <v/>
      </c>
      <c r="R78" s="60">
        <f>-SUMIF('HB TB'!$T:$T,'HB P&amp;L'!$A78,'HB TB'!F:F)</f>
        <v/>
      </c>
      <c r="S78" s="60">
        <f>-SUMIF('HB TB'!$T:$T,'HB P&amp;L'!$A78,'HB TB'!G:G)</f>
        <v/>
      </c>
      <c r="T78" s="60">
        <f>-SUMIF('HB TB'!$T:$T,'HB P&amp;L'!$A78,'HB TB'!H:H)</f>
        <v/>
      </c>
      <c r="U78" s="60">
        <f>-SUMIF('HB TB'!$T:$T,'HB P&amp;L'!$A78,'HB TB'!I:I)</f>
        <v/>
      </c>
      <c r="V78" s="60">
        <f>-SUMIF('HB TB'!$T:$T,'HB P&amp;L'!$A78,'HB TB'!J:J)</f>
        <v/>
      </c>
      <c r="W78" s="60">
        <f>-SUMIF('HB TB'!$T:$T,'HB P&amp;L'!$A78,'HB TB'!K:K)</f>
        <v/>
      </c>
      <c r="X78" s="60">
        <f>-SUMIF('HB TB'!$T:$T,'HB P&amp;L'!$A78,'HB TB'!L:L)</f>
        <v/>
      </c>
      <c r="Y78" s="60">
        <f>-SUMIF('HB TB'!$T:$T,'HB P&amp;L'!$A78,'HB TB'!M:M)</f>
        <v/>
      </c>
      <c r="Z78" s="60">
        <f>-SUMIF('HB TB'!$T:$T,'HB P&amp;L'!$A78,'HB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60" t="inlineStr">
        <is>
          <t>In-Direct - Overheads</t>
        </is>
      </c>
      <c r="B79" s="18" t="n">
        <v>-225.38</v>
      </c>
      <c r="C79" s="18" t="n">
        <v>-210.16</v>
      </c>
      <c r="D79" s="18" t="n">
        <v>-316.74</v>
      </c>
      <c r="E79" s="18" t="n">
        <v>-328.73</v>
      </c>
      <c r="F79" s="18" t="n">
        <v>-552.26</v>
      </c>
      <c r="G79" s="18" t="n">
        <v>-516.27</v>
      </c>
      <c r="H79" s="18" t="n">
        <v>-310.49</v>
      </c>
      <c r="I79" s="18" t="n">
        <v>-384.38</v>
      </c>
      <c r="J79" s="18" t="n">
        <v>-273.78</v>
      </c>
      <c r="K79" s="18" t="n"/>
      <c r="L79" s="18" t="n"/>
      <c r="M79" s="18" t="n"/>
      <c r="N79" s="8" t="n"/>
      <c r="O79" s="60">
        <f>-SUMIF('HB TB'!$T:$T,'HB P&amp;L'!$A79,'HB TB'!C:C)</f>
        <v/>
      </c>
      <c r="P79" s="60">
        <f>-SUMIF('HB TB'!$T:$T,'HB P&amp;L'!$A79,'HB TB'!D:D)</f>
        <v/>
      </c>
      <c r="Q79" s="60">
        <f>-SUMIF('HB TB'!$T:$T,'HB P&amp;L'!$A79,'HB TB'!E:E)</f>
        <v/>
      </c>
      <c r="R79" s="60">
        <f>-SUMIF('HB TB'!$T:$T,'HB P&amp;L'!$A79,'HB TB'!F:F)</f>
        <v/>
      </c>
      <c r="S79" s="60">
        <f>-SUMIF('HB TB'!$T:$T,'HB P&amp;L'!$A79,'HB TB'!G:G)</f>
        <v/>
      </c>
      <c r="T79" s="60">
        <f>-SUMIF('HB TB'!$T:$T,'HB P&amp;L'!$A79,'HB TB'!H:H)</f>
        <v/>
      </c>
      <c r="U79" s="60">
        <f>-SUMIF('HB TB'!$T:$T,'HB P&amp;L'!$A79,'HB TB'!I:I)</f>
        <v/>
      </c>
      <c r="V79" s="60">
        <f>-SUMIF('HB TB'!$T:$T,'HB P&amp;L'!$A79,'HB TB'!J:J)</f>
        <v/>
      </c>
      <c r="W79" s="60">
        <f>-SUMIF('HB TB'!$T:$T,'HB P&amp;L'!$A79,'HB TB'!K:K)</f>
        <v/>
      </c>
      <c r="X79" s="60">
        <f>-SUMIF('HB TB'!$T:$T,'HB P&amp;L'!$A79,'HB TB'!L:L)</f>
        <v/>
      </c>
      <c r="Y79" s="60">
        <f>-SUMIF('HB TB'!$T:$T,'HB P&amp;L'!$A79,'HB TB'!M:M)</f>
        <v/>
      </c>
      <c r="Z79" s="60">
        <f>-SUMIF('HB TB'!$T:$T,'HB P&amp;L'!$A79,'HB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67" t="n">
        <v>19840.16</v>
      </c>
      <c r="C80" s="67" t="n">
        <v>11919.9</v>
      </c>
      <c r="D80" s="67" t="n">
        <v>23564.37</v>
      </c>
      <c r="E80" s="67" t="n">
        <v>21728.25</v>
      </c>
      <c r="F80" s="67" t="n">
        <v>13489.69</v>
      </c>
      <c r="G80" s="67" t="n">
        <v>11385.88</v>
      </c>
      <c r="H80" s="67" t="n">
        <v>46817.39000000001</v>
      </c>
      <c r="I80" s="67" t="n">
        <v>5746.480000000002</v>
      </c>
      <c r="J80" s="67" t="n">
        <v>3400.479999999997</v>
      </c>
      <c r="K80" s="67" t="n"/>
      <c r="L80" s="67" t="n"/>
      <c r="M80" s="67" t="n"/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8" t="n"/>
      <c r="AJ80" s="64" t="n"/>
      <c r="AK80" s="64" t="n"/>
      <c r="AL80" s="64" t="n"/>
      <c r="AM80" s="64" t="n"/>
      <c r="AN80" s="64" t="n"/>
      <c r="AO80" s="64" t="n"/>
      <c r="AP80" s="64" t="n"/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5.456968210637569e-12</v>
      </c>
      <c r="K81" s="18" t="n"/>
      <c r="L81" s="18" t="n"/>
      <c r="M81" s="18" t="n"/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0</v>
      </c>
      <c r="G83" s="18" t="n">
        <v>0</v>
      </c>
      <c r="H83" s="18" t="n">
        <v>0</v>
      </c>
      <c r="I83" s="18" t="n">
        <v>9.094947017729282e-12</v>
      </c>
      <c r="J83" s="18" t="n">
        <v>-5.456968210637569e-12</v>
      </c>
      <c r="K83" s="18" t="n"/>
      <c r="L83" s="18" t="n"/>
      <c r="M83" s="18" t="n"/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18" t="n">
        <v>-19840.15999999999</v>
      </c>
      <c r="C84" s="18" t="n">
        <v>-11919.9</v>
      </c>
      <c r="D84" s="18" t="n">
        <v>-23564.37</v>
      </c>
      <c r="E84" s="18" t="n">
        <v>-21728.25</v>
      </c>
      <c r="F84" s="18" t="n">
        <v>-13489.68999999999</v>
      </c>
      <c r="G84" s="18" t="n">
        <v>-11385.88</v>
      </c>
      <c r="H84" s="18" t="n">
        <v>-46817.38999999999</v>
      </c>
      <c r="I84" s="18" t="n">
        <v>-5746.479999999993</v>
      </c>
      <c r="J84" s="18" t="n">
        <v>-3400.480000000002</v>
      </c>
      <c r="K84" s="18" t="n"/>
      <c r="L84" s="18" t="n"/>
      <c r="M84" s="18" t="n"/>
      <c r="N84" s="8" t="n"/>
      <c r="O84" s="60">
        <f>SUM('HB TB'!C2:C43)</f>
        <v/>
      </c>
      <c r="P84" s="60">
        <f>SUM('HB TB'!D2:D43)</f>
        <v/>
      </c>
      <c r="Q84" s="60">
        <f>SUM('HB TB'!E2:E43)</f>
        <v/>
      </c>
      <c r="R84" s="60">
        <f>SUM('HB TB'!F2:F43)</f>
        <v/>
      </c>
      <c r="S84" s="60">
        <f>SUM('HB TB'!G2:G43)</f>
        <v/>
      </c>
      <c r="T84" s="60">
        <f>SUM('HB TB'!H2:H43)</f>
        <v/>
      </c>
      <c r="U84" s="60">
        <f>SUM('HB TB'!I2:I43)</f>
        <v/>
      </c>
      <c r="V84" s="60">
        <f>SUM('HB TB'!J2:J43)</f>
        <v/>
      </c>
      <c r="W84" s="60">
        <f>SUM('HB TB'!K2:K43)</f>
        <v/>
      </c>
      <c r="X84" s="60">
        <f>SUM('HB TB'!L2:L43)</f>
        <v/>
      </c>
      <c r="Y84" s="60">
        <f>SUM('HB TB'!M2:M43)</f>
        <v/>
      </c>
      <c r="Z84" s="60">
        <f>SUM('HB TB'!N2:N43)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Our Den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1523.64</v>
      </c>
      <c r="K8" s="35" t="n">
        <v>993.6600000000001</v>
      </c>
      <c r="L8" s="35" t="n">
        <v>851.8</v>
      </c>
      <c r="M8" s="35" t="n">
        <v>1363.66</v>
      </c>
      <c r="N8" s="36">
        <f>SUM(B8:M8)</f>
        <v/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37" t="n">
        <v>0</v>
      </c>
      <c r="U8" s="37" t="n">
        <v>0</v>
      </c>
      <c r="V8" s="38" t="n">
        <v>0</v>
      </c>
      <c r="W8" s="38" t="n">
        <v>2465</v>
      </c>
      <c r="X8" s="38" t="n">
        <v>3423</v>
      </c>
      <c r="Y8" s="38" t="n">
        <v>4356</v>
      </c>
      <c r="Z8" s="38" t="n">
        <v>2857</v>
      </c>
      <c r="AA8" s="36">
        <f>SUM(O8:U8)</f>
        <v/>
      </c>
      <c r="AB8" s="36">
        <f>SUM(O8:Z8)</f>
        <v/>
      </c>
      <c r="AC8" s="38" t="n">
        <v>29839.75</v>
      </c>
      <c r="AD8" s="38" t="n">
        <v>21836.64</v>
      </c>
      <c r="AE8" s="38" t="n">
        <v>28707.94</v>
      </c>
      <c r="AF8" s="38" t="n">
        <v>22423.44</v>
      </c>
      <c r="AG8" s="38" t="n">
        <v>29115.52</v>
      </c>
      <c r="AH8" s="38" t="n">
        <v>27182.25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6791.83</v>
      </c>
      <c r="M9" s="35" t="n">
        <v>6791.83</v>
      </c>
      <c r="N9" s="36">
        <f>SUM(B9:M9)</f>
        <v/>
      </c>
      <c r="O9" s="37" t="n">
        <v>0</v>
      </c>
      <c r="P9" s="37" t="n">
        <v>0</v>
      </c>
      <c r="Q9" s="37" t="n">
        <v>0</v>
      </c>
      <c r="R9" s="37" t="n">
        <v>0</v>
      </c>
      <c r="S9" s="37" t="n">
        <v>0</v>
      </c>
      <c r="T9" s="37" t="n">
        <v>0</v>
      </c>
      <c r="U9" s="37" t="n">
        <v>0</v>
      </c>
      <c r="V9" s="38" t="n">
        <v>0</v>
      </c>
      <c r="W9" s="38" t="n">
        <v>20848</v>
      </c>
      <c r="X9" s="38" t="n">
        <v>20843</v>
      </c>
      <c r="Y9" s="38" t="n">
        <v>25973</v>
      </c>
      <c r="Z9" s="38" t="n">
        <v>17232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 t="n">
        <v>0</v>
      </c>
      <c r="P10" s="37" t="n">
        <v>0</v>
      </c>
      <c r="Q10" s="37" t="n">
        <v>0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1523.64</v>
      </c>
      <c r="K11" s="42" t="n">
        <v>993.6600000000001</v>
      </c>
      <c r="L11" s="42" t="n">
        <v>7643.63</v>
      </c>
      <c r="M11" s="42" t="n">
        <v>8155.49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 t="n"/>
      <c r="F13" s="47" t="n"/>
      <c r="G13" s="47" t="n"/>
      <c r="H13" s="47" t="n"/>
      <c r="I13" s="47" t="n"/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6448.15</v>
      </c>
      <c r="K16" s="35" t="n">
        <v>6689.36</v>
      </c>
      <c r="L16" s="35" t="n">
        <v>6765.64</v>
      </c>
      <c r="M16" s="35" t="n">
        <v>6815.95</v>
      </c>
      <c r="N16" s="36">
        <f>SUM(B16:M16)</f>
        <v/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8" t="n">
        <v>9114</v>
      </c>
      <c r="W16" s="38" t="n">
        <v>9114</v>
      </c>
      <c r="X16" s="38" t="n">
        <v>9114</v>
      </c>
      <c r="Y16" s="38" t="n">
        <v>9114</v>
      </c>
      <c r="Z16" s="38" t="n">
        <v>9114</v>
      </c>
      <c r="AA16" s="36">
        <f>SUM(O16:U16)</f>
        <v/>
      </c>
      <c r="AB16" s="36">
        <f>SUM(O16:Z16)</f>
        <v/>
      </c>
      <c r="AC16" s="38" t="n">
        <v>9114</v>
      </c>
      <c r="AD16" s="38" t="n">
        <v>9114</v>
      </c>
      <c r="AE16" s="38" t="n">
        <v>9114</v>
      </c>
      <c r="AF16" s="38" t="n">
        <v>9114</v>
      </c>
      <c r="AG16" s="38" t="n">
        <v>9114</v>
      </c>
      <c r="AH16" s="38" t="n">
        <v>9114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654.47</v>
      </c>
      <c r="K17" s="35" t="n">
        <v>753.2</v>
      </c>
      <c r="L17" s="35" t="n">
        <v>764.64</v>
      </c>
      <c r="M17" s="35" t="n">
        <v>772.1800000000001</v>
      </c>
      <c r="N17" s="36">
        <f>SUM(B17:M17)</f>
        <v/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37" t="n">
        <v>0</v>
      </c>
      <c r="U17" s="37" t="n">
        <v>0</v>
      </c>
      <c r="V17" s="38" t="n">
        <v>871</v>
      </c>
      <c r="W17" s="38" t="n">
        <v>871</v>
      </c>
      <c r="X17" s="38" t="n">
        <v>871</v>
      </c>
      <c r="Y17" s="38" t="n">
        <v>871</v>
      </c>
      <c r="Z17" s="38" t="n">
        <v>871</v>
      </c>
      <c r="AA17" s="36">
        <f>SUM(O17:U17)</f>
        <v/>
      </c>
      <c r="AB17" s="36">
        <f>SUM(O17:Z17)</f>
        <v/>
      </c>
      <c r="AC17" s="38" t="n">
        <v>871</v>
      </c>
      <c r="AD17" s="38" t="n">
        <v>871</v>
      </c>
      <c r="AE17" s="38" t="n">
        <v>871</v>
      </c>
      <c r="AF17" s="38" t="n">
        <v>871</v>
      </c>
      <c r="AG17" s="38" t="n">
        <v>871</v>
      </c>
      <c r="AH17" s="38" t="n">
        <v>871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140.54</v>
      </c>
      <c r="M18" s="35" t="n">
        <v>142.06</v>
      </c>
      <c r="N18" s="36">
        <f>SUM(B18:M18)</f>
        <v/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37" t="n">
        <v>0</v>
      </c>
      <c r="U18" s="37" t="n">
        <v>0</v>
      </c>
      <c r="V18" s="38" t="n">
        <v>143.99</v>
      </c>
      <c r="W18" s="38" t="n">
        <v>143.99</v>
      </c>
      <c r="X18" s="38" t="n">
        <v>143.99</v>
      </c>
      <c r="Y18" s="38" t="n">
        <v>143.99</v>
      </c>
      <c r="Z18" s="38" t="n">
        <v>143.99</v>
      </c>
      <c r="AA18" s="36">
        <f>SUM(O18:U18)</f>
        <v/>
      </c>
      <c r="AB18" s="36">
        <f>SUM(O18:Z18)</f>
        <v/>
      </c>
      <c r="AC18" s="38" t="n">
        <v>143.99</v>
      </c>
      <c r="AD18" s="38" t="n">
        <v>143.99</v>
      </c>
      <c r="AE18" s="38" t="n">
        <v>143.99</v>
      </c>
      <c r="AF18" s="38" t="n">
        <v>143.99</v>
      </c>
      <c r="AG18" s="38" t="n">
        <v>143.99</v>
      </c>
      <c r="AH18" s="38" t="n">
        <v>143.99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0</v>
      </c>
      <c r="U19" s="37" t="n">
        <v>0</v>
      </c>
      <c r="V19" s="38" t="n">
        <v>20</v>
      </c>
      <c r="W19" s="38" t="n">
        <v>20</v>
      </c>
      <c r="X19" s="38" t="n">
        <v>20</v>
      </c>
      <c r="Y19" s="38" t="n">
        <v>20</v>
      </c>
      <c r="Z19" s="38" t="n">
        <v>20</v>
      </c>
      <c r="AA19" s="36">
        <f>SUM(O19:U19)</f>
        <v/>
      </c>
      <c r="AB19" s="36">
        <f>SUM(O19:Z19)</f>
        <v/>
      </c>
      <c r="AC19" s="38" t="n">
        <v>20</v>
      </c>
      <c r="AD19" s="38" t="n">
        <v>20</v>
      </c>
      <c r="AE19" s="38" t="n">
        <v>20</v>
      </c>
      <c r="AF19" s="38" t="n">
        <v>20</v>
      </c>
      <c r="AG19" s="38" t="n">
        <v>20</v>
      </c>
      <c r="AH19" s="38" t="n">
        <v>20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0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114</v>
      </c>
      <c r="M20" s="35" t="n">
        <v>0</v>
      </c>
      <c r="N20" s="36">
        <f>SUM(B20:M20)</f>
        <v/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7" t="n">
        <v>0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25.03</v>
      </c>
      <c r="K21" s="35" t="n">
        <v>25.27</v>
      </c>
      <c r="L21" s="35" t="n">
        <v>11.27</v>
      </c>
      <c r="M21" s="35" t="n">
        <v>0</v>
      </c>
      <c r="N21" s="36">
        <f>SUM(B21:M21)</f>
        <v/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37" t="n">
        <v>0</v>
      </c>
      <c r="U21" s="37" t="n">
        <v>0</v>
      </c>
      <c r="V21" s="38" t="n">
        <v>40</v>
      </c>
      <c r="W21" s="38" t="n">
        <v>40</v>
      </c>
      <c r="X21" s="38" t="n">
        <v>40</v>
      </c>
      <c r="Y21" s="38" t="n">
        <v>40</v>
      </c>
      <c r="Z21" s="38" t="n">
        <v>40</v>
      </c>
      <c r="AA21" s="36">
        <f>SUM(O21:U21)</f>
        <v/>
      </c>
      <c r="AB21" s="36">
        <f>SUM(O21:Z21)</f>
        <v/>
      </c>
      <c r="AC21" s="38" t="n">
        <v>40</v>
      </c>
      <c r="AD21" s="38" t="n">
        <v>40</v>
      </c>
      <c r="AE21" s="38" t="n">
        <v>40</v>
      </c>
      <c r="AF21" s="38" t="n">
        <v>40</v>
      </c>
      <c r="AG21" s="38" t="n">
        <v>40</v>
      </c>
      <c r="AH21" s="38" t="n">
        <v>40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8" t="n">
        <v>17</v>
      </c>
      <c r="W23" s="38" t="n">
        <v>17</v>
      </c>
      <c r="X23" s="38" t="n">
        <v>17</v>
      </c>
      <c r="Y23" s="38" t="n">
        <v>17</v>
      </c>
      <c r="Z23" s="38" t="n">
        <v>17</v>
      </c>
      <c r="AA23" s="36">
        <f>SUM(O23:U23)</f>
        <v/>
      </c>
      <c r="AB23" s="36">
        <f>SUM(O23:Z23)</f>
        <v/>
      </c>
      <c r="AC23" s="38" t="n">
        <v>17</v>
      </c>
      <c r="AD23" s="38" t="n">
        <v>17</v>
      </c>
      <c r="AE23" s="38" t="n">
        <v>17</v>
      </c>
      <c r="AF23" s="38" t="n">
        <v>17</v>
      </c>
      <c r="AG23" s="38" t="n">
        <v>17</v>
      </c>
      <c r="AH23" s="38" t="n">
        <v>17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 t="n">
        <v>0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7" t="n">
        <v>0</v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0</v>
      </c>
      <c r="C25" s="42" t="n">
        <v>0</v>
      </c>
      <c r="D25" s="42" t="n">
        <v>0</v>
      </c>
      <c r="E25" s="42" t="n">
        <v>0</v>
      </c>
      <c r="F25" s="42" t="n">
        <v>0</v>
      </c>
      <c r="G25" s="42" t="n">
        <v>0</v>
      </c>
      <c r="H25" s="42" t="n">
        <v>0</v>
      </c>
      <c r="I25" s="42" t="n">
        <v>0</v>
      </c>
      <c r="J25" s="42" t="n">
        <v>7127.65</v>
      </c>
      <c r="K25" s="42" t="n">
        <v>7467.83</v>
      </c>
      <c r="L25" s="42" t="n">
        <v>7796.090000000001</v>
      </c>
      <c r="M25" s="42" t="n">
        <v>7730.190000000001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5" t="n">
        <v>0</v>
      </c>
      <c r="I27" s="35" t="n">
        <v>0</v>
      </c>
      <c r="J27" s="35" t="n">
        <v>125.31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 t="n">
        <v>0</v>
      </c>
      <c r="P27" s="37" t="n">
        <v>0</v>
      </c>
      <c r="Q27" s="37" t="n">
        <v>0</v>
      </c>
      <c r="R27" s="37" t="n">
        <v>0</v>
      </c>
      <c r="S27" s="37" t="n">
        <v>0</v>
      </c>
      <c r="T27" s="37" t="n">
        <v>0</v>
      </c>
      <c r="U27" s="37" t="n">
        <v>0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3627.11</v>
      </c>
      <c r="K28" s="35" t="n">
        <v>38.69</v>
      </c>
      <c r="L28" s="35" t="n">
        <v>19.59</v>
      </c>
      <c r="M28" s="35" t="n">
        <v>0</v>
      </c>
      <c r="N28" s="36">
        <f>SUM(B28:M28)</f>
        <v/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141.54</v>
      </c>
      <c r="K29" s="35" t="n">
        <v>0</v>
      </c>
      <c r="L29" s="35" t="n">
        <v>118.68</v>
      </c>
      <c r="M29" s="35" t="n">
        <v>0</v>
      </c>
      <c r="N29" s="36">
        <f>SUM(B29:M29)</f>
        <v/>
      </c>
      <c r="O29" s="37" t="n">
        <v>0</v>
      </c>
      <c r="P29" s="37" t="n">
        <v>0</v>
      </c>
      <c r="Q29" s="37" t="n">
        <v>0</v>
      </c>
      <c r="R29" s="37" t="n">
        <v>0</v>
      </c>
      <c r="S29" s="37" t="n">
        <v>0</v>
      </c>
      <c r="T29" s="37" t="n">
        <v>0</v>
      </c>
      <c r="U29" s="37" t="n">
        <v>0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0.00208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 t="n">
        <v>0</v>
      </c>
      <c r="P30" s="37" t="n">
        <v>0</v>
      </c>
      <c r="Q30" s="37" t="n">
        <v>0</v>
      </c>
      <c r="R30" s="37" t="n">
        <v>0</v>
      </c>
      <c r="S30" s="37" t="n">
        <v>0</v>
      </c>
      <c r="T30" s="37" t="n">
        <v>0</v>
      </c>
      <c r="U30" s="37" t="n">
        <v>0</v>
      </c>
      <c r="V30" s="38" t="n">
        <v>50</v>
      </c>
      <c r="W30" s="38" t="n">
        <v>50</v>
      </c>
      <c r="X30" s="38" t="n">
        <v>50</v>
      </c>
      <c r="Y30" s="38" t="n">
        <v>50</v>
      </c>
      <c r="Z30" s="38" t="n">
        <v>50</v>
      </c>
      <c r="AA30" s="36">
        <f>SUM(O30:U30)</f>
        <v/>
      </c>
      <c r="AB30" s="36">
        <f>SUM(O30:Z30)</f>
        <v/>
      </c>
      <c r="AC30" s="38" t="n">
        <v>50</v>
      </c>
      <c r="AD30" s="38" t="n">
        <v>50</v>
      </c>
      <c r="AE30" s="38" t="n">
        <v>50</v>
      </c>
      <c r="AF30" s="38" t="n">
        <v>50</v>
      </c>
      <c r="AG30" s="38" t="n">
        <v>50</v>
      </c>
      <c r="AH30" s="38" t="n">
        <v>50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224.96</v>
      </c>
      <c r="J31" s="35" t="n">
        <v>196.03</v>
      </c>
      <c r="K31" s="35" t="n">
        <v>85.5</v>
      </c>
      <c r="L31" s="35" t="n">
        <v>39.63</v>
      </c>
      <c r="M31" s="35" t="n">
        <v>0</v>
      </c>
      <c r="N31" s="36">
        <f>SUM(B31:M31)</f>
        <v/>
      </c>
      <c r="O31" s="37" t="n">
        <v>0</v>
      </c>
      <c r="P31" s="37" t="n">
        <v>0</v>
      </c>
      <c r="Q31" s="37" t="n">
        <v>0</v>
      </c>
      <c r="R31" s="37" t="n">
        <v>0</v>
      </c>
      <c r="S31" s="37" t="n">
        <v>0</v>
      </c>
      <c r="T31" s="37" t="n">
        <v>0</v>
      </c>
      <c r="U31" s="37" t="n">
        <v>0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9.300000000000001</v>
      </c>
      <c r="I32" s="35" t="n">
        <v>5.65</v>
      </c>
      <c r="J32" s="35" t="n">
        <v>15.98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 t="n">
        <v>0</v>
      </c>
      <c r="P32" s="37" t="n">
        <v>0</v>
      </c>
      <c r="Q32" s="37" t="n">
        <v>0</v>
      </c>
      <c r="R32" s="37" t="n">
        <v>0</v>
      </c>
      <c r="S32" s="37" t="n">
        <v>0</v>
      </c>
      <c r="T32" s="37" t="n">
        <v>0</v>
      </c>
      <c r="U32" s="37" t="n">
        <v>0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SUMIF('YBHN HS TB'!$R:$R,'HS P&amp;L'!$A33,'YBHN HS TB'!C:C)</f>
        <v/>
      </c>
      <c r="P33" s="37">
        <f>SUMIF('YBHN HS TB'!$R:$R,'HS P&amp;L'!$A33,'YBHN HS TB'!D:D)</f>
        <v/>
      </c>
      <c r="Q33" s="37">
        <f>SUMIF('YBHN HS TB'!$R:$R,'HS P&amp;L'!$A33,'YBHN HS TB'!E:E)</f>
        <v/>
      </c>
      <c r="R33" s="37">
        <f>SUMIF('YBHN HS TB'!$R:$R,'HS P&amp;L'!$A33,'YBHN HS TB'!F:F)</f>
        <v/>
      </c>
      <c r="S33" s="37">
        <f>SUMIF('YBHN HS TB'!$R:$R,'HS P&amp;L'!$A33,'YBHN HS TB'!G:G)</f>
        <v/>
      </c>
      <c r="T33" s="37">
        <f>SUMIF('YBHN HS TB'!$R:$R,'HS P&amp;L'!$A33,'YBHN HS TB'!H:H)</f>
        <v/>
      </c>
      <c r="U33" s="37">
        <f>SUMIF('YBHN HS TB'!$R:$R,'HS P&amp;L'!$A33,'YBHN HS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0</v>
      </c>
      <c r="C34" s="42" t="n">
        <v>0</v>
      </c>
      <c r="D34" s="42" t="n">
        <v>0</v>
      </c>
      <c r="E34" s="42" t="n">
        <v>0</v>
      </c>
      <c r="F34" s="42" t="n">
        <v>0</v>
      </c>
      <c r="G34" s="42" t="n">
        <v>0</v>
      </c>
      <c r="H34" s="42" t="n">
        <v>9.300000000000001</v>
      </c>
      <c r="I34" s="42" t="n">
        <v>230.61</v>
      </c>
      <c r="J34" s="42" t="n">
        <v>4105.969999999999</v>
      </c>
      <c r="K34" s="42" t="n">
        <v>124.19</v>
      </c>
      <c r="L34" s="42" t="n">
        <v>177.9</v>
      </c>
      <c r="M34" s="42" t="n">
        <v>0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352.17</v>
      </c>
      <c r="C36" s="35" t="n">
        <v>352.17</v>
      </c>
      <c r="D36" s="35" t="n">
        <v>352.17</v>
      </c>
      <c r="E36" s="35" t="n">
        <v>352.17</v>
      </c>
      <c r="F36" s="35" t="n">
        <v>352.16</v>
      </c>
      <c r="G36" s="35" t="n">
        <v>352.17</v>
      </c>
      <c r="H36" s="35" t="n">
        <v>352.17</v>
      </c>
      <c r="I36" s="35" t="n">
        <v>352.17</v>
      </c>
      <c r="J36" s="35" t="n">
        <v>352.16</v>
      </c>
      <c r="K36" s="35" t="n">
        <v>352.17</v>
      </c>
      <c r="L36" s="35" t="n">
        <v>352.17</v>
      </c>
      <c r="M36" s="35" t="n">
        <v>352.17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>
        <v>0</v>
      </c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336.83</v>
      </c>
      <c r="C37" s="35" t="n">
        <v>336.83</v>
      </c>
      <c r="D37" s="35" t="n">
        <v>336.83</v>
      </c>
      <c r="E37" s="35" t="n">
        <v>336.83</v>
      </c>
      <c r="F37" s="35" t="n">
        <v>336.82</v>
      </c>
      <c r="G37" s="35" t="n">
        <v>336.83</v>
      </c>
      <c r="H37" s="35" t="n">
        <v>336.83</v>
      </c>
      <c r="I37" s="35" t="n">
        <v>336.83</v>
      </c>
      <c r="J37" s="35" t="n">
        <v>336.83</v>
      </c>
      <c r="K37" s="35" t="n">
        <v>336.83</v>
      </c>
      <c r="L37" s="35" t="n">
        <v>336.83</v>
      </c>
      <c r="M37" s="35" t="n">
        <v>336.83</v>
      </c>
      <c r="N37" s="36">
        <f>SUM(B37:M37)</f>
        <v/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8" t="n">
        <v>459</v>
      </c>
      <c r="W37" s="38" t="n">
        <v>459</v>
      </c>
      <c r="X37" s="38" t="n">
        <v>459</v>
      </c>
      <c r="Y37" s="38" t="n">
        <v>459</v>
      </c>
      <c r="Z37" s="38" t="n">
        <v>459</v>
      </c>
      <c r="AA37" s="36">
        <f>SUM(O37:U37)</f>
        <v/>
      </c>
      <c r="AB37" s="36">
        <f>SUM(O37:Z37)</f>
        <v/>
      </c>
      <c r="AC37" s="38" t="n">
        <v>459</v>
      </c>
      <c r="AD37" s="38" t="n">
        <v>459</v>
      </c>
      <c r="AE37" s="38" t="n">
        <v>459</v>
      </c>
      <c r="AF37" s="38" t="n">
        <v>459</v>
      </c>
      <c r="AG37" s="38" t="n">
        <v>459</v>
      </c>
      <c r="AH37" s="38" t="n">
        <v>459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33.48</v>
      </c>
      <c r="C38" s="35" t="n">
        <v>-23.92999999999999</v>
      </c>
      <c r="D38" s="35" t="n">
        <v>0</v>
      </c>
      <c r="E38" s="35" t="n">
        <v>0</v>
      </c>
      <c r="F38" s="35" t="n">
        <v>-219.14</v>
      </c>
      <c r="G38" s="35" t="n">
        <v>27.29</v>
      </c>
      <c r="H38" s="35" t="n">
        <v>26.41</v>
      </c>
      <c r="I38" s="35" t="n">
        <v>27.29</v>
      </c>
      <c r="J38" s="35" t="n">
        <v>26.05</v>
      </c>
      <c r="K38" s="35" t="n">
        <v>213.56</v>
      </c>
      <c r="L38" s="35" t="n">
        <v>334.75</v>
      </c>
      <c r="M38" s="35" t="n">
        <v>-109.84</v>
      </c>
      <c r="N38" s="36">
        <f>SUM(B38:M38)</f>
        <v/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8" t="n">
        <v>260</v>
      </c>
      <c r="W38" s="38" t="n">
        <v>260</v>
      </c>
      <c r="X38" s="38" t="n">
        <v>260</v>
      </c>
      <c r="Y38" s="38" t="n">
        <v>260</v>
      </c>
      <c r="Z38" s="38" t="n">
        <v>260</v>
      </c>
      <c r="AA38" s="36">
        <f>SUM(O38:U38)</f>
        <v/>
      </c>
      <c r="AB38" s="36">
        <f>SUM(O38:Z38)</f>
        <v/>
      </c>
      <c r="AC38" s="38" t="n">
        <v>260</v>
      </c>
      <c r="AD38" s="38" t="n">
        <v>260</v>
      </c>
      <c r="AE38" s="38" t="n">
        <v>260</v>
      </c>
      <c r="AF38" s="38" t="n">
        <v>260</v>
      </c>
      <c r="AG38" s="38" t="n">
        <v>260</v>
      </c>
      <c r="AH38" s="38" t="n">
        <v>260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0</v>
      </c>
      <c r="C39" s="35" t="n">
        <v>0</v>
      </c>
      <c r="D39" s="35" t="n">
        <v>0</v>
      </c>
      <c r="E39" s="35" t="n">
        <v>0</v>
      </c>
      <c r="F39" s="35" t="n">
        <v>0</v>
      </c>
      <c r="G39" s="35" t="n">
        <v>8439.74</v>
      </c>
      <c r="H39" s="35" t="n">
        <v>3019.400000000001</v>
      </c>
      <c r="I39" s="35" t="n">
        <v>850.47</v>
      </c>
      <c r="J39" s="35" t="n">
        <v>185.01</v>
      </c>
      <c r="K39" s="35" t="n">
        <v>0</v>
      </c>
      <c r="L39" s="35" t="n">
        <v>0</v>
      </c>
      <c r="M39" s="35" t="n">
        <v>108</v>
      </c>
      <c r="N39" s="36">
        <f>SUM(B39:M39)</f>
        <v/>
      </c>
      <c r="O39" s="37" t="n">
        <v>0</v>
      </c>
      <c r="P39" s="37" t="n">
        <v>0</v>
      </c>
      <c r="Q39" s="37" t="n">
        <v>0</v>
      </c>
      <c r="R39" s="37" t="n">
        <v>0</v>
      </c>
      <c r="S39" s="37" t="n">
        <v>0</v>
      </c>
      <c r="T39" s="37" t="n">
        <v>0</v>
      </c>
      <c r="U39" s="37" t="n">
        <v>0</v>
      </c>
      <c r="V39" s="38" t="n">
        <v>500</v>
      </c>
      <c r="W39" s="38" t="n">
        <v>500</v>
      </c>
      <c r="X39" s="38" t="n">
        <v>500</v>
      </c>
      <c r="Y39" s="38" t="n">
        <v>500</v>
      </c>
      <c r="Z39" s="38" t="n">
        <v>500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157.02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8" t="n">
        <v>160</v>
      </c>
      <c r="W40" s="38" t="n">
        <v>160</v>
      </c>
      <c r="X40" s="38" t="n">
        <v>160</v>
      </c>
      <c r="Y40" s="38" t="n">
        <v>160</v>
      </c>
      <c r="Z40" s="38" t="n">
        <v>160</v>
      </c>
      <c r="AA40" s="36">
        <f>SUM(O40:U40)</f>
        <v/>
      </c>
      <c r="AB40" s="36">
        <f>SUM(O40:Z40)</f>
        <v/>
      </c>
      <c r="AC40" s="38" t="n">
        <v>160</v>
      </c>
      <c r="AD40" s="38" t="n">
        <v>160</v>
      </c>
      <c r="AE40" s="38" t="n">
        <v>160</v>
      </c>
      <c r="AF40" s="38" t="n">
        <v>160</v>
      </c>
      <c r="AG40" s="38" t="n">
        <v>160</v>
      </c>
      <c r="AH40" s="38" t="n">
        <v>160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0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469.6</v>
      </c>
      <c r="K41" s="35" t="n">
        <v>129.62</v>
      </c>
      <c r="L41" s="35" t="n">
        <v>323.75</v>
      </c>
      <c r="M41" s="35" t="n">
        <v>335.15</v>
      </c>
      <c r="N41" s="36">
        <f>SUM(B41:M41)</f>
        <v/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8" t="n">
        <v>200</v>
      </c>
      <c r="W41" s="38" t="n">
        <v>200</v>
      </c>
      <c r="X41" s="38" t="n">
        <v>200</v>
      </c>
      <c r="Y41" s="38" t="n">
        <v>200</v>
      </c>
      <c r="Z41" s="38" t="n">
        <v>200</v>
      </c>
      <c r="AA41" s="36">
        <f>SUM(O41:U41)</f>
        <v/>
      </c>
      <c r="AB41" s="36">
        <f>SUM(O41:Z41)</f>
        <v/>
      </c>
      <c r="AC41" s="38" t="n">
        <v>200</v>
      </c>
      <c r="AD41" s="38" t="n">
        <v>200</v>
      </c>
      <c r="AE41" s="38" t="n">
        <v>200</v>
      </c>
      <c r="AF41" s="38" t="n">
        <v>200</v>
      </c>
      <c r="AG41" s="38" t="n">
        <v>200</v>
      </c>
      <c r="AH41" s="38" t="n">
        <v>200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0</v>
      </c>
      <c r="D42" s="35" t="n">
        <v>0</v>
      </c>
      <c r="E42" s="35" t="n">
        <v>0</v>
      </c>
      <c r="F42" s="35" t="n">
        <v>0</v>
      </c>
      <c r="G42" s="35" t="n">
        <v>0</v>
      </c>
      <c r="H42" s="35" t="n">
        <v>0</v>
      </c>
      <c r="I42" s="35" t="n">
        <v>227.2</v>
      </c>
      <c r="J42" s="35" t="n">
        <v>131.95</v>
      </c>
      <c r="K42" s="35" t="n">
        <v>0</v>
      </c>
      <c r="L42" s="35" t="n">
        <v>19.19</v>
      </c>
      <c r="M42" s="35" t="n">
        <v>0</v>
      </c>
      <c r="N42" s="36">
        <f>SUM(B42:M42)</f>
        <v/>
      </c>
      <c r="O42" s="37" t="n">
        <v>0</v>
      </c>
      <c r="P42" s="37" t="n">
        <v>0</v>
      </c>
      <c r="Q42" s="37" t="n">
        <v>0</v>
      </c>
      <c r="R42" s="37" t="n">
        <v>0</v>
      </c>
      <c r="S42" s="37" t="n">
        <v>0</v>
      </c>
      <c r="T42" s="37" t="n">
        <v>0</v>
      </c>
      <c r="U42" s="37" t="n">
        <v>0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10</v>
      </c>
      <c r="L43" s="35" t="n">
        <v>10</v>
      </c>
      <c r="M43" s="35" t="n">
        <v>10</v>
      </c>
      <c r="N43" s="36">
        <f>SUM(B43:M43)</f>
        <v/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8" t="n">
        <v>10</v>
      </c>
      <c r="W43" s="38" t="n">
        <v>10</v>
      </c>
      <c r="X43" s="38" t="n">
        <v>10</v>
      </c>
      <c r="Y43" s="38" t="n">
        <v>10</v>
      </c>
      <c r="Z43" s="38" t="n">
        <v>10</v>
      </c>
      <c r="AA43" s="36">
        <f>SUM(O43:U43)</f>
        <v/>
      </c>
      <c r="AB43" s="36">
        <f>SUM(O43:Z43)</f>
        <v/>
      </c>
      <c r="AC43" s="38" t="n">
        <v>10</v>
      </c>
      <c r="AD43" s="38" t="n">
        <v>10</v>
      </c>
      <c r="AE43" s="38" t="n">
        <v>10</v>
      </c>
      <c r="AF43" s="38" t="n">
        <v>10</v>
      </c>
      <c r="AG43" s="38" t="n">
        <v>10</v>
      </c>
      <c r="AH43" s="38" t="n">
        <v>10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SUMIF('YBHN HS TB'!$R:$R,'HS P&amp;L'!$A44,'YBHN HS TB'!C:C)</f>
        <v/>
      </c>
      <c r="P44" s="37">
        <f>SUMIF('YBHN HS TB'!$R:$R,'HS P&amp;L'!$A44,'YBHN HS TB'!D:D)</f>
        <v/>
      </c>
      <c r="Q44" s="37">
        <f>SUMIF('YBHN HS TB'!$R:$R,'HS P&amp;L'!$A44,'YBHN HS TB'!E:E)</f>
        <v/>
      </c>
      <c r="R44" s="37">
        <f>SUMIF('YBHN HS TB'!$R:$R,'HS P&amp;L'!$A44,'YBHN HS TB'!F:F)</f>
        <v/>
      </c>
      <c r="S44" s="37">
        <f>SUMIF('YBHN HS TB'!$R:$R,'HS P&amp;L'!$A44,'YBHN HS TB'!G:G)</f>
        <v/>
      </c>
      <c r="T44" s="37">
        <f>SUMIF('YBHN HS TB'!$R:$R,'HS P&amp;L'!$A44,'YBHN HS TB'!H:H)</f>
        <v/>
      </c>
      <c r="U44" s="37">
        <f>SUMIF('YBHN HS TB'!$R:$R,'HS P&amp;L'!$A44,'YBHN HS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348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0</v>
      </c>
      <c r="P45" s="37" t="n">
        <v>0</v>
      </c>
      <c r="Q45" s="37" t="n">
        <v>0</v>
      </c>
      <c r="R45" s="37" t="n">
        <v>0</v>
      </c>
      <c r="S45" s="37" t="n">
        <v>0</v>
      </c>
      <c r="T45" s="37" t="n">
        <v>0</v>
      </c>
      <c r="U45" s="37" t="n">
        <v>0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SUMIF('YBHN HS TB'!$R:$R,'HS P&amp;L'!$A46,'YBHN HS TB'!C:C)</f>
        <v/>
      </c>
      <c r="P46" s="37">
        <f>SUMIF('YBHN HS TB'!$R:$R,'HS P&amp;L'!$A46,'YBHN HS TB'!D:D)</f>
        <v/>
      </c>
      <c r="Q46" s="37">
        <f>SUMIF('YBHN HS TB'!$R:$R,'HS P&amp;L'!$A46,'YBHN HS TB'!E:E)</f>
        <v/>
      </c>
      <c r="R46" s="37">
        <f>SUMIF('YBHN HS TB'!$R:$R,'HS P&amp;L'!$A46,'YBHN HS TB'!F:F)</f>
        <v/>
      </c>
      <c r="S46" s="37">
        <f>SUMIF('YBHN HS TB'!$R:$R,'HS P&amp;L'!$A46,'YBHN HS TB'!G:G)</f>
        <v/>
      </c>
      <c r="T46" s="37">
        <f>SUMIF('YBHN HS TB'!$R:$R,'HS P&amp;L'!$A46,'YBHN HS TB'!H:H)</f>
        <v/>
      </c>
      <c r="U46" s="37">
        <f>SUMIF('YBHN HS TB'!$R:$R,'HS P&amp;L'!$A46,'YBHN HS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722.48</v>
      </c>
      <c r="C47" s="42" t="n">
        <v>665.0700000000001</v>
      </c>
      <c r="D47" s="42" t="n">
        <v>689</v>
      </c>
      <c r="E47" s="42" t="n">
        <v>689</v>
      </c>
      <c r="F47" s="42" t="n">
        <v>469.84</v>
      </c>
      <c r="G47" s="42" t="n">
        <v>9156.029999999999</v>
      </c>
      <c r="H47" s="42" t="n">
        <v>3734.81</v>
      </c>
      <c r="I47" s="42" t="n">
        <v>2141.96</v>
      </c>
      <c r="J47" s="42" t="n">
        <v>1658.62</v>
      </c>
      <c r="K47" s="42" t="n">
        <v>1042.18</v>
      </c>
      <c r="L47" s="42" t="n">
        <v>1376.69</v>
      </c>
      <c r="M47" s="42" t="n">
        <v>1032.31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722.48</v>
      </c>
      <c r="C48" s="23" t="n">
        <v>665.0700000000001</v>
      </c>
      <c r="D48" s="23" t="n">
        <v>689</v>
      </c>
      <c r="E48" s="23" t="n">
        <v>689</v>
      </c>
      <c r="F48" s="23" t="n">
        <v>469.84</v>
      </c>
      <c r="G48" s="23" t="n">
        <v>9156.029999999999</v>
      </c>
      <c r="H48" s="23" t="n">
        <v>3744.110000000001</v>
      </c>
      <c r="I48" s="23" t="n">
        <v>2372.57</v>
      </c>
      <c r="J48" s="23" t="n">
        <v>12892.24</v>
      </c>
      <c r="K48" s="23" t="n">
        <v>8634.199999999999</v>
      </c>
      <c r="L48" s="23" t="n">
        <v>9350.68</v>
      </c>
      <c r="M48" s="23" t="n">
        <v>8762.5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-722.48</v>
      </c>
      <c r="C50" s="55" t="n">
        <v>-665.0700000000001</v>
      </c>
      <c r="D50" s="55" t="n">
        <v>-689</v>
      </c>
      <c r="E50" s="55" t="n">
        <v>-689</v>
      </c>
      <c r="F50" s="55" t="n">
        <v>-469.84</v>
      </c>
      <c r="G50" s="55" t="n">
        <v>-9156.029999999999</v>
      </c>
      <c r="H50" s="55" t="n">
        <v>-3744.110000000001</v>
      </c>
      <c r="I50" s="55" t="n">
        <v>-2372.57</v>
      </c>
      <c r="J50" s="55" t="n">
        <v>-11368.6</v>
      </c>
      <c r="K50" s="55" t="n">
        <v>-7640.539999999999</v>
      </c>
      <c r="L50" s="55" t="n">
        <v>-1707.05</v>
      </c>
      <c r="M50" s="55" t="n">
        <v>-607.0100000000002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SUMIF('YBHN HS TB'!$R:$R,'HS P&amp;L'!$A53,'YBHN HS TB'!C:C)</f>
        <v/>
      </c>
      <c r="P53" s="37">
        <f>SUMIF('YBHN HS TB'!$R:$R,'HS P&amp;L'!$A53,'YBHN HS TB'!D:D)</f>
        <v/>
      </c>
      <c r="Q53" s="37">
        <f>SUMIF('YBHN HS TB'!$R:$R,'HS P&amp;L'!$A53,'YBHN HS TB'!E:E)</f>
        <v/>
      </c>
      <c r="R53" s="37">
        <f>SUMIF('YBHN HS TB'!$R:$R,'HS P&amp;L'!$A53,'YBHN HS TB'!F:F)</f>
        <v/>
      </c>
      <c r="S53" s="37">
        <f>SUMIF('YBHN HS TB'!$R:$R,'HS P&amp;L'!$A53,'YBHN HS TB'!G:G)</f>
        <v/>
      </c>
      <c r="T53" s="37">
        <f>SUMIF('YBHN HS TB'!$R:$R,'HS P&amp;L'!$A53,'YBHN HS TB'!H:H)</f>
        <v/>
      </c>
      <c r="U53" s="37">
        <f>SUMIF('YBHN HS TB'!$R:$R,'HS P&amp;L'!$A53,'YBHN HS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SUMIF('YBHN HS TB'!$R:$R,'HS P&amp;L'!$A54,'YBHN HS TB'!C:C)</f>
        <v/>
      </c>
      <c r="P54" s="37">
        <f>SUMIF('YBHN HS TB'!$R:$R,'HS P&amp;L'!$A54,'YBHN HS TB'!D:D)</f>
        <v/>
      </c>
      <c r="Q54" s="37">
        <f>SUMIF('YBHN HS TB'!$R:$R,'HS P&amp;L'!$A54,'YBHN HS TB'!E:E)</f>
        <v/>
      </c>
      <c r="R54" s="37">
        <f>SUMIF('YBHN HS TB'!$R:$R,'HS P&amp;L'!$A54,'YBHN HS TB'!F:F)</f>
        <v/>
      </c>
      <c r="S54" s="37">
        <f>SUMIF('YBHN HS TB'!$R:$R,'HS P&amp;L'!$A54,'YBHN HS TB'!G:G)</f>
        <v/>
      </c>
      <c r="T54" s="37">
        <f>SUMIF('YBHN HS TB'!$R:$R,'HS P&amp;L'!$A54,'YBHN HS TB'!H:H)</f>
        <v/>
      </c>
      <c r="U54" s="37">
        <f>SUMIF('YBHN HS TB'!$R:$R,'HS P&amp;L'!$A54,'YBHN HS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SUMIF('YBHN HS TB'!$R:$R,'HS P&amp;L'!$A55,'YBHN HS TB'!C:C)</f>
        <v/>
      </c>
      <c r="P55" s="37">
        <f>SUMIF('YBHN HS TB'!$R:$R,'HS P&amp;L'!$A55,'YBHN HS TB'!D:D)</f>
        <v/>
      </c>
      <c r="Q55" s="37">
        <f>SUMIF('YBHN HS TB'!$R:$R,'HS P&amp;L'!$A55,'YBHN HS TB'!E:E)</f>
        <v/>
      </c>
      <c r="R55" s="37">
        <f>SUMIF('YBHN HS TB'!$R:$R,'HS P&amp;L'!$A55,'YBHN HS TB'!F:F)</f>
        <v/>
      </c>
      <c r="S55" s="37">
        <f>SUMIF('YBHN HS TB'!$R:$R,'HS P&amp;L'!$A55,'YBHN HS TB'!G:G)</f>
        <v/>
      </c>
      <c r="T55" s="37">
        <f>SUMIF('YBHN HS TB'!$R:$R,'HS P&amp;L'!$A55,'YBHN HS TB'!H:H)</f>
        <v/>
      </c>
      <c r="U55" s="37">
        <f>SUMIF('YBHN HS TB'!$R:$R,'HS P&amp;L'!$A55,'YBHN HS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SUMIF('YBHN HS TB'!$R:$R,'HS P&amp;L'!$A56,'YBHN HS TB'!C:C)</f>
        <v/>
      </c>
      <c r="P56" s="37">
        <f>SUMIF('YBHN HS TB'!$R:$R,'HS P&amp;L'!$A56,'YBHN HS TB'!D:D)</f>
        <v/>
      </c>
      <c r="Q56" s="37">
        <f>SUMIF('YBHN HS TB'!$R:$R,'HS P&amp;L'!$A56,'YBHN HS TB'!E:E)</f>
        <v/>
      </c>
      <c r="R56" s="37">
        <f>SUMIF('YBHN HS TB'!$R:$R,'HS P&amp;L'!$A56,'YBHN HS TB'!F:F)</f>
        <v/>
      </c>
      <c r="S56" s="37">
        <f>SUMIF('YBHN HS TB'!$R:$R,'HS P&amp;L'!$A56,'YBHN HS TB'!G:G)</f>
        <v/>
      </c>
      <c r="T56" s="37">
        <f>SUMIF('YBHN HS TB'!$R:$R,'HS P&amp;L'!$A56,'YBHN HS TB'!H:H)</f>
        <v/>
      </c>
      <c r="U56" s="37">
        <f>SUMIF('YBHN HS TB'!$R:$R,'HS P&amp;L'!$A56,'YBHN HS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149.14</v>
      </c>
      <c r="N57" s="36">
        <f>SUM(B57:M57)</f>
        <v/>
      </c>
      <c r="O57" s="37">
        <f>SUMIF('YBHN HS TB'!$R:$R,'HS P&amp;L'!$A57,'YBHN HS TB'!C:C)</f>
        <v/>
      </c>
      <c r="P57" s="37">
        <f>SUMIF('YBHN HS TB'!$R:$R,'HS P&amp;L'!$A57,'YBHN HS TB'!D:D)</f>
        <v/>
      </c>
      <c r="Q57" s="37">
        <f>SUMIF('YBHN HS TB'!$R:$R,'HS P&amp;L'!$A57,'YBHN HS TB'!E:E)</f>
        <v/>
      </c>
      <c r="R57" s="37">
        <f>SUMIF('YBHN HS TB'!$R:$R,'HS P&amp;L'!$A57,'YBHN HS TB'!F:F)</f>
        <v/>
      </c>
      <c r="S57" s="37">
        <f>SUMIF('YBHN HS TB'!$R:$R,'HS P&amp;L'!$A57,'YBHN HS TB'!G:G)</f>
        <v/>
      </c>
      <c r="T57" s="37">
        <f>SUMIF('YBHN HS TB'!$R:$R,'HS P&amp;L'!$A57,'YBHN HS TB'!H:H)</f>
        <v/>
      </c>
      <c r="U57" s="37">
        <f>SUMIF('YBHN HS TB'!$R:$R,'HS P&amp;L'!$A57,'YBHN HS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SUMIF('YBHN HS TB'!$R:$R,'HS P&amp;L'!$A58,'YBHN HS TB'!C:C)</f>
        <v/>
      </c>
      <c r="P58" s="37">
        <f>SUMIF('YBHN HS TB'!$R:$R,'HS P&amp;L'!$A58,'YBHN HS TB'!D:D)</f>
        <v/>
      </c>
      <c r="Q58" s="37">
        <f>SUMIF('YBHN HS TB'!$R:$R,'HS P&amp;L'!$A58,'YBHN HS TB'!E:E)</f>
        <v/>
      </c>
      <c r="R58" s="37">
        <f>SUMIF('YBHN HS TB'!$R:$R,'HS P&amp;L'!$A58,'YBHN HS TB'!F:F)</f>
        <v/>
      </c>
      <c r="S58" s="37">
        <f>SUMIF('YBHN HS TB'!$R:$R,'HS P&amp;L'!$A58,'YBHN HS TB'!G:G)</f>
        <v/>
      </c>
      <c r="T58" s="37">
        <f>SUMIF('YBHN HS TB'!$R:$R,'HS P&amp;L'!$A58,'YBHN HS TB'!H:H)</f>
        <v/>
      </c>
      <c r="U58" s="37">
        <f>SUMIF('YBHN HS TB'!$R:$R,'HS P&amp;L'!$A58,'YBHN HS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214.8</v>
      </c>
      <c r="H59" s="35" t="n">
        <v>214.8</v>
      </c>
      <c r="I59" s="35" t="n">
        <v>214.8</v>
      </c>
      <c r="J59" s="35" t="n">
        <v>214.8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SUMIF('YBHN HS TB'!$R:$R,'HS P&amp;L'!$A59,'YBHN HS TB'!C:C)</f>
        <v/>
      </c>
      <c r="P59" s="37">
        <f>SUMIF('YBHN HS TB'!$R:$R,'HS P&amp;L'!$A59,'YBHN HS TB'!D:D)</f>
        <v/>
      </c>
      <c r="Q59" s="37">
        <f>SUMIF('YBHN HS TB'!$R:$R,'HS P&amp;L'!$A59,'YBHN HS TB'!E:E)</f>
        <v/>
      </c>
      <c r="R59" s="37">
        <f>SUMIF('YBHN HS TB'!$R:$R,'HS P&amp;L'!$A59,'YBHN HS TB'!F:F)</f>
        <v/>
      </c>
      <c r="S59" s="37">
        <f>SUMIF('YBHN HS TB'!$R:$R,'HS P&amp;L'!$A59,'YBHN HS TB'!G:G)</f>
        <v/>
      </c>
      <c r="T59" s="37">
        <f>SUMIF('YBHN HS TB'!$R:$R,'HS P&amp;L'!$A59,'YBHN HS TB'!H:H)</f>
        <v/>
      </c>
      <c r="U59" s="37">
        <f>SUMIF('YBHN HS TB'!$R:$R,'HS P&amp;L'!$A59,'YBHN HS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0</v>
      </c>
      <c r="C60" s="35" t="n">
        <v>0</v>
      </c>
      <c r="D60" s="35" t="n">
        <v>135.22</v>
      </c>
      <c r="E60" s="35" t="n">
        <v>0</v>
      </c>
      <c r="F60" s="35" t="n">
        <v>0</v>
      </c>
      <c r="G60" s="35" t="n">
        <v>45</v>
      </c>
      <c r="H60" s="35" t="n">
        <v>0</v>
      </c>
      <c r="I60" s="35" t="n">
        <v>0</v>
      </c>
      <c r="J60" s="35" t="n">
        <v>8.799999999999999</v>
      </c>
      <c r="K60" s="35" t="n">
        <v>68.8</v>
      </c>
      <c r="L60" s="35" t="n">
        <v>1.2</v>
      </c>
      <c r="M60" s="35" t="n">
        <v>1.2</v>
      </c>
      <c r="N60" s="36">
        <f>SUM(B60:M60)</f>
        <v/>
      </c>
      <c r="O60" s="37">
        <f>SUMIF('YBHN HS TB'!$R:$R,'HS P&amp;L'!$A60,'YBHN HS TB'!C:C)</f>
        <v/>
      </c>
      <c r="P60" s="37">
        <f>SUMIF('YBHN HS TB'!$R:$R,'HS P&amp;L'!$A60,'YBHN HS TB'!D:D)</f>
        <v/>
      </c>
      <c r="Q60" s="37">
        <f>SUMIF('YBHN HS TB'!$R:$R,'HS P&amp;L'!$A60,'YBHN HS TB'!E:E)</f>
        <v/>
      </c>
      <c r="R60" s="37">
        <f>SUMIF('YBHN HS TB'!$R:$R,'HS P&amp;L'!$A60,'YBHN HS TB'!F:F)</f>
        <v/>
      </c>
      <c r="S60" s="37">
        <f>SUMIF('YBHN HS TB'!$R:$R,'HS P&amp;L'!$A60,'YBHN HS TB'!G:G)</f>
        <v/>
      </c>
      <c r="T60" s="37">
        <f>SUMIF('YBHN HS TB'!$R:$R,'HS P&amp;L'!$A60,'YBHN HS TB'!H:H)</f>
        <v/>
      </c>
      <c r="U60" s="37">
        <f>SUMIF('YBHN HS TB'!$R:$R,'HS P&amp;L'!$A60,'YBHN HS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0</v>
      </c>
      <c r="I61" s="35" t="n">
        <v>0</v>
      </c>
      <c r="J61" s="35" t="n">
        <v>0</v>
      </c>
      <c r="K61" s="35" t="n">
        <v>0</v>
      </c>
      <c r="L61" s="35" t="n">
        <v>59.25</v>
      </c>
      <c r="M61" s="35" t="n">
        <v>29.98</v>
      </c>
      <c r="N61" s="36">
        <f>SUM(B61:M61)</f>
        <v/>
      </c>
      <c r="O61" s="37">
        <f>SUMIF('YBHN HS TB'!$R:$R,'HS P&amp;L'!$A61,'YBHN HS TB'!C:C)</f>
        <v/>
      </c>
      <c r="P61" s="37">
        <f>SUMIF('YBHN HS TB'!$R:$R,'HS P&amp;L'!$A61,'YBHN HS TB'!D:D)</f>
        <v/>
      </c>
      <c r="Q61" s="37">
        <f>SUMIF('YBHN HS TB'!$R:$R,'HS P&amp;L'!$A61,'YBHN HS TB'!E:E)</f>
        <v/>
      </c>
      <c r="R61" s="37">
        <f>SUMIF('YBHN HS TB'!$R:$R,'HS P&amp;L'!$A61,'YBHN HS TB'!F:F)</f>
        <v/>
      </c>
      <c r="S61" s="37">
        <f>SUMIF('YBHN HS TB'!$R:$R,'HS P&amp;L'!$A61,'YBHN HS TB'!G:G)</f>
        <v/>
      </c>
      <c r="T61" s="37">
        <f>SUMIF('YBHN HS TB'!$R:$R,'HS P&amp;L'!$A61,'YBHN HS TB'!H:H)</f>
        <v/>
      </c>
      <c r="U61" s="37">
        <f>SUMIF('YBHN HS TB'!$R:$R,'HS P&amp;L'!$A61,'YBHN HS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SUMIF('YBHN HS TB'!$R:$R,'HS P&amp;L'!$A62,'YBHN HS TB'!C:C)</f>
        <v/>
      </c>
      <c r="P62" s="37">
        <f>SUMIF('YBHN HS TB'!$R:$R,'HS P&amp;L'!$A62,'YBHN HS TB'!D:D)</f>
        <v/>
      </c>
      <c r="Q62" s="37">
        <f>SUMIF('YBHN HS TB'!$R:$R,'HS P&amp;L'!$A62,'YBHN HS TB'!E:E)</f>
        <v/>
      </c>
      <c r="R62" s="37">
        <f>SUMIF('YBHN HS TB'!$R:$R,'HS P&amp;L'!$A62,'YBHN HS TB'!F:F)</f>
        <v/>
      </c>
      <c r="S62" s="37">
        <f>SUMIF('YBHN HS TB'!$R:$R,'HS P&amp;L'!$A62,'YBHN HS TB'!G:G)</f>
        <v/>
      </c>
      <c r="T62" s="37">
        <f>SUMIF('YBHN HS TB'!$R:$R,'HS P&amp;L'!$A62,'YBHN HS TB'!H:H)</f>
        <v/>
      </c>
      <c r="U62" s="37">
        <f>SUMIF('YBHN HS TB'!$R:$R,'HS P&amp;L'!$A62,'YBHN HS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SUMIF('YBHN HS TB'!$R:$R,'HS P&amp;L'!$A63,'YBHN HS TB'!C:C)</f>
        <v/>
      </c>
      <c r="P63" s="37">
        <f>SUMIF('YBHN HS TB'!$R:$R,'HS P&amp;L'!$A63,'YBHN HS TB'!D:D)</f>
        <v/>
      </c>
      <c r="Q63" s="37">
        <f>SUMIF('YBHN HS TB'!$R:$R,'HS P&amp;L'!$A63,'YBHN HS TB'!E:E)</f>
        <v/>
      </c>
      <c r="R63" s="37">
        <f>SUMIF('YBHN HS TB'!$R:$R,'HS P&amp;L'!$A63,'YBHN HS TB'!F:F)</f>
        <v/>
      </c>
      <c r="S63" s="37">
        <f>SUMIF('YBHN HS TB'!$R:$R,'HS P&amp;L'!$A63,'YBHN HS TB'!G:G)</f>
        <v/>
      </c>
      <c r="T63" s="37">
        <f>SUMIF('YBHN HS TB'!$R:$R,'HS P&amp;L'!$A63,'YBHN HS TB'!H:H)</f>
        <v/>
      </c>
      <c r="U63" s="37">
        <f>SUMIF('YBHN HS TB'!$R:$R,'HS P&amp;L'!$A63,'YBHN HS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SUMIF('YBHN HS TB'!$R:$R,'HS P&amp;L'!$A64,'YBHN HS TB'!C:C)</f>
        <v/>
      </c>
      <c r="P64" s="37">
        <f>SUMIF('YBHN HS TB'!$R:$R,'HS P&amp;L'!$A64,'YBHN HS TB'!D:D)</f>
        <v/>
      </c>
      <c r="Q64" s="37">
        <f>SUMIF('YBHN HS TB'!$R:$R,'HS P&amp;L'!$A64,'YBHN HS TB'!E:E)</f>
        <v/>
      </c>
      <c r="R64" s="37">
        <f>SUMIF('YBHN HS TB'!$R:$R,'HS P&amp;L'!$A64,'YBHN HS TB'!F:F)</f>
        <v/>
      </c>
      <c r="S64" s="37">
        <f>SUMIF('YBHN HS TB'!$R:$R,'HS P&amp;L'!$A64,'YBHN HS TB'!G:G)</f>
        <v/>
      </c>
      <c r="T64" s="37">
        <f>SUMIF('YBHN HS TB'!$R:$R,'HS P&amp;L'!$A64,'YBHN HS TB'!H:H)</f>
        <v/>
      </c>
      <c r="U64" s="37">
        <f>SUMIF('YBHN HS TB'!$R:$R,'HS P&amp;L'!$A64,'YBHN HS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SUMIF('YBHN HS TB'!$R:$R,'HS P&amp;L'!$A65,'YBHN HS TB'!C:C)</f>
        <v/>
      </c>
      <c r="P65" s="37">
        <f>SUMIF('YBHN HS TB'!$R:$R,'HS P&amp;L'!$A65,'YBHN HS TB'!D:D)</f>
        <v/>
      </c>
      <c r="Q65" s="37">
        <f>SUMIF('YBHN HS TB'!$R:$R,'HS P&amp;L'!$A65,'YBHN HS TB'!E:E)</f>
        <v/>
      </c>
      <c r="R65" s="37">
        <f>SUMIF('YBHN HS TB'!$R:$R,'HS P&amp;L'!$A65,'YBHN HS TB'!F:F)</f>
        <v/>
      </c>
      <c r="S65" s="37">
        <f>SUMIF('YBHN HS TB'!$R:$R,'HS P&amp;L'!$A65,'YBHN HS TB'!G:G)</f>
        <v/>
      </c>
      <c r="T65" s="37">
        <f>SUMIF('YBHN HS TB'!$R:$R,'HS P&amp;L'!$A65,'YBHN HS TB'!H:H)</f>
        <v/>
      </c>
      <c r="U65" s="37">
        <f>SUMIF('YBHN HS TB'!$R:$R,'HS P&amp;L'!$A65,'YBHN HS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SUMIF('YBHN HS TB'!$R:$R,'HS P&amp;L'!$A66,'YBHN HS TB'!C:C)</f>
        <v/>
      </c>
      <c r="P66" s="37">
        <f>SUMIF('YBHN HS TB'!$R:$R,'HS P&amp;L'!$A66,'YBHN HS TB'!D:D)</f>
        <v/>
      </c>
      <c r="Q66" s="37">
        <f>SUMIF('YBHN HS TB'!$R:$R,'HS P&amp;L'!$A66,'YBHN HS TB'!E:E)</f>
        <v/>
      </c>
      <c r="R66" s="37">
        <f>SUMIF('YBHN HS TB'!$R:$R,'HS P&amp;L'!$A66,'YBHN HS TB'!F:F)</f>
        <v/>
      </c>
      <c r="S66" s="37">
        <f>SUMIF('YBHN HS TB'!$R:$R,'HS P&amp;L'!$A66,'YBHN HS TB'!G:G)</f>
        <v/>
      </c>
      <c r="T66" s="37">
        <f>SUMIF('YBHN HS TB'!$R:$R,'HS P&amp;L'!$A66,'YBHN HS TB'!H:H)</f>
        <v/>
      </c>
      <c r="U66" s="37">
        <f>SUMIF('YBHN HS TB'!$R:$R,'HS P&amp;L'!$A66,'YBHN HS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SUMIF('YBHN HS TB'!$R:$R,'HS P&amp;L'!$A67,'YBHN HS TB'!C:C)</f>
        <v/>
      </c>
      <c r="P67" s="37">
        <f>SUMIF('YBHN HS TB'!$R:$R,'HS P&amp;L'!$A67,'YBHN HS TB'!D:D)</f>
        <v/>
      </c>
      <c r="Q67" s="37">
        <f>SUMIF('YBHN HS TB'!$R:$R,'HS P&amp;L'!$A67,'YBHN HS TB'!E:E)</f>
        <v/>
      </c>
      <c r="R67" s="37">
        <f>SUMIF('YBHN HS TB'!$R:$R,'HS P&amp;L'!$A67,'YBHN HS TB'!F:F)</f>
        <v/>
      </c>
      <c r="S67" s="37">
        <f>SUMIF('YBHN HS TB'!$R:$R,'HS P&amp;L'!$A67,'YBHN HS TB'!G:G)</f>
        <v/>
      </c>
      <c r="T67" s="37">
        <f>SUMIF('YBHN HS TB'!$R:$R,'HS P&amp;L'!$A67,'YBHN HS TB'!H:H)</f>
        <v/>
      </c>
      <c r="U67" s="37">
        <f>SUMIF('YBHN HS TB'!$R:$R,'HS P&amp;L'!$A67,'YBHN HS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SUMIF('YBHN HS TB'!$R:$R,'HS P&amp;L'!$A68,'YBHN HS TB'!C:C)</f>
        <v/>
      </c>
      <c r="P68" s="37">
        <f>SUMIF('YBHN HS TB'!$R:$R,'HS P&amp;L'!$A68,'YBHN HS TB'!D:D)</f>
        <v/>
      </c>
      <c r="Q68" s="37">
        <f>SUMIF('YBHN HS TB'!$R:$R,'HS P&amp;L'!$A68,'YBHN HS TB'!E:E)</f>
        <v/>
      </c>
      <c r="R68" s="37">
        <f>SUMIF('YBHN HS TB'!$R:$R,'HS P&amp;L'!$A68,'YBHN HS TB'!F:F)</f>
        <v/>
      </c>
      <c r="S68" s="37">
        <f>SUMIF('YBHN HS TB'!$R:$R,'HS P&amp;L'!$A68,'YBHN HS TB'!G:G)</f>
        <v/>
      </c>
      <c r="T68" s="37">
        <f>SUMIF('YBHN HS TB'!$R:$R,'HS P&amp;L'!$A68,'YBHN HS TB'!H:H)</f>
        <v/>
      </c>
      <c r="U68" s="37">
        <f>SUMIF('YBHN HS TB'!$R:$R,'HS P&amp;L'!$A68,'YBHN HS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0</v>
      </c>
      <c r="C69" s="42" t="n">
        <v>0</v>
      </c>
      <c r="D69" s="42" t="n">
        <v>135.22</v>
      </c>
      <c r="E69" s="42" t="n">
        <v>0</v>
      </c>
      <c r="F69" s="42" t="n">
        <v>0</v>
      </c>
      <c r="G69" s="42" t="n">
        <v>259.8</v>
      </c>
      <c r="H69" s="42" t="n">
        <v>214.8</v>
      </c>
      <c r="I69" s="42" t="n">
        <v>214.8</v>
      </c>
      <c r="J69" s="42" t="n">
        <v>223.6</v>
      </c>
      <c r="K69" s="42" t="n">
        <v>283.6</v>
      </c>
      <c r="L69" s="42" t="n">
        <v>275.25</v>
      </c>
      <c r="M69" s="42" t="n">
        <v>395.12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-722.48</v>
      </c>
      <c r="C70" s="55" t="n">
        <v>-665.0700000000001</v>
      </c>
      <c r="D70" s="55" t="n">
        <v>-824.22</v>
      </c>
      <c r="E70" s="55" t="n">
        <v>-689</v>
      </c>
      <c r="F70" s="55" t="n">
        <v>-469.84</v>
      </c>
      <c r="G70" s="55" t="n">
        <v>-9415.829999999998</v>
      </c>
      <c r="H70" s="55" t="n">
        <v>-3958.910000000001</v>
      </c>
      <c r="I70" s="55" t="n">
        <v>-2587.37</v>
      </c>
      <c r="J70" s="55" t="n">
        <v>-11592.2</v>
      </c>
      <c r="K70" s="55" t="n">
        <v>-7924.139999999999</v>
      </c>
      <c r="L70" s="55" t="n">
        <v>-1982.3</v>
      </c>
      <c r="M70" s="55" t="n">
        <v>-1002.13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60" t="inlineStr">
        <is>
          <t>Direct - Sales</t>
        </is>
      </c>
      <c r="B74" s="60" t="n">
        <v>0</v>
      </c>
      <c r="C74" s="60" t="n">
        <v>0</v>
      </c>
      <c r="D74" s="60" t="n">
        <v>0</v>
      </c>
      <c r="E74" s="60" t="n">
        <v>0</v>
      </c>
      <c r="F74" s="60" t="n">
        <v>0</v>
      </c>
      <c r="G74" s="60" t="n">
        <v>0</v>
      </c>
      <c r="H74" s="60" t="n">
        <v>0</v>
      </c>
      <c r="I74" s="60" t="n">
        <v>0</v>
      </c>
      <c r="J74" s="60" t="n">
        <v>1523.64</v>
      </c>
      <c r="K74" s="60" t="n">
        <v>993.6600000000001</v>
      </c>
      <c r="L74" s="60" t="n">
        <v>7643.63</v>
      </c>
      <c r="M74" s="8" t="n"/>
      <c r="N74" s="8" t="n"/>
      <c r="O74" s="60">
        <f>-SUMIF('YBHN HS TB'!$T:$T,'HS P&amp;L'!$A74,'YBHN HS TB'!C:C)</f>
        <v/>
      </c>
      <c r="P74" s="60">
        <f>-SUMIF('YBHN HS TB'!$T:$T,'HS P&amp;L'!$A74,'YBHN HS TB'!D:D)</f>
        <v/>
      </c>
      <c r="Q74" s="60">
        <f>-SUMIF('YBHN HS TB'!$T:$T,'HS P&amp;L'!$A74,'YBHN HS TB'!E:E)</f>
        <v/>
      </c>
      <c r="R74" s="60">
        <f>-SUMIF('YBHN HS TB'!$T:$T,'HS P&amp;L'!$A74,'YBHN HS TB'!F:F)</f>
        <v/>
      </c>
      <c r="S74" s="60">
        <f>-SUMIF('YBHN HS TB'!$T:$T,'HS P&amp;L'!$A74,'YBHN HS TB'!G:G)</f>
        <v/>
      </c>
      <c r="T74" s="60">
        <f>-SUMIF('YBHN HS TB'!$T:$T,'HS P&amp;L'!$A74,'YBHN HS TB'!H:H)</f>
        <v/>
      </c>
      <c r="U74" s="60">
        <f>-SUMIF('YBHN HS TB'!$T:$T,'HS P&amp;L'!$A74,'YBHN HS TB'!I:I)</f>
        <v/>
      </c>
      <c r="V74" s="60">
        <f>-SUMIF('YBHN HS TB'!$T:$T,'HS P&amp;L'!$A74,'YBHN HS TB'!J:J)</f>
        <v/>
      </c>
      <c r="W74" s="60">
        <f>-SUMIF('YBHN HS TB'!$T:$T,'HS P&amp;L'!$A74,'YBHN HS TB'!K:K)</f>
        <v/>
      </c>
      <c r="X74" s="60">
        <f>-SUMIF('YBHN HS TB'!$T:$T,'HS P&amp;L'!$A74,'YBHN HS TB'!L:L)</f>
        <v/>
      </c>
      <c r="Y74" s="60">
        <f>-SUMIF('YBHN HS TB'!$T:$T,'HS P&amp;L'!$A74,'YBHN HS TB'!M:M)</f>
        <v/>
      </c>
      <c r="Z74" s="60">
        <f>-SUMIF('YBHN HS TB'!$T:$T,'HS P&amp;L'!$A74,'YBHN HS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Direct - Staff Cost</t>
        </is>
      </c>
      <c r="B75" s="18" t="n">
        <v>0</v>
      </c>
      <c r="C75" s="18" t="n">
        <v>0</v>
      </c>
      <c r="D75" s="18" t="n">
        <v>0</v>
      </c>
      <c r="E75" s="18" t="n">
        <v>0</v>
      </c>
      <c r="F75" s="18" t="n">
        <v>0</v>
      </c>
      <c r="G75" s="18" t="n">
        <v>0</v>
      </c>
      <c r="H75" s="18" t="n">
        <v>0</v>
      </c>
      <c r="I75" s="18" t="n">
        <v>0</v>
      </c>
      <c r="J75" s="18" t="n">
        <v>-7127.65</v>
      </c>
      <c r="K75" s="18" t="n">
        <v>-7467.83</v>
      </c>
      <c r="L75" s="18" t="n">
        <v>-7796.090000000001</v>
      </c>
      <c r="M75" s="18" t="n"/>
      <c r="N75" s="8" t="n"/>
      <c r="O75" s="60">
        <f>-SUMIF('YBHN HS TB'!$T:$T,'HS P&amp;L'!$A75,'YBHN HS TB'!C:C)</f>
        <v/>
      </c>
      <c r="P75" s="60">
        <f>-SUMIF('YBHN HS TB'!$T:$T,'HS P&amp;L'!$A75,'YBHN HS TB'!D:D)</f>
        <v/>
      </c>
      <c r="Q75" s="60">
        <f>-SUMIF('YBHN HS TB'!$T:$T,'HS P&amp;L'!$A75,'YBHN HS TB'!E:E)</f>
        <v/>
      </c>
      <c r="R75" s="60">
        <f>-SUMIF('YBHN HS TB'!$T:$T,'HS P&amp;L'!$A75,'YBHN HS TB'!F:F)</f>
        <v/>
      </c>
      <c r="S75" s="60">
        <f>-SUMIF('YBHN HS TB'!$T:$T,'HS P&amp;L'!$A75,'YBHN HS TB'!G:G)</f>
        <v/>
      </c>
      <c r="T75" s="60">
        <f>-SUMIF('YBHN HS TB'!$T:$T,'HS P&amp;L'!$A75,'YBHN HS TB'!H:H)</f>
        <v/>
      </c>
      <c r="U75" s="60">
        <f>-SUMIF('YBHN HS TB'!$T:$T,'HS P&amp;L'!$A75,'YBHN HS TB'!I:I)</f>
        <v/>
      </c>
      <c r="V75" s="60">
        <f>-SUMIF('YBHN HS TB'!$T:$T,'HS P&amp;L'!$A75,'YBHN HS TB'!J:J)</f>
        <v/>
      </c>
      <c r="W75" s="60">
        <f>-SUMIF('YBHN HS TB'!$T:$T,'HS P&amp;L'!$A75,'YBHN HS TB'!K:K)</f>
        <v/>
      </c>
      <c r="X75" s="60">
        <f>-SUMIF('YBHN HS TB'!$T:$T,'HS P&amp;L'!$A75,'YBHN HS TB'!L:L)</f>
        <v/>
      </c>
      <c r="Y75" s="60">
        <f>-SUMIF('YBHN HS TB'!$T:$T,'HS P&amp;L'!$A75,'YBHN HS TB'!M:M)</f>
        <v/>
      </c>
      <c r="Z75" s="60">
        <f>-SUMIF('YBHN HS TB'!$T:$T,'HS P&amp;L'!$A75,'YBHN HS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60" t="inlineStr">
        <is>
          <t>Direct - Childcare Cost</t>
        </is>
      </c>
      <c r="B76" s="18" t="n">
        <v>0</v>
      </c>
      <c r="C76" s="18" t="n">
        <v>0</v>
      </c>
      <c r="D76" s="18" t="n">
        <v>0</v>
      </c>
      <c r="E76" s="18" t="n">
        <v>0</v>
      </c>
      <c r="F76" s="18" t="n">
        <v>0</v>
      </c>
      <c r="G76" s="18" t="n">
        <v>0</v>
      </c>
      <c r="H76" s="18" t="n">
        <v>-9.300000000000001</v>
      </c>
      <c r="I76" s="18" t="n">
        <v>-230.61</v>
      </c>
      <c r="J76" s="18" t="n">
        <v>-4105.969999999999</v>
      </c>
      <c r="K76" s="18" t="n">
        <v>-124.19</v>
      </c>
      <c r="L76" s="18" t="n">
        <v>-177.9</v>
      </c>
      <c r="M76" s="18" t="n">
        <v>0</v>
      </c>
      <c r="N76" s="8" t="n"/>
      <c r="O76" s="60">
        <f>-SUMIF('YBHN HS TB'!$T:$T,'HS P&amp;L'!$A76,'YBHN HS TB'!C:C)</f>
        <v/>
      </c>
      <c r="P76" s="60">
        <f>-SUMIF('YBHN HS TB'!$T:$T,'HS P&amp;L'!$A76,'YBHN HS TB'!D:D)</f>
        <v/>
      </c>
      <c r="Q76" s="60">
        <f>-SUMIF('YBHN HS TB'!$T:$T,'HS P&amp;L'!$A76,'YBHN HS TB'!E:E)</f>
        <v/>
      </c>
      <c r="R76" s="60">
        <f>-SUMIF('YBHN HS TB'!$T:$T,'HS P&amp;L'!$A76,'YBHN HS TB'!F:F)</f>
        <v/>
      </c>
      <c r="S76" s="60">
        <f>-SUMIF('YBHN HS TB'!$T:$T,'HS P&amp;L'!$A76,'YBHN HS TB'!G:G)</f>
        <v/>
      </c>
      <c r="T76" s="60">
        <f>-SUMIF('YBHN HS TB'!$T:$T,'HS P&amp;L'!$A76,'YBHN HS TB'!H:H)</f>
        <v/>
      </c>
      <c r="U76" s="60">
        <f>-SUMIF('YBHN HS TB'!$T:$T,'HS P&amp;L'!$A76,'YBHN HS TB'!I:I)</f>
        <v/>
      </c>
      <c r="V76" s="60">
        <f>-SUMIF('YBHN HS TB'!$T:$T,'HS P&amp;L'!$A76,'YBHN HS TB'!J:J)</f>
        <v/>
      </c>
      <c r="W76" s="60">
        <f>-SUMIF('YBHN HS TB'!$T:$T,'HS P&amp;L'!$A76,'YBHN HS TB'!K:K)</f>
        <v/>
      </c>
      <c r="X76" s="60">
        <f>-SUMIF('YBHN HS TB'!$T:$T,'HS P&amp;L'!$A76,'YBHN HS TB'!L:L)</f>
        <v/>
      </c>
      <c r="Y76" s="60">
        <f>-SUMIF('YBHN HS TB'!$T:$T,'HS P&amp;L'!$A76,'YBHN HS TB'!M:M)</f>
        <v/>
      </c>
      <c r="Z76" s="60">
        <f>-SUMIF('YBHN HS TB'!$T:$T,'HS P&amp;L'!$A76,'YBHN HS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Direct - Premises &amp; Admin</t>
        </is>
      </c>
      <c r="B77" s="18" t="n">
        <v>-722.48</v>
      </c>
      <c r="C77" s="18" t="n">
        <v>-665.0700000000001</v>
      </c>
      <c r="D77" s="18" t="n">
        <v>-689</v>
      </c>
      <c r="E77" s="18" t="n">
        <v>-689</v>
      </c>
      <c r="F77" s="18" t="n">
        <v>-469.84</v>
      </c>
      <c r="G77" s="18" t="n">
        <v>-9156.029999999999</v>
      </c>
      <c r="H77" s="18" t="n">
        <v>-3734.81</v>
      </c>
      <c r="I77" s="18" t="n">
        <v>-2141.96</v>
      </c>
      <c r="J77" s="18" t="n">
        <v>-1658.62</v>
      </c>
      <c r="K77" s="18" t="n">
        <v>-1042.18</v>
      </c>
      <c r="L77" s="18" t="n">
        <v>-1376.69</v>
      </c>
      <c r="M77" s="18" t="n">
        <v>-1032.31</v>
      </c>
      <c r="N77" s="8" t="n"/>
      <c r="O77" s="60">
        <f>-SUMIF('YBHN HS TB'!$T:$T,'HS P&amp;L'!$A77,'YBHN HS TB'!C:C)</f>
        <v/>
      </c>
      <c r="P77" s="60">
        <f>-SUMIF('YBHN HS TB'!$T:$T,'HS P&amp;L'!$A77,'YBHN HS TB'!D:D)</f>
        <v/>
      </c>
      <c r="Q77" s="60">
        <f>-SUMIF('YBHN HS TB'!$T:$T,'HS P&amp;L'!$A77,'YBHN HS TB'!E:E)</f>
        <v/>
      </c>
      <c r="R77" s="60">
        <f>-SUMIF('YBHN HS TB'!$T:$T,'HS P&amp;L'!$A77,'YBHN HS TB'!F:F)</f>
        <v/>
      </c>
      <c r="S77" s="60">
        <f>-SUMIF('YBHN HS TB'!$T:$T,'HS P&amp;L'!$A77,'YBHN HS TB'!G:G)</f>
        <v/>
      </c>
      <c r="T77" s="60">
        <f>-SUMIF('YBHN HS TB'!$T:$T,'HS P&amp;L'!$A77,'YBHN HS TB'!H:H)</f>
        <v/>
      </c>
      <c r="U77" s="60">
        <f>-SUMIF('YBHN HS TB'!$T:$T,'HS P&amp;L'!$A77,'YBHN HS TB'!I:I)</f>
        <v/>
      </c>
      <c r="V77" s="60">
        <f>-SUMIF('YBHN HS TB'!$T:$T,'HS P&amp;L'!$A77,'YBHN HS TB'!J:J)</f>
        <v/>
      </c>
      <c r="W77" s="60">
        <f>-SUMIF('YBHN HS TB'!$T:$T,'HS P&amp;L'!$A77,'YBHN HS TB'!K:K)</f>
        <v/>
      </c>
      <c r="X77" s="60">
        <f>-SUMIF('YBHN HS TB'!$T:$T,'HS P&amp;L'!$A77,'YBHN HS TB'!L:L)</f>
        <v/>
      </c>
      <c r="Y77" s="60">
        <f>-SUMIF('YBHN HS TB'!$T:$T,'HS P&amp;L'!$A77,'YBHN HS TB'!M:M)</f>
        <v/>
      </c>
      <c r="Z77" s="60">
        <f>-SUMIF('YBHN HS TB'!$T:$T,'HS P&amp;L'!$A77,'YBHN HS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-SUMIF('YBHN HS TB'!$T:$T,'HS P&amp;L'!$A78,'YBHN HS TB'!C:C)</f>
        <v/>
      </c>
      <c r="P78" s="60">
        <f>-SUMIF('YBHN HS TB'!$T:$T,'HS P&amp;L'!$A78,'YBHN HS TB'!D:D)</f>
        <v/>
      </c>
      <c r="Q78" s="60">
        <f>-SUMIF('YBHN HS TB'!$T:$T,'HS P&amp;L'!$A78,'YBHN HS TB'!E:E)</f>
        <v/>
      </c>
      <c r="R78" s="60">
        <f>-SUMIF('YBHN HS TB'!$T:$T,'HS P&amp;L'!$A78,'YBHN HS TB'!F:F)</f>
        <v/>
      </c>
      <c r="S78" s="60">
        <f>-SUMIF('YBHN HS TB'!$T:$T,'HS P&amp;L'!$A78,'YBHN HS TB'!G:G)</f>
        <v/>
      </c>
      <c r="T78" s="60">
        <f>-SUMIF('YBHN HS TB'!$T:$T,'HS P&amp;L'!$A78,'YBHN HS TB'!H:H)</f>
        <v/>
      </c>
      <c r="U78" s="60">
        <f>-SUMIF('YBHN HS TB'!$T:$T,'HS P&amp;L'!$A78,'YBHN HS TB'!I:I)</f>
        <v/>
      </c>
      <c r="V78" s="60">
        <f>-SUMIF('YBHN HS TB'!$T:$T,'HS P&amp;L'!$A78,'YBHN HS TB'!J:J)</f>
        <v/>
      </c>
      <c r="W78" s="60">
        <f>-SUMIF('YBHN HS TB'!$T:$T,'HS P&amp;L'!$A78,'YBHN HS TB'!K:K)</f>
        <v/>
      </c>
      <c r="X78" s="60">
        <f>-SUMIF('YBHN HS TB'!$T:$T,'HS P&amp;L'!$A78,'YBHN HS TB'!L:L)</f>
        <v/>
      </c>
      <c r="Y78" s="60">
        <f>-SUMIF('YBHN HS TB'!$T:$T,'HS P&amp;L'!$A78,'YBHN HS TB'!M:M)</f>
        <v/>
      </c>
      <c r="Z78" s="60">
        <f>-SUMIF('YBHN HS TB'!$T:$T,'HS P&amp;L'!$A78,'YBHN HS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60" t="inlineStr">
        <is>
          <t>In-Direct - Overheads</t>
        </is>
      </c>
      <c r="B79" s="18" t="n">
        <v>0</v>
      </c>
      <c r="C79" s="18" t="n">
        <v>0</v>
      </c>
      <c r="D79" s="18" t="n">
        <v>-135.22</v>
      </c>
      <c r="E79" s="18" t="n">
        <v>0</v>
      </c>
      <c r="F79" s="18" t="n">
        <v>0</v>
      </c>
      <c r="G79" s="18" t="n">
        <v>-259.8</v>
      </c>
      <c r="H79" s="18" t="n">
        <v>-214.8</v>
      </c>
      <c r="I79" s="18" t="n">
        <v>-214.8</v>
      </c>
      <c r="J79" s="18" t="n">
        <v>-223.6</v>
      </c>
      <c r="K79" s="18" t="n">
        <v>-283.6</v>
      </c>
      <c r="L79" s="18" t="n">
        <v>-275.25</v>
      </c>
      <c r="M79" s="18" t="n">
        <v>-395.12</v>
      </c>
      <c r="N79" s="8" t="n"/>
      <c r="O79" s="60">
        <f>-SUMIF('YBHN HS TB'!$T:$T,'HS P&amp;L'!$A79,'YBHN HS TB'!C:C)</f>
        <v/>
      </c>
      <c r="P79" s="60">
        <f>-SUMIF('YBHN HS TB'!$T:$T,'HS P&amp;L'!$A79,'YBHN HS TB'!D:D)</f>
        <v/>
      </c>
      <c r="Q79" s="60">
        <f>-SUMIF('YBHN HS TB'!$T:$T,'HS P&amp;L'!$A79,'YBHN HS TB'!E:E)</f>
        <v/>
      </c>
      <c r="R79" s="60">
        <f>-SUMIF('YBHN HS TB'!$T:$T,'HS P&amp;L'!$A79,'YBHN HS TB'!F:F)</f>
        <v/>
      </c>
      <c r="S79" s="60">
        <f>-SUMIF('YBHN HS TB'!$T:$T,'HS P&amp;L'!$A79,'YBHN HS TB'!G:G)</f>
        <v/>
      </c>
      <c r="T79" s="60">
        <f>-SUMIF('YBHN HS TB'!$T:$T,'HS P&amp;L'!$A79,'YBHN HS TB'!H:H)</f>
        <v/>
      </c>
      <c r="U79" s="60">
        <f>-SUMIF('YBHN HS TB'!$T:$T,'HS P&amp;L'!$A79,'YBHN HS TB'!I:I)</f>
        <v/>
      </c>
      <c r="V79" s="60">
        <f>-SUMIF('YBHN HS TB'!$T:$T,'HS P&amp;L'!$A79,'YBHN HS TB'!J:J)</f>
        <v/>
      </c>
      <c r="W79" s="60">
        <f>-SUMIF('YBHN HS TB'!$T:$T,'HS P&amp;L'!$A79,'YBHN HS TB'!K:K)</f>
        <v/>
      </c>
      <c r="X79" s="60">
        <f>-SUMIF('YBHN HS TB'!$T:$T,'HS P&amp;L'!$A79,'YBHN HS TB'!L:L)</f>
        <v/>
      </c>
      <c r="Y79" s="60">
        <f>-SUMIF('YBHN HS TB'!$T:$T,'HS P&amp;L'!$A79,'YBHN HS TB'!M:M)</f>
        <v/>
      </c>
      <c r="Z79" s="60">
        <f>-SUMIF('YBHN HS TB'!$T:$T,'HS P&amp;L'!$A79,'YBHN HS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67" t="n">
        <v>-722.48</v>
      </c>
      <c r="C80" s="67" t="n">
        <v>-665.0700000000001</v>
      </c>
      <c r="D80" s="67" t="n">
        <v>-824.22</v>
      </c>
      <c r="E80" s="67" t="n">
        <v>-689</v>
      </c>
      <c r="F80" s="67" t="n">
        <v>-469.84</v>
      </c>
      <c r="G80" s="67" t="n">
        <v>-9415.829999999998</v>
      </c>
      <c r="H80" s="67" t="n">
        <v>-3958.910000000001</v>
      </c>
      <c r="I80" s="67" t="n">
        <v>-2587.37</v>
      </c>
      <c r="J80" s="67" t="n">
        <v>-11592.2</v>
      </c>
      <c r="K80" s="67" t="n">
        <v>-7924.139999999999</v>
      </c>
      <c r="L80" s="67" t="n">
        <v>-1982.300000000001</v>
      </c>
      <c r="M80" s="67" t="n">
        <v>-1427.43</v>
      </c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8" t="n"/>
      <c r="AJ80" s="64" t="n"/>
      <c r="AK80" s="64" t="n"/>
      <c r="AL80" s="64" t="n"/>
      <c r="AM80" s="64" t="n"/>
      <c r="AN80" s="64" t="n"/>
      <c r="AO80" s="64" t="n"/>
      <c r="AP80" s="64" t="n"/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0</v>
      </c>
      <c r="K81" s="18" t="n">
        <v>0</v>
      </c>
      <c r="L81" s="18" t="n">
        <v>0</v>
      </c>
      <c r="M81" s="18" t="n">
        <v>425.2999999999996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-135.22</v>
      </c>
      <c r="E83" s="18" t="n">
        <v>0</v>
      </c>
      <c r="F83" s="18" t="n">
        <v>0</v>
      </c>
      <c r="G83" s="18" t="n">
        <v>-259.7999999999993</v>
      </c>
      <c r="H83" s="18" t="n">
        <v>-214.8000000000006</v>
      </c>
      <c r="I83" s="18" t="n">
        <v>-562.8000000000004</v>
      </c>
      <c r="J83" s="18" t="n">
        <v>-223.5999999999985</v>
      </c>
      <c r="K83" s="18" t="n">
        <v>-293.5999999999995</v>
      </c>
      <c r="L83" s="18" t="n">
        <v>-285.2500000000009</v>
      </c>
      <c r="M83" s="18" t="n">
        <v>-681.2799999999997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18" t="n">
        <v>722.48</v>
      </c>
      <c r="C84" s="18" t="n">
        <v>665.0700000000001</v>
      </c>
      <c r="D84" s="18" t="n">
        <v>689</v>
      </c>
      <c r="E84" s="18" t="n">
        <v>689</v>
      </c>
      <c r="F84" s="18" t="n">
        <v>469.84</v>
      </c>
      <c r="G84" s="18" t="n">
        <v>9156.029999999999</v>
      </c>
      <c r="H84" s="18" t="n">
        <v>3744.11</v>
      </c>
      <c r="I84" s="18" t="n">
        <v>2024.57</v>
      </c>
      <c r="J84" s="18" t="n">
        <v>11368.6</v>
      </c>
      <c r="K84" s="18" t="n">
        <v>7630.54</v>
      </c>
      <c r="L84" s="18" t="n">
        <v>1697.05</v>
      </c>
      <c r="M84" s="18" t="n">
        <v>746.1500000000001</v>
      </c>
      <c r="N84" s="8" t="n"/>
      <c r="O84" s="60">
        <f>SUM('YBHN HS TB'!C2:C23)</f>
        <v/>
      </c>
      <c r="P84" s="60">
        <f>SUM('YBHN HS TB'!D2:D23)</f>
        <v/>
      </c>
      <c r="Q84" s="60">
        <f>SUM('YBHN HS TB'!E2:E23)</f>
        <v/>
      </c>
      <c r="R84" s="60">
        <f>SUM('YBHN HS TB'!F2:F23)</f>
        <v/>
      </c>
      <c r="S84" s="60">
        <f>SUM('YBHN HS TB'!G2:G23)</f>
        <v/>
      </c>
      <c r="T84" s="60">
        <f>SUM('YBHN HS TB'!H2:H23)</f>
        <v/>
      </c>
      <c r="U84" s="60">
        <f>SUM('YBHN HS TB'!I2:I23)</f>
        <v/>
      </c>
      <c r="V84" s="60">
        <f>SUM('YBHN HS TB'!J2:J23)</f>
        <v/>
      </c>
      <c r="W84" s="60">
        <f>SUM('YBHN HS TB'!K2:K23)</f>
        <v/>
      </c>
      <c r="X84" s="60">
        <f>SUM('YBHN HS TB'!L2:L23)</f>
        <v/>
      </c>
      <c r="Y84" s="60">
        <f>SUM('YBHN HS TB'!M2:M23)</f>
        <v/>
      </c>
      <c r="Z84" s="60">
        <f>SUM('YBHN HS TB'!N2:N23)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Happitots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45921.31</v>
      </c>
      <c r="C8" s="35" t="n">
        <v>38098.84</v>
      </c>
      <c r="D8" s="35" t="n">
        <v>46565.41</v>
      </c>
      <c r="E8" s="35" t="n">
        <v>57238.21</v>
      </c>
      <c r="F8" s="35" t="n">
        <v>49192.7</v>
      </c>
      <c r="G8" s="35" t="n">
        <v>46788.82</v>
      </c>
      <c r="H8" s="35" t="n">
        <v>62639.28</v>
      </c>
      <c r="I8" s="35" t="n">
        <v>56769.19</v>
      </c>
      <c r="J8" s="35" t="n">
        <v>40329.92</v>
      </c>
      <c r="K8" s="35" t="n">
        <v>40153.78</v>
      </c>
      <c r="L8" s="35" t="n">
        <v>34561.24</v>
      </c>
      <c r="M8" s="35" t="n">
        <v>45835.67</v>
      </c>
      <c r="N8" s="36">
        <f>SUM(B8:M8)</f>
        <v/>
      </c>
      <c r="O8" s="37" t="n">
        <v>34024.2</v>
      </c>
      <c r="P8" s="37" t="n">
        <v>34520.9</v>
      </c>
      <c r="Q8" s="37" t="n">
        <v>44678.8</v>
      </c>
      <c r="R8" s="37" t="n">
        <v>46928.2</v>
      </c>
      <c r="S8" s="37" t="n">
        <v>40486.3</v>
      </c>
      <c r="T8" s="37" t="n">
        <v>45145.1</v>
      </c>
      <c r="U8" s="37" t="n">
        <v>56928.34000000002</v>
      </c>
      <c r="V8" s="38" t="n">
        <v>49094.17</v>
      </c>
      <c r="W8" s="38" t="n">
        <v>34298.95</v>
      </c>
      <c r="X8" s="38" t="n">
        <v>33860.51</v>
      </c>
      <c r="Y8" s="38" t="n">
        <v>34027.45</v>
      </c>
      <c r="Z8" s="38" t="n">
        <v>46313.78</v>
      </c>
      <c r="AA8" s="36">
        <f>SUM(O8:U8)</f>
        <v/>
      </c>
      <c r="AB8" s="36">
        <f>SUM(O8:Z8)</f>
        <v/>
      </c>
      <c r="AC8" s="38" t="n">
        <v>63267.18</v>
      </c>
      <c r="AD8" s="38" t="n">
        <v>60274.57</v>
      </c>
      <c r="AE8" s="38" t="n">
        <v>75362.87</v>
      </c>
      <c r="AF8" s="38" t="n">
        <v>69288.22</v>
      </c>
      <c r="AG8" s="38" t="n">
        <v>72843.58</v>
      </c>
      <c r="AH8" s="38" t="n">
        <v>75234.78999999999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14880.4</v>
      </c>
      <c r="C9" s="35" t="n">
        <v>14880.4</v>
      </c>
      <c r="D9" s="35" t="n">
        <v>22868.72</v>
      </c>
      <c r="E9" s="35" t="n">
        <v>11910.48</v>
      </c>
      <c r="F9" s="35" t="n">
        <v>11910.4</v>
      </c>
      <c r="G9" s="35" t="n">
        <v>11910.48</v>
      </c>
      <c r="H9" s="35" t="n">
        <v>28251.59</v>
      </c>
      <c r="I9" s="35" t="n">
        <v>0</v>
      </c>
      <c r="J9" s="35" t="n">
        <v>12726.08</v>
      </c>
      <c r="K9" s="35" t="n">
        <v>12726.08</v>
      </c>
      <c r="L9" s="35" t="n">
        <v>28161.67</v>
      </c>
      <c r="M9" s="35" t="n">
        <v>28507.8</v>
      </c>
      <c r="N9" s="36">
        <f>SUM(B9:M9)</f>
        <v/>
      </c>
      <c r="O9" s="37" t="n">
        <v>20522.7</v>
      </c>
      <c r="P9" s="37" t="n">
        <v>20522.7</v>
      </c>
      <c r="Q9" s="37" t="n">
        <v>21690.4</v>
      </c>
      <c r="R9" s="37" t="n">
        <v>22674.8</v>
      </c>
      <c r="S9" s="37" t="n">
        <v>22674.7</v>
      </c>
      <c r="T9" s="37" t="n">
        <v>24039.4</v>
      </c>
      <c r="U9" s="37" t="n">
        <v>23129.63</v>
      </c>
      <c r="V9" s="38" t="n">
        <v>0</v>
      </c>
      <c r="W9" s="38" t="n">
        <v>19443.72</v>
      </c>
      <c r="X9" s="38" t="n">
        <v>24019.56</v>
      </c>
      <c r="Y9" s="38" t="n">
        <v>23214.36</v>
      </c>
      <c r="Z9" s="38" t="n">
        <v>9933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200</v>
      </c>
      <c r="C10" s="35" t="n">
        <v>200</v>
      </c>
      <c r="D10" s="35" t="n">
        <v>300</v>
      </c>
      <c r="E10" s="35" t="n">
        <v>300</v>
      </c>
      <c r="F10" s="35" t="n">
        <v>300</v>
      </c>
      <c r="G10" s="35" t="n">
        <v>360</v>
      </c>
      <c r="H10" s="35" t="n">
        <v>300</v>
      </c>
      <c r="I10" s="35" t="n">
        <v>3279.07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 t="n">
        <v>0</v>
      </c>
      <c r="P10" s="37" t="n">
        <v>0</v>
      </c>
      <c r="Q10" s="37" t="n">
        <v>339.3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61001.71</v>
      </c>
      <c r="C11" s="42" t="n">
        <v>53179.24</v>
      </c>
      <c r="D11" s="42" t="n">
        <v>69734.13</v>
      </c>
      <c r="E11" s="42" t="n">
        <v>69448.69</v>
      </c>
      <c r="F11" s="42" t="n">
        <v>61403.1</v>
      </c>
      <c r="G11" s="42" t="n">
        <v>59059.3</v>
      </c>
      <c r="H11" s="42" t="n">
        <v>91190.87</v>
      </c>
      <c r="I11" s="42" t="n">
        <v>60048.26</v>
      </c>
      <c r="J11" s="42" t="n">
        <v>53056</v>
      </c>
      <c r="K11" s="42" t="n">
        <v>52879.86</v>
      </c>
      <c r="L11" s="42" t="n">
        <v>62722.91</v>
      </c>
      <c r="M11" s="42" t="n">
        <v>74343.47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27199.35</v>
      </c>
      <c r="C16" s="35" t="n">
        <v>26969.3</v>
      </c>
      <c r="D16" s="35" t="n">
        <v>28313.5</v>
      </c>
      <c r="E16" s="35" t="n">
        <v>31211.69</v>
      </c>
      <c r="F16" s="35" t="n">
        <v>29845.91</v>
      </c>
      <c r="G16" s="35" t="n">
        <v>29990.87</v>
      </c>
      <c r="H16" s="35" t="n">
        <v>35763.1</v>
      </c>
      <c r="I16" s="35" t="n">
        <v>33092</v>
      </c>
      <c r="J16" s="35" t="n">
        <v>32840.54</v>
      </c>
      <c r="K16" s="35" t="n">
        <v>36158.05</v>
      </c>
      <c r="L16" s="35" t="n">
        <v>35650.18</v>
      </c>
      <c r="M16" s="35" t="n">
        <v>36557.18</v>
      </c>
      <c r="N16" s="36">
        <f>SUM(B16:M16)</f>
        <v/>
      </c>
      <c r="O16" s="37" t="n">
        <v>38698.39</v>
      </c>
      <c r="P16" s="37" t="n">
        <v>34009.54</v>
      </c>
      <c r="Q16" s="37" t="n">
        <v>40961.75</v>
      </c>
      <c r="R16" s="37" t="n">
        <v>37699.5</v>
      </c>
      <c r="S16" s="37" t="n">
        <v>34150.91</v>
      </c>
      <c r="T16" s="37" t="n">
        <v>33439.28</v>
      </c>
      <c r="U16" s="37" t="n">
        <v>33483.36</v>
      </c>
      <c r="V16" s="38" t="n">
        <v>33483.36</v>
      </c>
      <c r="W16" s="38" t="n">
        <v>33483.36</v>
      </c>
      <c r="X16" s="38" t="n">
        <v>33483.36</v>
      </c>
      <c r="Y16" s="38" t="n">
        <v>33483.36</v>
      </c>
      <c r="Z16" s="38" t="n">
        <v>33483.36</v>
      </c>
      <c r="AA16" s="36">
        <f>SUM(O16:U16)</f>
        <v/>
      </c>
      <c r="AB16" s="36">
        <f>SUM(O16:Z16)</f>
        <v/>
      </c>
      <c r="AC16" s="38" t="n">
        <v>33483.36</v>
      </c>
      <c r="AD16" s="38" t="n">
        <v>33483.36</v>
      </c>
      <c r="AE16" s="38" t="n">
        <v>33483.36</v>
      </c>
      <c r="AF16" s="38" t="n">
        <v>33483.36</v>
      </c>
      <c r="AG16" s="38" t="n">
        <v>33483.36</v>
      </c>
      <c r="AH16" s="38" t="n">
        <v>33483.36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2322.12</v>
      </c>
      <c r="C17" s="35" t="n">
        <v>2227.41</v>
      </c>
      <c r="D17" s="35" t="n">
        <v>2346.82</v>
      </c>
      <c r="E17" s="35" t="n">
        <v>3631.01</v>
      </c>
      <c r="F17" s="35" t="n">
        <v>3444.09</v>
      </c>
      <c r="G17" s="35" t="n">
        <v>3284.69</v>
      </c>
      <c r="H17" s="35" t="n">
        <v>4309.29</v>
      </c>
      <c r="I17" s="35" t="n">
        <v>3776.98</v>
      </c>
      <c r="J17" s="35" t="n">
        <v>3745.07</v>
      </c>
      <c r="K17" s="35" t="n">
        <v>4183.86</v>
      </c>
      <c r="L17" s="35" t="n">
        <v>4085.43</v>
      </c>
      <c r="M17" s="35" t="n">
        <v>4232.64</v>
      </c>
      <c r="N17" s="36">
        <f>SUM(B17:M17)</f>
        <v/>
      </c>
      <c r="O17" s="37" t="n">
        <v>4242.54</v>
      </c>
      <c r="P17" s="37" t="n">
        <v>3578.41</v>
      </c>
      <c r="Q17" s="37" t="n">
        <v>4366.65</v>
      </c>
      <c r="R17" s="37" t="n">
        <v>4174.09</v>
      </c>
      <c r="S17" s="37" t="n">
        <v>3821.87</v>
      </c>
      <c r="T17" s="37" t="n">
        <v>3932.6</v>
      </c>
      <c r="U17" s="37" t="n">
        <v>3939.99</v>
      </c>
      <c r="V17" s="38" t="n">
        <v>3939.99</v>
      </c>
      <c r="W17" s="38" t="n">
        <v>3939.99</v>
      </c>
      <c r="X17" s="38" t="n">
        <v>3939.99</v>
      </c>
      <c r="Y17" s="38" t="n">
        <v>3939.99</v>
      </c>
      <c r="Z17" s="38" t="n">
        <v>3939.99</v>
      </c>
      <c r="AA17" s="36">
        <f>SUM(O17:U17)</f>
        <v/>
      </c>
      <c r="AB17" s="36">
        <f>SUM(O17:Z17)</f>
        <v/>
      </c>
      <c r="AC17" s="38" t="n">
        <v>3939.99</v>
      </c>
      <c r="AD17" s="38" t="n">
        <v>3939.99</v>
      </c>
      <c r="AE17" s="38" t="n">
        <v>3939.99</v>
      </c>
      <c r="AF17" s="38" t="n">
        <v>3939.99</v>
      </c>
      <c r="AG17" s="38" t="n">
        <v>3939.99</v>
      </c>
      <c r="AH17" s="38" t="n">
        <v>3939.99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590.4400000000001</v>
      </c>
      <c r="C18" s="35" t="n">
        <v>569.1900000000001</v>
      </c>
      <c r="D18" s="35" t="n">
        <v>575.7</v>
      </c>
      <c r="E18" s="35" t="n">
        <v>603.08</v>
      </c>
      <c r="F18" s="35" t="n">
        <v>604.72</v>
      </c>
      <c r="G18" s="35" t="n">
        <v>616.71</v>
      </c>
      <c r="H18" s="35" t="n">
        <v>779.6900000000001</v>
      </c>
      <c r="I18" s="35" t="n">
        <v>683.8</v>
      </c>
      <c r="J18" s="35" t="n">
        <v>705.6799999999999</v>
      </c>
      <c r="K18" s="35" t="n">
        <v>790.33</v>
      </c>
      <c r="L18" s="35" t="n">
        <v>770.66</v>
      </c>
      <c r="M18" s="35" t="n">
        <v>799.9299999999999</v>
      </c>
      <c r="N18" s="36">
        <f>SUM(B18:M18)</f>
        <v/>
      </c>
      <c r="O18" s="37" t="n">
        <v>804.22</v>
      </c>
      <c r="P18" s="37" t="n">
        <v>675.46</v>
      </c>
      <c r="Q18" s="37" t="n">
        <v>775.88</v>
      </c>
      <c r="R18" s="37" t="n">
        <v>737.62</v>
      </c>
      <c r="S18" s="37" t="n">
        <v>724.15</v>
      </c>
      <c r="T18" s="37" t="n">
        <v>746.3099999999999</v>
      </c>
      <c r="U18" s="37" t="n">
        <v>747.79</v>
      </c>
      <c r="V18" s="38" t="n">
        <v>747.79</v>
      </c>
      <c r="W18" s="38" t="n">
        <v>747.79</v>
      </c>
      <c r="X18" s="38" t="n">
        <v>747.79</v>
      </c>
      <c r="Y18" s="38" t="n">
        <v>747.79</v>
      </c>
      <c r="Z18" s="38" t="n">
        <v>747.79</v>
      </c>
      <c r="AA18" s="36">
        <f>SUM(O18:U18)</f>
        <v/>
      </c>
      <c r="AB18" s="36">
        <f>SUM(O18:Z18)</f>
        <v/>
      </c>
      <c r="AC18" s="38" t="n">
        <v>747.79</v>
      </c>
      <c r="AD18" s="38" t="n">
        <v>747.79</v>
      </c>
      <c r="AE18" s="38" t="n">
        <v>747.79</v>
      </c>
      <c r="AF18" s="38" t="n">
        <v>747.79</v>
      </c>
      <c r="AG18" s="38" t="n">
        <v>747.79</v>
      </c>
      <c r="AH18" s="38" t="n">
        <v>747.79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286.7</v>
      </c>
      <c r="D19" s="35" t="n">
        <v>5.99</v>
      </c>
      <c r="E19" s="35" t="n">
        <v>251.62</v>
      </c>
      <c r="F19" s="35" t="n">
        <v>91.02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163.98</v>
      </c>
      <c r="L19" s="35" t="n">
        <v>0</v>
      </c>
      <c r="M19" s="35" t="n">
        <v>0</v>
      </c>
      <c r="N19" s="36">
        <f>SUM(B19:M19)</f>
        <v/>
      </c>
      <c r="O19" s="37" t="n">
        <v>186.09</v>
      </c>
      <c r="P19" s="37" t="n">
        <v>0</v>
      </c>
      <c r="Q19" s="37" t="n">
        <v>0</v>
      </c>
      <c r="R19" s="37" t="n">
        <v>0</v>
      </c>
      <c r="S19" s="37" t="n">
        <v>207.84</v>
      </c>
      <c r="T19" s="37" t="n">
        <v>0</v>
      </c>
      <c r="U19" s="37" t="n">
        <v>0</v>
      </c>
      <c r="V19" s="38" t="n">
        <v>83</v>
      </c>
      <c r="W19" s="38" t="n">
        <v>83</v>
      </c>
      <c r="X19" s="38" t="n">
        <v>83</v>
      </c>
      <c r="Y19" s="38" t="n">
        <v>83</v>
      </c>
      <c r="Z19" s="38" t="n">
        <v>83</v>
      </c>
      <c r="AA19" s="36">
        <f>SUM(O19:U19)</f>
        <v/>
      </c>
      <c r="AB19" s="36">
        <f>SUM(O19:Z19)</f>
        <v/>
      </c>
      <c r="AC19" s="38" t="n">
        <v>83</v>
      </c>
      <c r="AD19" s="38" t="n">
        <v>83</v>
      </c>
      <c r="AE19" s="38" t="n">
        <v>83</v>
      </c>
      <c r="AF19" s="38" t="n">
        <v>83</v>
      </c>
      <c r="AG19" s="38" t="n">
        <v>83</v>
      </c>
      <c r="AH19" s="38" t="n">
        <v>83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48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54</v>
      </c>
      <c r="H20" s="35" t="n">
        <v>24</v>
      </c>
      <c r="I20" s="35" t="n">
        <v>0</v>
      </c>
      <c r="J20" s="35" t="n">
        <v>102</v>
      </c>
      <c r="K20" s="35" t="n">
        <v>0</v>
      </c>
      <c r="L20" s="35" t="n">
        <v>37.2</v>
      </c>
      <c r="M20" s="35" t="n">
        <v>0</v>
      </c>
      <c r="N20" s="36">
        <f>SUM(B20:M20)</f>
        <v/>
      </c>
      <c r="O20" s="37" t="n">
        <v>0</v>
      </c>
      <c r="P20" s="37" t="n">
        <v>720</v>
      </c>
      <c r="Q20" s="37" t="n">
        <v>0</v>
      </c>
      <c r="R20" s="37" t="n">
        <v>335</v>
      </c>
      <c r="S20" s="37" t="n">
        <v>0</v>
      </c>
      <c r="T20" s="37" t="n">
        <v>0</v>
      </c>
      <c r="U20" s="37" t="n">
        <v>37.2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220.6000000000001</v>
      </c>
      <c r="C21" s="35" t="n">
        <v>225.71</v>
      </c>
      <c r="D21" s="35" t="n">
        <v>115.95</v>
      </c>
      <c r="E21" s="35" t="n">
        <v>324.7900000000001</v>
      </c>
      <c r="F21" s="35" t="n">
        <v>102.62</v>
      </c>
      <c r="G21" s="35" t="n">
        <v>41.39</v>
      </c>
      <c r="H21" s="35" t="n">
        <v>456.77</v>
      </c>
      <c r="I21" s="35" t="n">
        <v>117.13</v>
      </c>
      <c r="J21" s="35" t="n">
        <v>158.17</v>
      </c>
      <c r="K21" s="35" t="n">
        <v>329.93</v>
      </c>
      <c r="L21" s="35" t="n">
        <v>60.13</v>
      </c>
      <c r="M21" s="35" t="n">
        <v>69.8</v>
      </c>
      <c r="N21" s="36">
        <f>SUM(B21:M21)</f>
        <v/>
      </c>
      <c r="O21" s="37" t="n">
        <v>200.05</v>
      </c>
      <c r="P21" s="37" t="n">
        <v>80.63</v>
      </c>
      <c r="Q21" s="37" t="n">
        <v>225.8</v>
      </c>
      <c r="R21" s="37" t="n">
        <v>44.26</v>
      </c>
      <c r="S21" s="37" t="n">
        <v>190.63</v>
      </c>
      <c r="T21" s="37" t="n">
        <v>243.97</v>
      </c>
      <c r="U21" s="37" t="n">
        <v>169.85</v>
      </c>
      <c r="V21" s="38" t="n">
        <v>170</v>
      </c>
      <c r="W21" s="38" t="n">
        <v>170</v>
      </c>
      <c r="X21" s="38" t="n">
        <v>170</v>
      </c>
      <c r="Y21" s="38" t="n">
        <v>170</v>
      </c>
      <c r="Z21" s="38" t="n">
        <v>170</v>
      </c>
      <c r="AA21" s="36">
        <f>SUM(O21:U21)</f>
        <v/>
      </c>
      <c r="AB21" s="36">
        <f>SUM(O21:Z21)</f>
        <v/>
      </c>
      <c r="AC21" s="38" t="n">
        <v>170</v>
      </c>
      <c r="AD21" s="38" t="n">
        <v>170</v>
      </c>
      <c r="AE21" s="38" t="n">
        <v>170</v>
      </c>
      <c r="AF21" s="38" t="n">
        <v>170</v>
      </c>
      <c r="AG21" s="38" t="n">
        <v>170</v>
      </c>
      <c r="AH21" s="38" t="n">
        <v>170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SUMIF('XHDN TB'!$R:$R,'HDN P&amp;L'!$A22,'XHDN TB'!C:C)</f>
        <v/>
      </c>
      <c r="P22" s="37">
        <f>SUMIF('XHDN TB'!$R:$R,'HDN P&amp;L'!$A22,'XHDN TB'!D:D)</f>
        <v/>
      </c>
      <c r="Q22" s="37">
        <f>SUMIF('XHDN TB'!$R:$R,'HDN P&amp;L'!$A22,'XHDN TB'!E:E)</f>
        <v/>
      </c>
      <c r="R22" s="37">
        <f>SUMIF('XHDN TB'!$R:$R,'HDN P&amp;L'!$A22,'XHDN TB'!F:F)</f>
        <v/>
      </c>
      <c r="S22" s="37">
        <f>SUMIF('XHDN TB'!$R:$R,'HDN P&amp;L'!$A22,'XHDN TB'!G:G)</f>
        <v/>
      </c>
      <c r="T22" s="37">
        <f>SUMIF('XHDN TB'!$R:$R,'HDN P&amp;L'!$A22,'XHDN TB'!H:H)</f>
        <v/>
      </c>
      <c r="U22" s="37">
        <f>SUMIF('HDN TB'!$R:$R,'HDN P&amp;L'!$A22,'HDN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48.47</v>
      </c>
      <c r="I23" s="35" t="n">
        <v>27.5</v>
      </c>
      <c r="J23" s="35" t="n">
        <v>73.47</v>
      </c>
      <c r="K23" s="35" t="n">
        <v>0</v>
      </c>
      <c r="L23" s="35" t="n">
        <v>35.97</v>
      </c>
      <c r="M23" s="35" t="n">
        <v>7.99</v>
      </c>
      <c r="N23" s="36">
        <f>SUM(B23:M23)</f>
        <v/>
      </c>
      <c r="O23" s="37" t="n">
        <v>13.98</v>
      </c>
      <c r="P23" s="37" t="n">
        <v>18.97</v>
      </c>
      <c r="Q23" s="37" t="n">
        <v>11.99</v>
      </c>
      <c r="R23" s="37" t="n">
        <v>0</v>
      </c>
      <c r="S23" s="37" t="n">
        <v>29.98</v>
      </c>
      <c r="T23" s="37" t="n">
        <v>0</v>
      </c>
      <c r="U23" s="37" t="n">
        <v>43.8</v>
      </c>
      <c r="V23" s="38" t="n">
        <v>71</v>
      </c>
      <c r="W23" s="38" t="n">
        <v>71</v>
      </c>
      <c r="X23" s="38" t="n">
        <v>71</v>
      </c>
      <c r="Y23" s="38" t="n">
        <v>71</v>
      </c>
      <c r="Z23" s="38" t="n">
        <v>71</v>
      </c>
      <c r="AA23" s="36">
        <f>SUM(O23:U23)</f>
        <v/>
      </c>
      <c r="AB23" s="36">
        <f>SUM(O23:Z23)</f>
        <v/>
      </c>
      <c r="AC23" s="38" t="n">
        <v>71</v>
      </c>
      <c r="AD23" s="38" t="n">
        <v>71</v>
      </c>
      <c r="AE23" s="38" t="n">
        <v>71</v>
      </c>
      <c r="AF23" s="38" t="n">
        <v>71</v>
      </c>
      <c r="AG23" s="38" t="n">
        <v>71</v>
      </c>
      <c r="AH23" s="38" t="n">
        <v>71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217.33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SUMIF('XHDN TB'!$R:$R,'HDN P&amp;L'!$A24,'XHDN TB'!C:C)</f>
        <v/>
      </c>
      <c r="P24" s="37">
        <f>SUMIF('XHDN TB'!$R:$R,'HDN P&amp;L'!$A24,'XHDN TB'!D:D)</f>
        <v/>
      </c>
      <c r="Q24" s="37">
        <f>SUMIF('XHDN TB'!$R:$R,'HDN P&amp;L'!$A24,'XHDN TB'!E:E)</f>
        <v/>
      </c>
      <c r="R24" s="37">
        <f>SUMIF('XHDN TB'!$R:$R,'HDN P&amp;L'!$A24,'XHDN TB'!F:F)</f>
        <v/>
      </c>
      <c r="S24" s="37">
        <f>SUMIF('XHDN TB'!$R:$R,'HDN P&amp;L'!$A24,'XHDN TB'!G:G)</f>
        <v/>
      </c>
      <c r="T24" s="37">
        <f>SUMIF('XHDN TB'!$R:$R,'HDN P&amp;L'!$A24,'XHDN TB'!H:H)</f>
        <v/>
      </c>
      <c r="U24" s="37">
        <f>SUMIF('HDN TB'!$R:$R,'HDN P&amp;L'!$A24,'HDN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30380.50999999999</v>
      </c>
      <c r="C25" s="42" t="n">
        <v>30495.64</v>
      </c>
      <c r="D25" s="42" t="n">
        <v>31357.96</v>
      </c>
      <c r="E25" s="42" t="n">
        <v>36022.19</v>
      </c>
      <c r="F25" s="42" t="n">
        <v>34088.36</v>
      </c>
      <c r="G25" s="42" t="n">
        <v>33987.66</v>
      </c>
      <c r="H25" s="42" t="n">
        <v>41381.32</v>
      </c>
      <c r="I25" s="42" t="n">
        <v>37697.41</v>
      </c>
      <c r="J25" s="42" t="n">
        <v>37624.93</v>
      </c>
      <c r="K25" s="42" t="n">
        <v>41626.15000000001</v>
      </c>
      <c r="L25" s="42" t="n">
        <v>40639.57</v>
      </c>
      <c r="M25" s="42" t="n">
        <v>41667.54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981.28</v>
      </c>
      <c r="C27" s="35" t="n">
        <v>1316.38</v>
      </c>
      <c r="D27" s="35" t="n">
        <v>1227.96</v>
      </c>
      <c r="E27" s="35" t="n">
        <v>1090.82</v>
      </c>
      <c r="F27" s="35" t="n">
        <v>1841.11</v>
      </c>
      <c r="G27" s="35" t="n">
        <v>1207.3</v>
      </c>
      <c r="H27" s="35" t="n">
        <v>1487.43</v>
      </c>
      <c r="I27" s="35" t="n">
        <v>1375.04</v>
      </c>
      <c r="J27" s="35" t="n">
        <v>921.6600000000001</v>
      </c>
      <c r="K27" s="35" t="n">
        <v>1727.81</v>
      </c>
      <c r="L27" s="35" t="n">
        <v>1328.64</v>
      </c>
      <c r="M27" s="35" t="n">
        <v>1221.21</v>
      </c>
      <c r="N27" s="36">
        <f>SUM(B27:M27)</f>
        <v/>
      </c>
      <c r="O27" s="37" t="n">
        <v>1263.34</v>
      </c>
      <c r="P27" s="37" t="n">
        <v>1271.59</v>
      </c>
      <c r="Q27" s="37" t="n">
        <v>1506.32</v>
      </c>
      <c r="R27" s="37" t="n">
        <v>1840.45</v>
      </c>
      <c r="S27" s="37" t="n">
        <v>1559.5</v>
      </c>
      <c r="T27" s="37" t="n">
        <v>1526.24</v>
      </c>
      <c r="U27" s="37" t="n">
        <v>1904.53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239.5</v>
      </c>
      <c r="C28" s="35" t="n">
        <v>130.44</v>
      </c>
      <c r="D28" s="35" t="n">
        <v>274.74</v>
      </c>
      <c r="E28" s="35" t="n">
        <v>380.74</v>
      </c>
      <c r="F28" s="35" t="n">
        <v>1073</v>
      </c>
      <c r="G28" s="35" t="n">
        <v>48.17</v>
      </c>
      <c r="H28" s="35" t="n">
        <v>581.1899999999999</v>
      </c>
      <c r="I28" s="35" t="n">
        <v>236.38</v>
      </c>
      <c r="J28" s="35" t="n">
        <v>393.6</v>
      </c>
      <c r="K28" s="35" t="n">
        <v>22.42</v>
      </c>
      <c r="L28" s="35" t="n">
        <v>14.95</v>
      </c>
      <c r="M28" s="35" t="n">
        <v>53.27</v>
      </c>
      <c r="N28" s="36">
        <f>SUM(B28:M28)</f>
        <v/>
      </c>
      <c r="O28" s="37" t="n">
        <v>113.98</v>
      </c>
      <c r="P28" s="37" t="n">
        <v>728.66</v>
      </c>
      <c r="Q28" s="37" t="n">
        <v>134.78</v>
      </c>
      <c r="R28" s="37" t="n">
        <v>47.99</v>
      </c>
      <c r="S28" s="37" t="n">
        <v>65.31999999999999</v>
      </c>
      <c r="T28" s="37" t="n">
        <v>23.67</v>
      </c>
      <c r="U28" s="37" t="n">
        <v>111.13</v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13.32</v>
      </c>
      <c r="C29" s="35" t="n">
        <v>60.2</v>
      </c>
      <c r="D29" s="35" t="n">
        <v>60</v>
      </c>
      <c r="E29" s="35" t="n">
        <v>100.89</v>
      </c>
      <c r="F29" s="35" t="n">
        <v>161.81</v>
      </c>
      <c r="G29" s="35" t="n">
        <v>123.86</v>
      </c>
      <c r="H29" s="35" t="n">
        <v>29.36</v>
      </c>
      <c r="I29" s="35" t="n">
        <v>26.93</v>
      </c>
      <c r="J29" s="35" t="n">
        <v>0</v>
      </c>
      <c r="K29" s="35" t="n">
        <v>50.84</v>
      </c>
      <c r="L29" s="35" t="n">
        <v>163.6</v>
      </c>
      <c r="M29" s="35" t="n">
        <v>100.1</v>
      </c>
      <c r="N29" s="36">
        <f>SUM(B29:M29)</f>
        <v/>
      </c>
      <c r="O29" s="37" t="n">
        <v>9.99</v>
      </c>
      <c r="P29" s="37" t="n">
        <v>147.8</v>
      </c>
      <c r="Q29" s="37" t="n">
        <v>26.31</v>
      </c>
      <c r="R29" s="37" t="n">
        <v>70.34</v>
      </c>
      <c r="S29" s="37" t="n">
        <v>0</v>
      </c>
      <c r="T29" s="37" t="n">
        <v>114.28</v>
      </c>
      <c r="U29" s="37" t="n">
        <v>137.9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0.00312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 t="n">
        <v>0</v>
      </c>
      <c r="P30" s="37" t="n">
        <v>0</v>
      </c>
      <c r="Q30" s="37" t="n">
        <v>0</v>
      </c>
      <c r="R30" s="37" t="n">
        <v>0</v>
      </c>
      <c r="S30" s="37" t="n">
        <v>0</v>
      </c>
      <c r="T30" s="37" t="n">
        <v>0</v>
      </c>
      <c r="U30" s="37" t="n">
        <v>47.19</v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134.61</v>
      </c>
      <c r="C31" s="35" t="n">
        <v>25.96</v>
      </c>
      <c r="D31" s="35" t="n">
        <v>134.14</v>
      </c>
      <c r="E31" s="35" t="n">
        <v>13.99</v>
      </c>
      <c r="F31" s="35" t="n">
        <v>0</v>
      </c>
      <c r="G31" s="35" t="n">
        <v>166.09</v>
      </c>
      <c r="H31" s="35" t="n">
        <v>0</v>
      </c>
      <c r="I31" s="35" t="n">
        <v>0</v>
      </c>
      <c r="J31" s="35" t="n">
        <v>0</v>
      </c>
      <c r="K31" s="35" t="n">
        <v>524.03</v>
      </c>
      <c r="L31" s="35" t="n">
        <v>0</v>
      </c>
      <c r="M31" s="35" t="n">
        <v>12.98</v>
      </c>
      <c r="N31" s="36">
        <f>SUM(B31:M31)</f>
        <v/>
      </c>
      <c r="O31" s="37" t="n">
        <v>59.34</v>
      </c>
      <c r="P31" s="37" t="n">
        <v>29.69</v>
      </c>
      <c r="Q31" s="37" t="n">
        <v>27.81</v>
      </c>
      <c r="R31" s="37" t="n">
        <v>308</v>
      </c>
      <c r="S31" s="37" t="n">
        <v>0</v>
      </c>
      <c r="T31" s="37" t="n">
        <v>219.9</v>
      </c>
      <c r="U31" s="37" t="n">
        <v>0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101.07</v>
      </c>
      <c r="C32" s="35" t="n">
        <v>172.11</v>
      </c>
      <c r="D32" s="35" t="n">
        <v>274.74</v>
      </c>
      <c r="E32" s="35" t="n">
        <v>0</v>
      </c>
      <c r="F32" s="35" t="n">
        <v>0</v>
      </c>
      <c r="G32" s="35" t="n">
        <v>59.28</v>
      </c>
      <c r="H32" s="35" t="n">
        <v>101.58</v>
      </c>
      <c r="I32" s="35" t="n">
        <v>247.33</v>
      </c>
      <c r="J32" s="35" t="n">
        <v>0</v>
      </c>
      <c r="K32" s="35" t="n">
        <v>188.53</v>
      </c>
      <c r="L32" s="35" t="n">
        <v>0</v>
      </c>
      <c r="M32" s="35" t="n">
        <v>136.09</v>
      </c>
      <c r="N32" s="36">
        <f>SUM(B32:M32)</f>
        <v/>
      </c>
      <c r="O32" s="37" t="n">
        <v>110.81</v>
      </c>
      <c r="P32" s="37" t="n">
        <v>287.51</v>
      </c>
      <c r="Q32" s="37" t="n">
        <v>61.94</v>
      </c>
      <c r="R32" s="37" t="n">
        <v>405.44</v>
      </c>
      <c r="S32" s="37" t="n">
        <v>129.82</v>
      </c>
      <c r="T32" s="37" t="n">
        <v>300.5</v>
      </c>
      <c r="U32" s="37" t="n">
        <v>213.47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0.005200000000000001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SUMIF('XHDN TB'!$R:$R,'HDN P&amp;L'!$A33,'XHDN TB'!C:C)</f>
        <v/>
      </c>
      <c r="P33" s="37">
        <f>SUMIF('XHDN TB'!$R:$R,'HDN P&amp;L'!$A33,'XHDN TB'!D:D)</f>
        <v/>
      </c>
      <c r="Q33" s="37">
        <f>SUMIF('XHDN TB'!$R:$R,'HDN P&amp;L'!$A33,'XHDN TB'!E:E)</f>
        <v/>
      </c>
      <c r="R33" s="37">
        <f>SUMIF('XHDN TB'!$R:$R,'HDN P&amp;L'!$A33,'XHDN TB'!F:F)</f>
        <v/>
      </c>
      <c r="S33" s="37">
        <f>SUMIF('XHDN TB'!$R:$R,'HDN P&amp;L'!$A33,'XHDN TB'!G:G)</f>
        <v/>
      </c>
      <c r="T33" s="37">
        <f>SUMIF('XHDN TB'!$R:$R,'HDN P&amp;L'!$A33,'XHDN TB'!H:H)</f>
        <v/>
      </c>
      <c r="U33" s="37">
        <f>SUMIF('HDN TB'!$R:$R,'HDN P&amp;L'!$A33,'HDN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1469.78</v>
      </c>
      <c r="C34" s="42" t="n">
        <v>1705.09</v>
      </c>
      <c r="D34" s="42" t="n">
        <v>1971.58</v>
      </c>
      <c r="E34" s="42" t="n">
        <v>1586.44</v>
      </c>
      <c r="F34" s="42" t="n">
        <v>3075.92</v>
      </c>
      <c r="G34" s="42" t="n">
        <v>1604.7</v>
      </c>
      <c r="H34" s="42" t="n">
        <v>2199.56</v>
      </c>
      <c r="I34" s="42" t="n">
        <v>1885.68</v>
      </c>
      <c r="J34" s="42" t="n">
        <v>1315.26</v>
      </c>
      <c r="K34" s="42" t="n">
        <v>2513.63</v>
      </c>
      <c r="L34" s="42" t="n">
        <v>1507.19</v>
      </c>
      <c r="M34" s="42" t="n">
        <v>1523.65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SUMIF('XHDN TB'!$R:$R,'HDN P&amp;L'!$A36,'XHDN TB'!C:C)</f>
        <v/>
      </c>
      <c r="P36" s="37">
        <f>SUMIF('XHDN TB'!$R:$R,'HDN P&amp;L'!$A36,'XHDN TB'!D:D)</f>
        <v/>
      </c>
      <c r="Q36" s="37">
        <f>SUMIF('XHDN TB'!$R:$R,'HDN P&amp;L'!$A36,'XHDN TB'!E:E)</f>
        <v/>
      </c>
      <c r="R36" s="37">
        <f>SUMIF('XHDN TB'!$R:$R,'HDN P&amp;L'!$A36,'XHDN TB'!F:F)</f>
        <v/>
      </c>
      <c r="S36" s="37">
        <f>SUMIF('XHDN TB'!$R:$R,'HDN P&amp;L'!$A36,'XHDN TB'!G:G)</f>
        <v/>
      </c>
      <c r="T36" s="37">
        <f>SUMIF('XHDN TB'!$R:$R,'HDN P&amp;L'!$A36,'XHDN TB'!H:H)</f>
        <v/>
      </c>
      <c r="U36" s="37">
        <f>SUMIF('HDN TB'!$R:$R,'HDN P&amp;L'!$A36,'HDN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1850.46</v>
      </c>
      <c r="C37" s="35" t="n">
        <v>1850.46</v>
      </c>
      <c r="D37" s="35" t="n">
        <v>1850.46</v>
      </c>
      <c r="E37" s="35" t="n">
        <v>1850.42</v>
      </c>
      <c r="F37" s="35" t="n">
        <v>1850.42</v>
      </c>
      <c r="G37" s="35" t="n">
        <v>1850.42</v>
      </c>
      <c r="H37" s="35" t="n">
        <v>1850.42</v>
      </c>
      <c r="I37" s="35" t="n">
        <v>1850.42</v>
      </c>
      <c r="J37" s="35" t="n">
        <v>1850.42</v>
      </c>
      <c r="K37" s="35" t="n">
        <v>1850.42</v>
      </c>
      <c r="L37" s="35" t="n">
        <v>1850.42</v>
      </c>
      <c r="M37" s="35" t="n">
        <v>1850.42</v>
      </c>
      <c r="N37" s="36">
        <f>SUM(B37:M37)</f>
        <v/>
      </c>
      <c r="O37" s="37" t="n">
        <v>1850.43</v>
      </c>
      <c r="P37" s="37" t="n">
        <v>1850.42</v>
      </c>
      <c r="Q37" s="37" t="n">
        <v>1850.42</v>
      </c>
      <c r="R37" s="37" t="n">
        <v>2128.03</v>
      </c>
      <c r="S37" s="37" t="n">
        <v>2128.03</v>
      </c>
      <c r="T37" s="37" t="n">
        <v>2128.03</v>
      </c>
      <c r="U37" s="37" t="n">
        <v>2128.03</v>
      </c>
      <c r="V37" s="38" t="n">
        <v>2128.03</v>
      </c>
      <c r="W37" s="38" t="n">
        <v>2128.03</v>
      </c>
      <c r="X37" s="38" t="n">
        <v>2128.03</v>
      </c>
      <c r="Y37" s="38" t="n">
        <v>2128.03</v>
      </c>
      <c r="Z37" s="38" t="n">
        <v>2128.03</v>
      </c>
      <c r="AA37" s="36">
        <f>SUM(O37:U37)</f>
        <v/>
      </c>
      <c r="AB37" s="36">
        <f>SUM(O37:Z37)</f>
        <v/>
      </c>
      <c r="AC37" s="38" t="n">
        <v>2128.03</v>
      </c>
      <c r="AD37" s="38" t="n">
        <v>2128.03</v>
      </c>
      <c r="AE37" s="38" t="n">
        <v>2128.03</v>
      </c>
      <c r="AF37" s="38" t="n">
        <v>2128.03</v>
      </c>
      <c r="AG37" s="38" t="n">
        <v>2128.03</v>
      </c>
      <c r="AH37" s="38" t="n">
        <v>2128.03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2368.8</v>
      </c>
      <c r="C38" s="35" t="n">
        <v>1729.63</v>
      </c>
      <c r="D38" s="35" t="n">
        <v>1859.19</v>
      </c>
      <c r="E38" s="35" t="n">
        <v>2094.4</v>
      </c>
      <c r="F38" s="35" t="n">
        <v>2433.41</v>
      </c>
      <c r="G38" s="35" t="n">
        <v>1489.28</v>
      </c>
      <c r="H38" s="35" t="n">
        <v>704.8299999999999</v>
      </c>
      <c r="I38" s="35" t="n">
        <v>-1889.83</v>
      </c>
      <c r="J38" s="35" t="n">
        <v>2474.2</v>
      </c>
      <c r="K38" s="35" t="n">
        <v>1184.78</v>
      </c>
      <c r="L38" s="35" t="n">
        <v>1550.31</v>
      </c>
      <c r="M38" s="35" t="n">
        <v>1669.51</v>
      </c>
      <c r="N38" s="36">
        <f>SUM(B38:M38)</f>
        <v/>
      </c>
      <c r="O38" s="37" t="n">
        <v>5880.54</v>
      </c>
      <c r="P38" s="37" t="n">
        <v>3499.35</v>
      </c>
      <c r="Q38" s="37" t="n">
        <v>2725.01</v>
      </c>
      <c r="R38" s="37" t="n">
        <v>1670.17</v>
      </c>
      <c r="S38" s="37" t="n">
        <v>1407.25</v>
      </c>
      <c r="T38" s="37" t="n">
        <v>2084.82</v>
      </c>
      <c r="U38" s="37" t="n">
        <v>594.3099999999999</v>
      </c>
      <c r="V38" s="38" t="n">
        <v>1625</v>
      </c>
      <c r="W38" s="38" t="n">
        <v>1625</v>
      </c>
      <c r="X38" s="38" t="n">
        <v>1625</v>
      </c>
      <c r="Y38" s="38" t="n">
        <v>1625</v>
      </c>
      <c r="Z38" s="38" t="n">
        <v>1625</v>
      </c>
      <c r="AA38" s="36">
        <f>SUM(O38:U38)</f>
        <v/>
      </c>
      <c r="AB38" s="36">
        <f>SUM(O38:Z38)</f>
        <v/>
      </c>
      <c r="AC38" s="38" t="n">
        <v>1625</v>
      </c>
      <c r="AD38" s="38" t="n">
        <v>1625</v>
      </c>
      <c r="AE38" s="38" t="n">
        <v>1625</v>
      </c>
      <c r="AF38" s="38" t="n">
        <v>1625</v>
      </c>
      <c r="AG38" s="38" t="n">
        <v>1625</v>
      </c>
      <c r="AH38" s="38" t="n">
        <v>1625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3031.86</v>
      </c>
      <c r="C39" s="35" t="n">
        <v>98.95</v>
      </c>
      <c r="D39" s="35" t="n">
        <v>578.95</v>
      </c>
      <c r="E39" s="35" t="n">
        <v>430.94</v>
      </c>
      <c r="F39" s="35" t="n">
        <v>435.0199999999997</v>
      </c>
      <c r="G39" s="35" t="n">
        <v>251.22</v>
      </c>
      <c r="H39" s="35" t="n">
        <v>107.95</v>
      </c>
      <c r="I39" s="35" t="n">
        <v>1347.21</v>
      </c>
      <c r="J39" s="35" t="n">
        <v>1756.7</v>
      </c>
      <c r="K39" s="35" t="n">
        <v>943.7199999999999</v>
      </c>
      <c r="L39" s="35" t="n">
        <v>994.7800000000002</v>
      </c>
      <c r="M39" s="35" t="n">
        <v>268.1</v>
      </c>
      <c r="N39" s="36">
        <f>SUM(B39:M39)</f>
        <v/>
      </c>
      <c r="O39" s="37" t="n">
        <v>1554.62</v>
      </c>
      <c r="P39" s="37" t="n">
        <v>72.67</v>
      </c>
      <c r="Q39" s="37" t="n">
        <v>140.01</v>
      </c>
      <c r="R39" s="37" t="n">
        <v>156.47</v>
      </c>
      <c r="S39" s="37" t="n">
        <v>45.49</v>
      </c>
      <c r="T39" s="37" t="n">
        <v>559.77</v>
      </c>
      <c r="U39" s="37" t="n">
        <v>1555.73</v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309.94</v>
      </c>
      <c r="C40" s="35" t="n">
        <v>0</v>
      </c>
      <c r="D40" s="35" t="n">
        <v>277.05</v>
      </c>
      <c r="E40" s="35" t="n">
        <v>362.46</v>
      </c>
      <c r="F40" s="35" t="n">
        <v>318.28</v>
      </c>
      <c r="G40" s="35" t="n">
        <v>106.85</v>
      </c>
      <c r="H40" s="35" t="n">
        <v>241.78</v>
      </c>
      <c r="I40" s="35" t="n">
        <v>110.35</v>
      </c>
      <c r="J40" s="35" t="n">
        <v>265.47</v>
      </c>
      <c r="K40" s="35" t="n">
        <v>161.46</v>
      </c>
      <c r="L40" s="35" t="n">
        <v>302.11</v>
      </c>
      <c r="M40" s="35" t="n">
        <v>146.87</v>
      </c>
      <c r="N40" s="36">
        <f>SUM(B40:M40)</f>
        <v/>
      </c>
      <c r="O40" s="37" t="n">
        <v>136.54</v>
      </c>
      <c r="P40" s="37" t="n">
        <v>125.08</v>
      </c>
      <c r="Q40" s="37" t="n">
        <v>172.92</v>
      </c>
      <c r="R40" s="37" t="n">
        <v>115.14</v>
      </c>
      <c r="S40" s="37" t="n">
        <v>0</v>
      </c>
      <c r="T40" s="37" t="n">
        <v>164.48</v>
      </c>
      <c r="U40" s="37" t="n">
        <v>221.88</v>
      </c>
      <c r="V40" s="38" t="n">
        <v>221</v>
      </c>
      <c r="W40" s="38" t="n">
        <v>221</v>
      </c>
      <c r="X40" s="38" t="n">
        <v>221</v>
      </c>
      <c r="Y40" s="38" t="n">
        <v>221</v>
      </c>
      <c r="Z40" s="38" t="n">
        <v>221</v>
      </c>
      <c r="AA40" s="36">
        <f>SUM(O40:U40)</f>
        <v/>
      </c>
      <c r="AB40" s="36">
        <f>SUM(O40:Z40)</f>
        <v/>
      </c>
      <c r="AC40" s="38" t="n">
        <v>221</v>
      </c>
      <c r="AD40" s="38" t="n">
        <v>221</v>
      </c>
      <c r="AE40" s="38" t="n">
        <v>221</v>
      </c>
      <c r="AF40" s="38" t="n">
        <v>221</v>
      </c>
      <c r="AG40" s="38" t="n">
        <v>221</v>
      </c>
      <c r="AH40" s="38" t="n">
        <v>221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379.15</v>
      </c>
      <c r="C41" s="35" t="n">
        <v>413.35</v>
      </c>
      <c r="D41" s="35" t="n">
        <v>531.62</v>
      </c>
      <c r="E41" s="35" t="n">
        <v>296.9299999999999</v>
      </c>
      <c r="F41" s="35" t="n">
        <v>430.74</v>
      </c>
      <c r="G41" s="35" t="n">
        <v>394.55</v>
      </c>
      <c r="H41" s="35" t="n">
        <v>313.24</v>
      </c>
      <c r="I41" s="35" t="n">
        <v>298.24</v>
      </c>
      <c r="J41" s="35" t="n">
        <v>444.35</v>
      </c>
      <c r="K41" s="35" t="n">
        <v>307.21</v>
      </c>
      <c r="L41" s="35" t="n">
        <v>426.55</v>
      </c>
      <c r="M41" s="35" t="n">
        <v>379.16</v>
      </c>
      <c r="N41" s="36">
        <f>SUM(B41:M41)</f>
        <v/>
      </c>
      <c r="O41" s="37" t="n">
        <v>348.17</v>
      </c>
      <c r="P41" s="37" t="n">
        <v>426.54</v>
      </c>
      <c r="Q41" s="37" t="n">
        <v>428.49</v>
      </c>
      <c r="R41" s="37" t="n">
        <v>433.79</v>
      </c>
      <c r="S41" s="37" t="n">
        <v>338.45</v>
      </c>
      <c r="T41" s="37" t="n">
        <v>271.95</v>
      </c>
      <c r="U41" s="37" t="n">
        <v>551.62</v>
      </c>
      <c r="V41" s="38" t="n">
        <v>389</v>
      </c>
      <c r="W41" s="38" t="n">
        <v>389</v>
      </c>
      <c r="X41" s="38" t="n">
        <v>389</v>
      </c>
      <c r="Y41" s="38" t="n">
        <v>389</v>
      </c>
      <c r="Z41" s="38" t="n">
        <v>389</v>
      </c>
      <c r="AA41" s="36">
        <f>SUM(O41:U41)</f>
        <v/>
      </c>
      <c r="AB41" s="36">
        <f>SUM(O41:Z41)</f>
        <v/>
      </c>
      <c r="AC41" s="38" t="n">
        <v>389</v>
      </c>
      <c r="AD41" s="38" t="n">
        <v>389</v>
      </c>
      <c r="AE41" s="38" t="n">
        <v>389</v>
      </c>
      <c r="AF41" s="38" t="n">
        <v>389</v>
      </c>
      <c r="AG41" s="38" t="n">
        <v>389</v>
      </c>
      <c r="AH41" s="38" t="n">
        <v>389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134.31</v>
      </c>
      <c r="C42" s="35" t="n">
        <v>193.15</v>
      </c>
      <c r="D42" s="35" t="n">
        <v>108.59</v>
      </c>
      <c r="E42" s="35" t="n">
        <v>158.57</v>
      </c>
      <c r="F42" s="35" t="n">
        <v>40.91</v>
      </c>
      <c r="G42" s="35" t="n">
        <v>188.02</v>
      </c>
      <c r="H42" s="35" t="n">
        <v>36.03</v>
      </c>
      <c r="I42" s="35" t="n">
        <v>140.04</v>
      </c>
      <c r="J42" s="35" t="n">
        <v>159.8</v>
      </c>
      <c r="K42" s="35" t="n">
        <v>546.86</v>
      </c>
      <c r="L42" s="35" t="n">
        <v>154.65</v>
      </c>
      <c r="M42" s="35" t="n">
        <v>163.62</v>
      </c>
      <c r="N42" s="36">
        <f>SUM(B42:M42)</f>
        <v/>
      </c>
      <c r="O42" s="37" t="n">
        <v>66.11</v>
      </c>
      <c r="P42" s="37" t="n">
        <v>90</v>
      </c>
      <c r="Q42" s="37" t="n">
        <v>78.90000000000001</v>
      </c>
      <c r="R42" s="37" t="n">
        <v>109.06</v>
      </c>
      <c r="S42" s="37" t="n">
        <v>91.40000000000001</v>
      </c>
      <c r="T42" s="37" t="n">
        <v>94.31999999999999</v>
      </c>
      <c r="U42" s="37" t="n">
        <v>19.99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14.2</v>
      </c>
      <c r="P43" s="37" t="n">
        <v>63.62</v>
      </c>
      <c r="Q43" s="37" t="n">
        <v>7.75</v>
      </c>
      <c r="R43" s="37" t="n">
        <v>215.54</v>
      </c>
      <c r="S43" s="37" t="n">
        <v>84.84</v>
      </c>
      <c r="T43" s="37" t="n">
        <v>311.31</v>
      </c>
      <c r="U43" s="37" t="n">
        <v>0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SUMIF('XHDN TB'!$R:$R,'HDN P&amp;L'!$A44,'XHDN TB'!C:C)</f>
        <v/>
      </c>
      <c r="P44" s="37">
        <f>SUMIF('XHDN TB'!$R:$R,'HDN P&amp;L'!$A44,'XHDN TB'!D:D)</f>
        <v/>
      </c>
      <c r="Q44" s="37">
        <f>SUMIF('XHDN TB'!$R:$R,'HDN P&amp;L'!$A44,'XHDN TB'!E:E)</f>
        <v/>
      </c>
      <c r="R44" s="37">
        <f>SUMIF('XHDN TB'!$R:$R,'HDN P&amp;L'!$A44,'XHDN TB'!F:F)</f>
        <v/>
      </c>
      <c r="S44" s="37">
        <f>SUMIF('XHDN TB'!$R:$R,'HDN P&amp;L'!$A44,'XHDN TB'!G:G)</f>
        <v/>
      </c>
      <c r="T44" s="37">
        <f>SUMIF('XHDN TB'!$R:$R,'HDN P&amp;L'!$A44,'XHDN TB'!H:H)</f>
        <v/>
      </c>
      <c r="U44" s="37">
        <f>SUMIF('HDN TB'!$R:$R,'HDN P&amp;L'!$A44,'HDN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29.98</v>
      </c>
      <c r="M45" s="35" t="n">
        <v>0</v>
      </c>
      <c r="N45" s="36">
        <f>SUM(B45:M45)</f>
        <v/>
      </c>
      <c r="O45" s="37">
        <f>SUMIF('XHDN TB'!$R:$R,'HDN P&amp;L'!$A45,'XHDN TB'!C:C)</f>
        <v/>
      </c>
      <c r="P45" s="37">
        <f>SUMIF('XHDN TB'!$R:$R,'HDN P&amp;L'!$A45,'XHDN TB'!D:D)</f>
        <v/>
      </c>
      <c r="Q45" s="37">
        <f>SUMIF('XHDN TB'!$R:$R,'HDN P&amp;L'!$A45,'XHDN TB'!E:E)</f>
        <v/>
      </c>
      <c r="R45" s="37">
        <f>SUMIF('XHDN TB'!$R:$R,'HDN P&amp;L'!$A45,'XHDN TB'!F:F)</f>
        <v/>
      </c>
      <c r="S45" s="37">
        <f>SUMIF('XHDN TB'!$R:$R,'HDN P&amp;L'!$A45,'XHDN TB'!G:G)</f>
        <v/>
      </c>
      <c r="T45" s="37">
        <f>SUMIF('XHDN TB'!$R:$R,'HDN P&amp;L'!$A45,'XHDN TB'!H:H)</f>
        <v/>
      </c>
      <c r="U45" s="37">
        <f>SUMIF('HDN TB'!$R:$R,'HDN P&amp;L'!$A45,'HDN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SUMIF('XHDN TB'!$R:$R,'HDN P&amp;L'!$A46,'XHDN TB'!C:C)</f>
        <v/>
      </c>
      <c r="P46" s="37">
        <f>SUMIF('XHDN TB'!$R:$R,'HDN P&amp;L'!$A46,'XHDN TB'!D:D)</f>
        <v/>
      </c>
      <c r="Q46" s="37">
        <f>SUMIF('XHDN TB'!$R:$R,'HDN P&amp;L'!$A46,'XHDN TB'!E:E)</f>
        <v/>
      </c>
      <c r="R46" s="37">
        <f>SUMIF('XHDN TB'!$R:$R,'HDN P&amp;L'!$A46,'XHDN TB'!F:F)</f>
        <v/>
      </c>
      <c r="S46" s="37">
        <f>SUMIF('XHDN TB'!$R:$R,'HDN P&amp;L'!$A46,'XHDN TB'!G:G)</f>
        <v/>
      </c>
      <c r="T46" s="37">
        <f>SUMIF('XHDN TB'!$R:$R,'HDN P&amp;L'!$A46,'XHDN TB'!H:H)</f>
        <v/>
      </c>
      <c r="U46" s="37">
        <f>SUMIF('HDN TB'!$R:$R,'HDN P&amp;L'!$A46,'HDN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8074.52</v>
      </c>
      <c r="C47" s="42" t="n">
        <v>4285.54</v>
      </c>
      <c r="D47" s="42" t="n">
        <v>5205.860000000001</v>
      </c>
      <c r="E47" s="42" t="n">
        <v>5193.72</v>
      </c>
      <c r="F47" s="42" t="n">
        <v>5508.779999999999</v>
      </c>
      <c r="G47" s="42" t="n">
        <v>4280.34</v>
      </c>
      <c r="H47" s="42" t="n">
        <v>3254.25</v>
      </c>
      <c r="I47" s="42" t="n">
        <v>1856.43</v>
      </c>
      <c r="J47" s="42" t="n">
        <v>6950.940000000001</v>
      </c>
      <c r="K47" s="42" t="n">
        <v>4994.45</v>
      </c>
      <c r="L47" s="42" t="n">
        <v>5308.799999999999</v>
      </c>
      <c r="M47" s="42" t="n">
        <v>4477.679999999999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39924.80999999999</v>
      </c>
      <c r="C48" s="23" t="n">
        <v>36486.27</v>
      </c>
      <c r="D48" s="23" t="n">
        <v>38535.4</v>
      </c>
      <c r="E48" s="23" t="n">
        <v>42802.35000000001</v>
      </c>
      <c r="F48" s="23" t="n">
        <v>42673.06</v>
      </c>
      <c r="G48" s="23" t="n">
        <v>39872.7</v>
      </c>
      <c r="H48" s="23" t="n">
        <v>46835.13</v>
      </c>
      <c r="I48" s="23" t="n">
        <v>41439.52</v>
      </c>
      <c r="J48" s="23" t="n">
        <v>45891.13</v>
      </c>
      <c r="K48" s="23" t="n">
        <v>49134.23</v>
      </c>
      <c r="L48" s="23" t="n">
        <v>47455.56</v>
      </c>
      <c r="M48" s="23" t="n">
        <v>47668.87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21076.90000000001</v>
      </c>
      <c r="C50" s="55" t="n">
        <v>16692.97</v>
      </c>
      <c r="D50" s="55" t="n">
        <v>31198.73</v>
      </c>
      <c r="E50" s="55" t="n">
        <v>26646.34</v>
      </c>
      <c r="F50" s="55" t="n">
        <v>18730.04</v>
      </c>
      <c r="G50" s="55" t="n">
        <v>19186.60000000001</v>
      </c>
      <c r="H50" s="55" t="n">
        <v>44355.74</v>
      </c>
      <c r="I50" s="55" t="n">
        <v>18608.74</v>
      </c>
      <c r="J50" s="55" t="n">
        <v>7164.869999999995</v>
      </c>
      <c r="K50" s="55" t="n">
        <v>3745.629999999997</v>
      </c>
      <c r="L50" s="55" t="n">
        <v>15267.35</v>
      </c>
      <c r="M50" s="55" t="n">
        <v>26674.6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SUMIF('XHDN TB'!$R:$R,'HDN P&amp;L'!$A53,'XHDN TB'!C:C)</f>
        <v/>
      </c>
      <c r="P53" s="37">
        <f>SUMIF('XHDN TB'!$R:$R,'HDN P&amp;L'!$A53,'XHDN TB'!D:D)</f>
        <v/>
      </c>
      <c r="Q53" s="37">
        <f>SUMIF('XHDN TB'!$R:$R,'HDN P&amp;L'!$A53,'XHDN TB'!E:E)</f>
        <v/>
      </c>
      <c r="R53" s="37">
        <f>SUMIF('XHDN TB'!$R:$R,'HDN P&amp;L'!$A53,'XHDN TB'!F:F)</f>
        <v/>
      </c>
      <c r="S53" s="37">
        <f>SUMIF('XHDN TB'!$R:$R,'HDN P&amp;L'!$A53,'XHDN TB'!G:G)</f>
        <v/>
      </c>
      <c r="T53" s="37">
        <f>SUMIF('XHDN TB'!$R:$R,'HDN P&amp;L'!$A53,'XHDN TB'!H:H)</f>
        <v/>
      </c>
      <c r="U53" s="37">
        <f>SUMIF('HDN TB'!$R:$R,'HDN P&amp;L'!$A53,'HDN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SUMIF('XHDN TB'!$R:$R,'HDN P&amp;L'!$A54,'XHDN TB'!C:C)</f>
        <v/>
      </c>
      <c r="P54" s="37">
        <f>SUMIF('XHDN TB'!$R:$R,'HDN P&amp;L'!$A54,'XHDN TB'!D:D)</f>
        <v/>
      </c>
      <c r="Q54" s="37">
        <f>SUMIF('XHDN TB'!$R:$R,'HDN P&amp;L'!$A54,'XHDN TB'!E:E)</f>
        <v/>
      </c>
      <c r="R54" s="37">
        <f>SUMIF('XHDN TB'!$R:$R,'HDN P&amp;L'!$A54,'XHDN TB'!F:F)</f>
        <v/>
      </c>
      <c r="S54" s="37">
        <f>SUMIF('XHDN TB'!$R:$R,'HDN P&amp;L'!$A54,'XHDN TB'!G:G)</f>
        <v/>
      </c>
      <c r="T54" s="37">
        <f>SUMIF('XHDN TB'!$R:$R,'HDN P&amp;L'!$A54,'XHDN TB'!H:H)</f>
        <v/>
      </c>
      <c r="U54" s="37">
        <f>SUMIF('HDN TB'!$R:$R,'HDN P&amp;L'!$A54,'HDN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SUMIF('XHDN TB'!$R:$R,'HDN P&amp;L'!$A55,'XHDN TB'!C:C)</f>
        <v/>
      </c>
      <c r="P55" s="37">
        <f>SUMIF('XHDN TB'!$R:$R,'HDN P&amp;L'!$A55,'XHDN TB'!D:D)</f>
        <v/>
      </c>
      <c r="Q55" s="37">
        <f>SUMIF('XHDN TB'!$R:$R,'HDN P&amp;L'!$A55,'XHDN TB'!E:E)</f>
        <v/>
      </c>
      <c r="R55" s="37">
        <f>SUMIF('XHDN TB'!$R:$R,'HDN P&amp;L'!$A55,'XHDN TB'!F:F)</f>
        <v/>
      </c>
      <c r="S55" s="37">
        <f>SUMIF('XHDN TB'!$R:$R,'HDN P&amp;L'!$A55,'XHDN TB'!G:G)</f>
        <v/>
      </c>
      <c r="T55" s="37">
        <f>SUMIF('XHDN TB'!$R:$R,'HDN P&amp;L'!$A55,'XHDN TB'!H:H)</f>
        <v/>
      </c>
      <c r="U55" s="37">
        <f>SUMIF('HDN TB'!$R:$R,'HDN P&amp;L'!$A55,'HDN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SUMIF('XHDN TB'!$R:$R,'HDN P&amp;L'!$A56,'XHDN TB'!C:C)</f>
        <v/>
      </c>
      <c r="P56" s="37">
        <f>SUMIF('XHDN TB'!$R:$R,'HDN P&amp;L'!$A56,'XHDN TB'!D:D)</f>
        <v/>
      </c>
      <c r="Q56" s="37">
        <f>SUMIF('XHDN TB'!$R:$R,'HDN P&amp;L'!$A56,'XHDN TB'!E:E)</f>
        <v/>
      </c>
      <c r="R56" s="37">
        <f>SUMIF('XHDN TB'!$R:$R,'HDN P&amp;L'!$A56,'XHDN TB'!F:F)</f>
        <v/>
      </c>
      <c r="S56" s="37">
        <f>SUMIF('XHDN TB'!$R:$R,'HDN P&amp;L'!$A56,'XHDN TB'!G:G)</f>
        <v/>
      </c>
      <c r="T56" s="37">
        <f>SUMIF('XHDN TB'!$R:$R,'HDN P&amp;L'!$A56,'XHDN TB'!H:H)</f>
        <v/>
      </c>
      <c r="U56" s="37">
        <f>SUMIF('HDN TB'!$R:$R,'HDN P&amp;L'!$A56,'HDN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109.5</v>
      </c>
      <c r="J57" s="35" t="n">
        <v>0</v>
      </c>
      <c r="K57" s="35" t="n">
        <v>0</v>
      </c>
      <c r="L57" s="35" t="n">
        <v>158.74</v>
      </c>
      <c r="M57" s="35" t="n">
        <v>212.52</v>
      </c>
      <c r="N57" s="36">
        <f>SUM(B57:M57)</f>
        <v/>
      </c>
      <c r="O57" s="37">
        <f>SUMIF('XHDN TB'!$R:$R,'HDN P&amp;L'!$A57,'XHDN TB'!C:C)</f>
        <v/>
      </c>
      <c r="P57" s="37">
        <f>SUMIF('XHDN TB'!$R:$R,'HDN P&amp;L'!$A57,'XHDN TB'!D:D)</f>
        <v/>
      </c>
      <c r="Q57" s="37">
        <f>SUMIF('XHDN TB'!$R:$R,'HDN P&amp;L'!$A57,'XHDN TB'!E:E)</f>
        <v/>
      </c>
      <c r="R57" s="37">
        <f>SUMIF('XHDN TB'!$R:$R,'HDN P&amp;L'!$A57,'XHDN TB'!F:F)</f>
        <v/>
      </c>
      <c r="S57" s="37">
        <f>SUMIF('XHDN TB'!$R:$R,'HDN P&amp;L'!$A57,'XHDN TB'!G:G)</f>
        <v/>
      </c>
      <c r="T57" s="37">
        <f>SUMIF('XHDN TB'!$R:$R,'HDN P&amp;L'!$A57,'XHDN TB'!H:H)</f>
        <v/>
      </c>
      <c r="U57" s="37">
        <f>SUMIF('HDN TB'!$R:$R,'HDN P&amp;L'!$A57,'HDN TB'!I:I)</f>
        <v/>
      </c>
      <c r="V57" s="38" t="n"/>
      <c r="W57" s="38" t="n"/>
      <c r="X57" s="38" t="n"/>
      <c r="Y57" s="38" t="n"/>
      <c r="Z57" s="38">
        <f>17*30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SUMIF('XHDN TB'!$R:$R,'HDN P&amp;L'!$A58,'XHDN TB'!C:C)</f>
        <v/>
      </c>
      <c r="P58" s="37">
        <f>SUMIF('XHDN TB'!$R:$R,'HDN P&amp;L'!$A58,'XHDN TB'!D:D)</f>
        <v/>
      </c>
      <c r="Q58" s="37">
        <f>SUMIF('XHDN TB'!$R:$R,'HDN P&amp;L'!$A58,'XHDN TB'!E:E)</f>
        <v/>
      </c>
      <c r="R58" s="37">
        <f>SUMIF('XHDN TB'!$R:$R,'HDN P&amp;L'!$A58,'XHDN TB'!F:F)</f>
        <v/>
      </c>
      <c r="S58" s="37">
        <f>SUMIF('XHDN TB'!$R:$R,'HDN P&amp;L'!$A58,'XHDN TB'!G:G)</f>
        <v/>
      </c>
      <c r="T58" s="37">
        <f>SUMIF('XHDN TB'!$R:$R,'HDN P&amp;L'!$A58,'XHDN TB'!H:H)</f>
        <v/>
      </c>
      <c r="U58" s="37">
        <f>SUMIF('HDN TB'!$R:$R,'HDN P&amp;L'!$A58,'HDN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201.37</v>
      </c>
      <c r="D59" s="35" t="n">
        <v>201.37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201.37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231.99</v>
      </c>
      <c r="C60" s="35" t="n">
        <v>75.59</v>
      </c>
      <c r="D60" s="35" t="n">
        <v>147.2</v>
      </c>
      <c r="E60" s="35" t="n">
        <v>13.19</v>
      </c>
      <c r="F60" s="35" t="n">
        <v>12.59</v>
      </c>
      <c r="G60" s="35" t="n">
        <v>45</v>
      </c>
      <c r="H60" s="35" t="n">
        <v>13.19</v>
      </c>
      <c r="I60" s="35" t="n">
        <v>13.79</v>
      </c>
      <c r="J60" s="35" t="n">
        <v>14.39</v>
      </c>
      <c r="K60" s="35" t="n">
        <v>198.39</v>
      </c>
      <c r="L60" s="35" t="n">
        <v>14.39</v>
      </c>
      <c r="M60" s="35" t="n">
        <v>58.79</v>
      </c>
      <c r="N60" s="36">
        <f>SUM(B60:M60)</f>
        <v/>
      </c>
      <c r="O60" s="37" t="n">
        <v>106.79</v>
      </c>
      <c r="P60" s="37" t="n">
        <v>8.99</v>
      </c>
      <c r="Q60" s="37" t="n">
        <v>13.19</v>
      </c>
      <c r="R60" s="37" t="n">
        <v>100.2</v>
      </c>
      <c r="S60" s="37" t="n">
        <v>4.2</v>
      </c>
      <c r="T60" s="37" t="n">
        <v>-11.23</v>
      </c>
      <c r="U60" s="37" t="n">
        <v>4.199999999999999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17.95</v>
      </c>
      <c r="D61" s="35" t="n">
        <v>0</v>
      </c>
      <c r="E61" s="35" t="n">
        <v>26.97</v>
      </c>
      <c r="F61" s="35" t="n">
        <v>5.89</v>
      </c>
      <c r="G61" s="35" t="n">
        <v>125.77</v>
      </c>
      <c r="H61" s="35" t="n">
        <v>53.8</v>
      </c>
      <c r="I61" s="35" t="n">
        <v>0</v>
      </c>
      <c r="J61" s="35" t="n">
        <v>0</v>
      </c>
      <c r="K61" s="35" t="n">
        <v>0</v>
      </c>
      <c r="L61" s="35" t="n">
        <v>63.35000000000001</v>
      </c>
      <c r="M61" s="35" t="n">
        <v>6.01</v>
      </c>
      <c r="N61" s="36">
        <f>SUM(B61:M61)</f>
        <v/>
      </c>
      <c r="O61" s="37">
        <f>SUMIF('XHDN TB'!$R:$R,'HDN P&amp;L'!$A61,'XHDN TB'!C:C)</f>
        <v/>
      </c>
      <c r="P61" s="37">
        <f>SUMIF('XHDN TB'!$R:$R,'HDN P&amp;L'!$A61,'XHDN TB'!D:D)</f>
        <v/>
      </c>
      <c r="Q61" s="37">
        <f>SUMIF('XHDN TB'!$R:$R,'HDN P&amp;L'!$A61,'XHDN TB'!E:E)</f>
        <v/>
      </c>
      <c r="R61" s="37">
        <f>SUMIF('XHDN TB'!$R:$R,'HDN P&amp;L'!$A61,'XHDN TB'!F:F)</f>
        <v/>
      </c>
      <c r="S61" s="37">
        <f>SUMIF('XHDN TB'!$R:$R,'HDN P&amp;L'!$A61,'XHDN TB'!G:G)</f>
        <v/>
      </c>
      <c r="T61" s="37">
        <f>SUMIF('XHDN TB'!$R:$R,'HDN P&amp;L'!$A61,'XHDN TB'!H:H)</f>
        <v/>
      </c>
      <c r="U61" s="37">
        <f>SUMIF('HDN TB'!$R:$R,'HDN P&amp;L'!$A61,'HDN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68</v>
      </c>
      <c r="D62" s="35" t="n">
        <v>74</v>
      </c>
      <c r="E62" s="35" t="n">
        <v>110.5</v>
      </c>
      <c r="F62" s="35" t="n">
        <v>0</v>
      </c>
      <c r="G62" s="35" t="n">
        <v>0</v>
      </c>
      <c r="H62" s="35" t="n">
        <v>32</v>
      </c>
      <c r="I62" s="35" t="n">
        <v>20.99</v>
      </c>
      <c r="J62" s="35" t="n">
        <v>112</v>
      </c>
      <c r="K62" s="35" t="n">
        <v>184</v>
      </c>
      <c r="L62" s="35" t="n">
        <v>108</v>
      </c>
      <c r="M62" s="35" t="n">
        <v>44</v>
      </c>
      <c r="N62" s="36">
        <f>SUM(B62:M62)</f>
        <v/>
      </c>
      <c r="O62" s="37">
        <f>SUMIF('XHDN TB'!$R:$R,'HDN P&amp;L'!$A62,'XHDN TB'!C:C)</f>
        <v/>
      </c>
      <c r="P62" s="37">
        <f>SUMIF('XHDN TB'!$R:$R,'HDN P&amp;L'!$A62,'XHDN TB'!D:D)</f>
        <v/>
      </c>
      <c r="Q62" s="37">
        <f>SUMIF('XHDN TB'!$R:$R,'HDN P&amp;L'!$A62,'XHDN TB'!E:E)</f>
        <v/>
      </c>
      <c r="R62" s="37">
        <f>SUMIF('XHDN TB'!$R:$R,'HDN P&amp;L'!$A62,'XHDN TB'!F:F)</f>
        <v/>
      </c>
      <c r="S62" s="37">
        <f>SUMIF('XHDN TB'!$R:$R,'HDN P&amp;L'!$A62,'XHDN TB'!G:G)</f>
        <v/>
      </c>
      <c r="T62" s="37">
        <f>SUMIF('XHDN TB'!$R:$R,'HDN P&amp;L'!$A62,'XHDN TB'!H:H)</f>
        <v/>
      </c>
      <c r="U62" s="37">
        <f>SUMIF('HDN TB'!$R:$R,'HDN P&amp;L'!$A62,'HDN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SUMIF('XHDN TB'!$R:$R,'HDN P&amp;L'!$A63,'XHDN TB'!C:C)</f>
        <v/>
      </c>
      <c r="P63" s="37">
        <f>SUMIF('XHDN TB'!$R:$R,'HDN P&amp;L'!$A63,'XHDN TB'!D:D)</f>
        <v/>
      </c>
      <c r="Q63" s="37">
        <f>SUMIF('XHDN TB'!$R:$R,'HDN P&amp;L'!$A63,'XHDN TB'!E:E)</f>
        <v/>
      </c>
      <c r="R63" s="37">
        <f>SUMIF('XHDN TB'!$R:$R,'HDN P&amp;L'!$A63,'XHDN TB'!F:F)</f>
        <v/>
      </c>
      <c r="S63" s="37">
        <f>SUMIF('XHDN TB'!$R:$R,'HDN P&amp;L'!$A63,'XHDN TB'!G:G)</f>
        <v/>
      </c>
      <c r="T63" s="37">
        <f>SUMIF('XHDN TB'!$R:$R,'HDN P&amp;L'!$A63,'XHDN TB'!H:H)</f>
        <v/>
      </c>
      <c r="U63" s="37">
        <f>SUMIF('HDN TB'!$R:$R,'HDN P&amp;L'!$A63,'HDN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SUMIF('XHDN TB'!$R:$R,'HDN P&amp;L'!$A64,'XHDN TB'!C:C)</f>
        <v/>
      </c>
      <c r="P64" s="37">
        <f>SUMIF('XHDN TB'!$R:$R,'HDN P&amp;L'!$A64,'XHDN TB'!D:D)</f>
        <v/>
      </c>
      <c r="Q64" s="37">
        <f>SUMIF('XHDN TB'!$R:$R,'HDN P&amp;L'!$A64,'XHDN TB'!E:E)</f>
        <v/>
      </c>
      <c r="R64" s="37">
        <f>SUMIF('XHDN TB'!$R:$R,'HDN P&amp;L'!$A64,'XHDN TB'!F:F)</f>
        <v/>
      </c>
      <c r="S64" s="37">
        <f>SUMIF('XHDN TB'!$R:$R,'HDN P&amp;L'!$A64,'XHDN TB'!G:G)</f>
        <v/>
      </c>
      <c r="T64" s="37">
        <f>SUMIF('XHDN TB'!$R:$R,'HDN P&amp;L'!$A64,'XHDN TB'!H:H)</f>
        <v/>
      </c>
      <c r="U64" s="37">
        <f>SUMIF('HDN TB'!$R:$R,'HDN P&amp;L'!$A64,'HDN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SUMIF('XHDN TB'!$R:$R,'HDN P&amp;L'!$A65,'XHDN TB'!C:C)</f>
        <v/>
      </c>
      <c r="P65" s="37">
        <f>SUMIF('XHDN TB'!$R:$R,'HDN P&amp;L'!$A65,'XHDN TB'!D:D)</f>
        <v/>
      </c>
      <c r="Q65" s="37">
        <f>SUMIF('XHDN TB'!$R:$R,'HDN P&amp;L'!$A65,'XHDN TB'!E:E)</f>
        <v/>
      </c>
      <c r="R65" s="37">
        <f>SUMIF('XHDN TB'!$R:$R,'HDN P&amp;L'!$A65,'XHDN TB'!F:F)</f>
        <v/>
      </c>
      <c r="S65" s="37">
        <f>SUMIF('XHDN TB'!$R:$R,'HDN P&amp;L'!$A65,'XHDN TB'!G:G)</f>
        <v/>
      </c>
      <c r="T65" s="37">
        <f>SUMIF('XHDN TB'!$R:$R,'HDN P&amp;L'!$A65,'XHDN TB'!H:H)</f>
        <v/>
      </c>
      <c r="U65" s="37">
        <f>SUMIF('HDN TB'!$R:$R,'HDN P&amp;L'!$A65,'HDN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SUMIF('XHDN TB'!$R:$R,'HDN P&amp;L'!$A66,'XHDN TB'!C:C)</f>
        <v/>
      </c>
      <c r="P66" s="37">
        <f>SUMIF('XHDN TB'!$R:$R,'HDN P&amp;L'!$A66,'XHDN TB'!D:D)</f>
        <v/>
      </c>
      <c r="Q66" s="37">
        <f>SUMIF('XHDN TB'!$R:$R,'HDN P&amp;L'!$A66,'XHDN TB'!E:E)</f>
        <v/>
      </c>
      <c r="R66" s="37">
        <f>SUMIF('XHDN TB'!$R:$R,'HDN P&amp;L'!$A66,'XHDN TB'!F:F)</f>
        <v/>
      </c>
      <c r="S66" s="37">
        <f>SUMIF('XHDN TB'!$R:$R,'HDN P&amp;L'!$A66,'XHDN TB'!G:G)</f>
        <v/>
      </c>
      <c r="T66" s="37">
        <f>SUMIF('XHDN TB'!$R:$R,'HDN P&amp;L'!$A66,'XHDN TB'!H:H)</f>
        <v/>
      </c>
      <c r="U66" s="37">
        <f>SUMIF('HDN TB'!$R:$R,'HDN P&amp;L'!$A66,'HDN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SUMIF('XHDN TB'!$R:$R,'HDN P&amp;L'!$A67,'XHDN TB'!C:C)</f>
        <v/>
      </c>
      <c r="P67" s="37">
        <f>SUMIF('XHDN TB'!$R:$R,'HDN P&amp;L'!$A67,'XHDN TB'!D:D)</f>
        <v/>
      </c>
      <c r="Q67" s="37">
        <f>SUMIF('XHDN TB'!$R:$R,'HDN P&amp;L'!$A67,'XHDN TB'!E:E)</f>
        <v/>
      </c>
      <c r="R67" s="37">
        <f>SUMIF('XHDN TB'!$R:$R,'HDN P&amp;L'!$A67,'XHDN TB'!F:F)</f>
        <v/>
      </c>
      <c r="S67" s="37">
        <f>SUMIF('XHDN TB'!$R:$R,'HDN P&amp;L'!$A67,'XHDN TB'!G:G)</f>
        <v/>
      </c>
      <c r="T67" s="37">
        <f>SUMIF('XHDN TB'!$R:$R,'HDN P&amp;L'!$A67,'XHDN TB'!H:H)</f>
        <v/>
      </c>
      <c r="U67" s="37">
        <f>SUMIF('HDN TB'!$R:$R,'HDN P&amp;L'!$A67,'HDN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SUMIF('XHDN TB'!$R:$R,'HDN P&amp;L'!$A68,'XHDN TB'!C:C)</f>
        <v/>
      </c>
      <c r="P68" s="37">
        <f>SUMIF('XHDN TB'!$R:$R,'HDN P&amp;L'!$A68,'XHDN TB'!D:D)</f>
        <v/>
      </c>
      <c r="Q68" s="37">
        <f>SUMIF('XHDN TB'!$R:$R,'HDN P&amp;L'!$A68,'XHDN TB'!E:E)</f>
        <v/>
      </c>
      <c r="R68" s="37">
        <f>SUMIF('XHDN TB'!$R:$R,'HDN P&amp;L'!$A68,'XHDN TB'!F:F)</f>
        <v/>
      </c>
      <c r="S68" s="37">
        <f>SUMIF('XHDN TB'!$R:$R,'HDN P&amp;L'!$A68,'XHDN TB'!G:G)</f>
        <v/>
      </c>
      <c r="T68" s="37">
        <f>SUMIF('XHDN TB'!$R:$R,'HDN P&amp;L'!$A68,'XHDN TB'!H:H)</f>
        <v/>
      </c>
      <c r="U68" s="37">
        <f>SUMIF('HDN TB'!$R:$R,'HDN P&amp;L'!$A68,'HDN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433.37</v>
      </c>
      <c r="C69" s="42" t="n">
        <v>362.91</v>
      </c>
      <c r="D69" s="42" t="n">
        <v>422.57</v>
      </c>
      <c r="E69" s="42" t="n">
        <v>352.04</v>
      </c>
      <c r="F69" s="42" t="n">
        <v>219.86</v>
      </c>
      <c r="G69" s="42" t="n">
        <v>372.15</v>
      </c>
      <c r="H69" s="42" t="n">
        <v>300.37</v>
      </c>
      <c r="I69" s="42" t="n">
        <v>345.66</v>
      </c>
      <c r="J69" s="42" t="n">
        <v>327.76</v>
      </c>
      <c r="K69" s="42" t="n">
        <v>597.1900000000001</v>
      </c>
      <c r="L69" s="42" t="n">
        <v>559.28</v>
      </c>
      <c r="M69" s="42" t="n">
        <v>536.1200000000001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20643.53000000001</v>
      </c>
      <c r="C70" s="55" t="n">
        <v>16330.06</v>
      </c>
      <c r="D70" s="55" t="n">
        <v>30776.16</v>
      </c>
      <c r="E70" s="55" t="n">
        <v>26294.3</v>
      </c>
      <c r="F70" s="55" t="n">
        <v>18510.18</v>
      </c>
      <c r="G70" s="55" t="n">
        <v>18814.45</v>
      </c>
      <c r="H70" s="55" t="n">
        <v>44055.37</v>
      </c>
      <c r="I70" s="55" t="n">
        <v>18263.08</v>
      </c>
      <c r="J70" s="55" t="n">
        <v>6837.109999999995</v>
      </c>
      <c r="K70" s="55" t="n">
        <v>3148.439999999997</v>
      </c>
      <c r="L70" s="55" t="n">
        <v>14708.07</v>
      </c>
      <c r="M70" s="55" t="n">
        <v>26138.48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20643.53000000001</v>
      </c>
      <c r="C79" s="57" t="n">
        <v>16330.06</v>
      </c>
      <c r="D79" s="57" t="n">
        <v>30776.16</v>
      </c>
      <c r="E79" s="57" t="n">
        <v>26294.3</v>
      </c>
      <c r="F79" s="57" t="n">
        <v>18510.18</v>
      </c>
      <c r="G79" s="57" t="n">
        <v>18814.45</v>
      </c>
      <c r="H79" s="57" t="n">
        <v>44055.37</v>
      </c>
      <c r="I79" s="57" t="n">
        <v>18263.08</v>
      </c>
      <c r="J79" s="57" t="n">
        <v>6837.109999999995</v>
      </c>
      <c r="K79" s="57" t="n">
        <v>3148.439999999997</v>
      </c>
      <c r="L79" s="57" t="n">
        <v>14708.07</v>
      </c>
      <c r="M79" s="57" t="n">
        <v>26138.48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6" t="n"/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61001.71</v>
      </c>
      <c r="C87" s="60" t="n">
        <v>53179.24</v>
      </c>
      <c r="D87" s="60" t="n">
        <v>69734.13</v>
      </c>
      <c r="E87" s="60" t="n">
        <v>69448.69</v>
      </c>
      <c r="F87" s="60" t="n">
        <v>61403.1</v>
      </c>
      <c r="G87" s="60" t="n">
        <v>59059.3</v>
      </c>
      <c r="H87" s="60" t="n">
        <v>91190.87</v>
      </c>
      <c r="I87" s="60" t="n">
        <v>60048.26</v>
      </c>
      <c r="J87" s="60" t="n">
        <v>53056</v>
      </c>
      <c r="K87" s="60" t="n">
        <v>52879.86</v>
      </c>
      <c r="L87" s="60" t="n">
        <v>62722.91</v>
      </c>
      <c r="M87" s="8" t="n"/>
      <c r="N87" s="8" t="n"/>
      <c r="O87" s="60">
        <f>-SUMIF('XHDN TB'!$T:$T,'HDN P&amp;L'!$A87,'XHDN TB'!C:C)</f>
        <v/>
      </c>
      <c r="P87" s="60">
        <f>-SUMIF('XHDN TB'!$T:$T,'HDN P&amp;L'!$A87,'XHDN TB'!D:D)</f>
        <v/>
      </c>
      <c r="Q87" s="60">
        <f>-SUMIF('XHDN TB'!$T:$T,'HDN P&amp;L'!$A87,'XHDN TB'!E:E)</f>
        <v/>
      </c>
      <c r="R87" s="60">
        <f>-SUMIF('XHDN TB'!$T:$T,'HDN P&amp;L'!$A87,'XHDN TB'!F:F)</f>
        <v/>
      </c>
      <c r="S87" s="60">
        <f>-SUMIF('XHDN TB'!$T:$T,'HDN P&amp;L'!$A87,'XHDN TB'!G:G)</f>
        <v/>
      </c>
      <c r="T87" s="60">
        <f>-SUMIF('XHDN TB'!$T:$T,'HDN P&amp;L'!$A87,'XHDN TB'!H:H)</f>
        <v/>
      </c>
      <c r="U87" s="60">
        <f>-SUMIF('XHDN TB'!$T:$T,'HDN P&amp;L'!$A87,'XHDN TB'!I:I)</f>
        <v/>
      </c>
      <c r="V87" s="60">
        <f>-SUMIF('XHDN TB'!$T:$T,'HDN P&amp;L'!$A87,'XHDN TB'!J:J)</f>
        <v/>
      </c>
      <c r="W87" s="60">
        <f>-SUMIF('XHDN TB'!$T:$T,'HDN P&amp;L'!$A87,'XHDN TB'!K:K)</f>
        <v/>
      </c>
      <c r="X87" s="60">
        <f>-SUMIF('XHDN TB'!$T:$T,'HDN P&amp;L'!$A87,'XHDN TB'!L:L)</f>
        <v/>
      </c>
      <c r="Y87" s="60">
        <f>-SUMIF('XHDN TB'!$T:$T,'HDN P&amp;L'!$A87,'XHDN TB'!M:M)</f>
        <v/>
      </c>
      <c r="Z87" s="60">
        <f>-SUMIF('XHDN TB'!$T:$T,'HDN P&amp;L'!$A87,'XHDN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34" t="inlineStr">
        <is>
          <t>Direct - Staff Cost</t>
        </is>
      </c>
      <c r="B88" s="18" t="n">
        <v>-30380.50999999999</v>
      </c>
      <c r="C88" s="18" t="n">
        <v>-30495.64</v>
      </c>
      <c r="D88" s="18" t="n">
        <v>-31357.96</v>
      </c>
      <c r="E88" s="18" t="n">
        <v>-36022.19</v>
      </c>
      <c r="F88" s="18" t="n">
        <v>-34088.36</v>
      </c>
      <c r="G88" s="18" t="n">
        <v>-33987.66</v>
      </c>
      <c r="H88" s="18" t="n">
        <v>-41381.32</v>
      </c>
      <c r="I88" s="18" t="n">
        <v>-37697.41</v>
      </c>
      <c r="J88" s="18" t="n">
        <v>-37624.93</v>
      </c>
      <c r="K88" s="18" t="n">
        <v>-41626.15000000001</v>
      </c>
      <c r="L88" s="18" t="n">
        <v>-40639.57</v>
      </c>
      <c r="M88" s="18" t="n"/>
      <c r="N88" s="8" t="n"/>
      <c r="O88" s="60">
        <f>-SUMIF('XHDN TB'!$T:$T,'HDN P&amp;L'!$A88,'XHDN TB'!C:C)</f>
        <v/>
      </c>
      <c r="P88" s="60">
        <f>-SUMIF('XHDN TB'!$T:$T,'HDN P&amp;L'!$A88,'XHDN TB'!D:D)</f>
        <v/>
      </c>
      <c r="Q88" s="60">
        <f>-SUMIF('XHDN TB'!$T:$T,'HDN P&amp;L'!$A88,'XHDN TB'!E:E)</f>
        <v/>
      </c>
      <c r="R88" s="60">
        <f>-SUMIF('XHDN TB'!$T:$T,'HDN P&amp;L'!$A88,'XHDN TB'!F:F)</f>
        <v/>
      </c>
      <c r="S88" s="60">
        <f>-SUMIF('XHDN TB'!$T:$T,'HDN P&amp;L'!$A88,'XHDN TB'!G:G)</f>
        <v/>
      </c>
      <c r="T88" s="60">
        <f>-SUMIF('XHDN TB'!$T:$T,'HDN P&amp;L'!$A88,'XHDN TB'!H:H)</f>
        <v/>
      </c>
      <c r="U88" s="60">
        <f>-SUMIF('XHDN TB'!$T:$T,'HDN P&amp;L'!$A88,'XHDN TB'!I:I)</f>
        <v/>
      </c>
      <c r="V88" s="60">
        <f>-SUMIF('XHDN TB'!$T:$T,'HDN P&amp;L'!$A88,'XHDN TB'!J:J)</f>
        <v/>
      </c>
      <c r="W88" s="60">
        <f>-SUMIF('XHDN TB'!$T:$T,'HDN P&amp;L'!$A88,'XHDN TB'!K:K)</f>
        <v/>
      </c>
      <c r="X88" s="60">
        <f>-SUMIF('XHDN TB'!$T:$T,'HDN P&amp;L'!$A88,'XHDN TB'!L:L)</f>
        <v/>
      </c>
      <c r="Y88" s="60">
        <f>-SUMIF('XHDN TB'!$T:$T,'HDN P&amp;L'!$A88,'XHDN TB'!M:M)</f>
        <v/>
      </c>
      <c r="Z88" s="60">
        <f>-SUMIF('XHDN TB'!$T:$T,'HDN P&amp;L'!$A88,'XHDN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60" t="inlineStr">
        <is>
          <t>Direct - Childcare Cost</t>
        </is>
      </c>
      <c r="B89" s="18" t="n">
        <v>-1469.78</v>
      </c>
      <c r="C89" s="18" t="n">
        <v>-1705.09</v>
      </c>
      <c r="D89" s="18" t="n">
        <v>-1971.58</v>
      </c>
      <c r="E89" s="18" t="n">
        <v>-1586.44</v>
      </c>
      <c r="F89" s="18" t="n">
        <v>-3075.92</v>
      </c>
      <c r="G89" s="18" t="n">
        <v>-1604.7</v>
      </c>
      <c r="H89" s="18" t="n">
        <v>-2199.56</v>
      </c>
      <c r="I89" s="18" t="n">
        <v>-1885.68</v>
      </c>
      <c r="J89" s="18" t="n">
        <v>-1315.26</v>
      </c>
      <c r="K89" s="18" t="n">
        <v>-2513.63</v>
      </c>
      <c r="L89" s="18" t="n">
        <v>-1507.19</v>
      </c>
      <c r="M89" s="18" t="n">
        <v>-1523.65</v>
      </c>
      <c r="N89" s="8" t="n"/>
      <c r="O89" s="60">
        <f>-SUMIF('XHDN TB'!$T:$T,'HDN P&amp;L'!$A89,'XHDN TB'!C:C)</f>
        <v/>
      </c>
      <c r="P89" s="60">
        <f>-SUMIF('XHDN TB'!$T:$T,'HDN P&amp;L'!$A89,'XHDN TB'!D:D)</f>
        <v/>
      </c>
      <c r="Q89" s="60">
        <f>-SUMIF('XHDN TB'!$T:$T,'HDN P&amp;L'!$A89,'XHDN TB'!E:E)</f>
        <v/>
      </c>
      <c r="R89" s="60">
        <f>-SUMIF('XHDN TB'!$T:$T,'HDN P&amp;L'!$A89,'XHDN TB'!F:F)</f>
        <v/>
      </c>
      <c r="S89" s="60">
        <f>-SUMIF('XHDN TB'!$T:$T,'HDN P&amp;L'!$A89,'XHDN TB'!G:G)</f>
        <v/>
      </c>
      <c r="T89" s="60">
        <f>-SUMIF('XHDN TB'!$T:$T,'HDN P&amp;L'!$A89,'XHDN TB'!H:H)</f>
        <v/>
      </c>
      <c r="U89" s="60">
        <f>-SUMIF('XHDN TB'!$T:$T,'HDN P&amp;L'!$A89,'XHDN TB'!I:I)</f>
        <v/>
      </c>
      <c r="V89" s="60">
        <f>-SUMIF('XHDN TB'!$T:$T,'HDN P&amp;L'!$A89,'XHDN TB'!J:J)</f>
        <v/>
      </c>
      <c r="W89" s="60">
        <f>-SUMIF('XHDN TB'!$T:$T,'HDN P&amp;L'!$A89,'XHDN TB'!K:K)</f>
        <v/>
      </c>
      <c r="X89" s="60">
        <f>-SUMIF('XHDN TB'!$T:$T,'HDN P&amp;L'!$A89,'XHDN TB'!L:L)</f>
        <v/>
      </c>
      <c r="Y89" s="60">
        <f>-SUMIF('XHDN TB'!$T:$T,'HDN P&amp;L'!$A89,'XHDN TB'!M:M)</f>
        <v/>
      </c>
      <c r="Z89" s="60">
        <f>-SUMIF('XHDN TB'!$T:$T,'HDN P&amp;L'!$A89,'XHDN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60" t="inlineStr">
        <is>
          <t>Direct - Premises &amp; Admin</t>
        </is>
      </c>
      <c r="B90" s="18" t="n">
        <v>-8074.519999999999</v>
      </c>
      <c r="C90" s="18" t="n">
        <v>-4285.54</v>
      </c>
      <c r="D90" s="18" t="n">
        <v>-5205.86</v>
      </c>
      <c r="E90" s="18" t="n">
        <v>-5193.719999999999</v>
      </c>
      <c r="F90" s="18" t="n">
        <v>-5508.78</v>
      </c>
      <c r="G90" s="18" t="n">
        <v>-4280.339999999999</v>
      </c>
      <c r="H90" s="18" t="n">
        <v>-3254.25</v>
      </c>
      <c r="I90" s="18" t="n">
        <v>-1856.43</v>
      </c>
      <c r="J90" s="18" t="n">
        <v>-6950.940000000001</v>
      </c>
      <c r="K90" s="18" t="n">
        <v>-4994.450000000001</v>
      </c>
      <c r="L90" s="18" t="n">
        <v>-5308.799999999999</v>
      </c>
      <c r="M90" s="18" t="n">
        <v>-4477.679999999999</v>
      </c>
      <c r="N90" s="8" t="n"/>
      <c r="O90" s="60">
        <f>-SUMIF('XHDN TB'!$T:$T,'HDN P&amp;L'!$A90,'XHDN TB'!C:C)</f>
        <v/>
      </c>
      <c r="P90" s="60">
        <f>-SUMIF('XHDN TB'!$T:$T,'HDN P&amp;L'!$A90,'XHDN TB'!D:D)</f>
        <v/>
      </c>
      <c r="Q90" s="60">
        <f>-SUMIF('XHDN TB'!$T:$T,'HDN P&amp;L'!$A90,'XHDN TB'!E:E)</f>
        <v/>
      </c>
      <c r="R90" s="60">
        <f>-SUMIF('XHDN TB'!$T:$T,'HDN P&amp;L'!$A90,'XHDN TB'!F:F)</f>
        <v/>
      </c>
      <c r="S90" s="60">
        <f>-SUMIF('XHDN TB'!$T:$T,'HDN P&amp;L'!$A90,'XHDN TB'!G:G)</f>
        <v/>
      </c>
      <c r="T90" s="60">
        <f>-SUMIF('XHDN TB'!$T:$T,'HDN P&amp;L'!$A90,'XHDN TB'!H:H)</f>
        <v/>
      </c>
      <c r="U90" s="60">
        <f>-SUMIF('XHDN TB'!$T:$T,'HDN P&amp;L'!$A90,'XHDN TB'!I:I)</f>
        <v/>
      </c>
      <c r="V90" s="60">
        <f>-SUMIF('XHDN TB'!$T:$T,'HDN P&amp;L'!$A90,'XHDN TB'!J:J)</f>
        <v/>
      </c>
      <c r="W90" s="60">
        <f>-SUMIF('XHDN TB'!$T:$T,'HDN P&amp;L'!$A90,'XHDN TB'!K:K)</f>
        <v/>
      </c>
      <c r="X90" s="60">
        <f>-SUMIF('XHDN TB'!$T:$T,'HDN P&amp;L'!$A90,'XHDN TB'!L:L)</f>
        <v/>
      </c>
      <c r="Y90" s="60">
        <f>-SUMIF('XHDN TB'!$T:$T,'HDN P&amp;L'!$A90,'XHDN TB'!M:M)</f>
        <v/>
      </c>
      <c r="Z90" s="60">
        <f>-SUMIF('XHDN TB'!$T:$T,'HDN P&amp;L'!$A90,'XHDN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-SUMIF('XHDN TB'!$T:$T,'HDN P&amp;L'!$A91,'XHDN TB'!C:C)</f>
        <v/>
      </c>
      <c r="P91" s="60">
        <f>-SUMIF('XHDN TB'!$T:$T,'HDN P&amp;L'!$A91,'XHDN TB'!D:D)</f>
        <v/>
      </c>
      <c r="Q91" s="60">
        <f>-SUMIF('XHDN TB'!$T:$T,'HDN P&amp;L'!$A91,'XHDN TB'!E:E)</f>
        <v/>
      </c>
      <c r="R91" s="60">
        <f>-SUMIF('XHDN TB'!$T:$T,'HDN P&amp;L'!$A91,'XHDN TB'!F:F)</f>
        <v/>
      </c>
      <c r="S91" s="60">
        <f>-SUMIF('XHDN TB'!$T:$T,'HDN P&amp;L'!$A91,'XHDN TB'!G:G)</f>
        <v/>
      </c>
      <c r="T91" s="60">
        <f>-SUMIF('XHDN TB'!$T:$T,'HDN P&amp;L'!$A91,'XHDN TB'!H:H)</f>
        <v/>
      </c>
      <c r="U91" s="60">
        <f>-SUMIF('XHDN TB'!$T:$T,'HDN P&amp;L'!$A91,'XHDN TB'!I:I)</f>
        <v/>
      </c>
      <c r="V91" s="60">
        <f>-SUMIF('XHDN TB'!$T:$T,'HDN P&amp;L'!$A91,'XHDN TB'!J:J)</f>
        <v/>
      </c>
      <c r="W91" s="60">
        <f>-SUMIF('XHDN TB'!$T:$T,'HDN P&amp;L'!$A91,'XHDN TB'!K:K)</f>
        <v/>
      </c>
      <c r="X91" s="60">
        <f>-SUMIF('XHDN TB'!$T:$T,'HDN P&amp;L'!$A91,'XHDN TB'!L:L)</f>
        <v/>
      </c>
      <c r="Y91" s="60">
        <f>-SUMIF('XHDN TB'!$T:$T,'HDN P&amp;L'!$A91,'XHDN TB'!M:M)</f>
        <v/>
      </c>
      <c r="Z91" s="60">
        <f>-SUMIF('XHDN TB'!$T:$T,'HDN P&amp;L'!$A91,'XHDN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60" t="inlineStr">
        <is>
          <t>In-Direct - Overheads</t>
        </is>
      </c>
      <c r="B92" s="18" t="n">
        <v>-433.37</v>
      </c>
      <c r="C92" s="18" t="n">
        <v>-362.91</v>
      </c>
      <c r="D92" s="18" t="n">
        <v>-422.57</v>
      </c>
      <c r="E92" s="18" t="n">
        <v>-352.04</v>
      </c>
      <c r="F92" s="18" t="n">
        <v>-219.86</v>
      </c>
      <c r="G92" s="18" t="n">
        <v>-372.15</v>
      </c>
      <c r="H92" s="18" t="n">
        <v>-300.37</v>
      </c>
      <c r="I92" s="18" t="n">
        <v>-345.66</v>
      </c>
      <c r="J92" s="18" t="n">
        <v>-327.76</v>
      </c>
      <c r="K92" s="18" t="n">
        <v>-597.1900000000001</v>
      </c>
      <c r="L92" s="18" t="n">
        <v>-559.28</v>
      </c>
      <c r="M92" s="18" t="n">
        <v>-536.1200000000001</v>
      </c>
      <c r="N92" s="8" t="n"/>
      <c r="O92" s="60">
        <f>-SUMIF('XHDN TB'!$T:$T,'HDN P&amp;L'!$A92,'XHDN TB'!C:C)</f>
        <v/>
      </c>
      <c r="P92" s="60">
        <f>-SUMIF('XHDN TB'!$T:$T,'HDN P&amp;L'!$A92,'XHDN TB'!D:D)</f>
        <v/>
      </c>
      <c r="Q92" s="60">
        <f>-SUMIF('XHDN TB'!$T:$T,'HDN P&amp;L'!$A92,'XHDN TB'!E:E)</f>
        <v/>
      </c>
      <c r="R92" s="60">
        <f>-SUMIF('XHDN TB'!$T:$T,'HDN P&amp;L'!$A92,'XHDN TB'!F:F)</f>
        <v/>
      </c>
      <c r="S92" s="60">
        <f>-SUMIF('XHDN TB'!$T:$T,'HDN P&amp;L'!$A92,'XHDN TB'!G:G)</f>
        <v/>
      </c>
      <c r="T92" s="60">
        <f>-SUMIF('XHDN TB'!$T:$T,'HDN P&amp;L'!$A92,'XHDN TB'!H:H)</f>
        <v/>
      </c>
      <c r="U92" s="60">
        <f>-SUMIF('XHDN TB'!$T:$T,'HDN P&amp;L'!$A92,'XHDN TB'!I:I)</f>
        <v/>
      </c>
      <c r="V92" s="60">
        <f>-SUMIF('XHDN TB'!$T:$T,'HDN P&amp;L'!$A92,'XHDN TB'!J:J)</f>
        <v/>
      </c>
      <c r="W92" s="60">
        <f>-SUMIF('XHDN TB'!$T:$T,'HDN P&amp;L'!$A92,'XHDN TB'!K:K)</f>
        <v/>
      </c>
      <c r="X92" s="60">
        <f>-SUMIF('XHDN TB'!$T:$T,'HDN P&amp;L'!$A92,'XHDN TB'!L:L)</f>
        <v/>
      </c>
      <c r="Y92" s="60">
        <f>-SUMIF('XHDN TB'!$T:$T,'HDN P&amp;L'!$A92,'XHDN TB'!M:M)</f>
        <v/>
      </c>
      <c r="Z92" s="60">
        <f>-SUMIF('XHDN TB'!$T:$T,'HDN P&amp;L'!$A92,'XHDN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 ht="15.75" customHeight="1">
      <c r="A93" s="8" t="n"/>
      <c r="B93" s="67" t="n">
        <v>20643.53000000001</v>
      </c>
      <c r="C93" s="67" t="n">
        <v>16330.06</v>
      </c>
      <c r="D93" s="67" t="n">
        <v>30776.16</v>
      </c>
      <c r="E93" s="67" t="n">
        <v>26294.3</v>
      </c>
      <c r="F93" s="67" t="n">
        <v>18510.18</v>
      </c>
      <c r="G93" s="67" t="n">
        <v>18814.45</v>
      </c>
      <c r="H93" s="67" t="n">
        <v>44055.37</v>
      </c>
      <c r="I93" s="67" t="n">
        <v>18263.08</v>
      </c>
      <c r="J93" s="67" t="n">
        <v>6837.109999999999</v>
      </c>
      <c r="K93" s="67" t="n">
        <v>3148.43999999999</v>
      </c>
      <c r="L93" s="67" t="n">
        <v>14708.07</v>
      </c>
      <c r="M93" s="67" t="n">
        <v>-6537.449999999999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7.275957614183426e-12</v>
      </c>
      <c r="L94" s="18" t="n">
        <v>0</v>
      </c>
      <c r="M94" s="18" t="n">
        <v>32675.93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-2.91038304567337e-11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-5.456968210637569e-12</v>
      </c>
      <c r="L96" s="18" t="n">
        <v>0</v>
      </c>
      <c r="M96" s="18" t="n">
        <v>-32675.93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>
        <v>-20643.53</v>
      </c>
      <c r="C97" s="18" t="n">
        <v>-16330.06000000001</v>
      </c>
      <c r="D97" s="18" t="n">
        <v>-30776.16000000003</v>
      </c>
      <c r="E97" s="18" t="n">
        <v>-26294.29999999999</v>
      </c>
      <c r="F97" s="18" t="n">
        <v>-18510.17999999999</v>
      </c>
      <c r="G97" s="18" t="n">
        <v>-18814.45</v>
      </c>
      <c r="H97" s="18" t="n">
        <v>-44055.37</v>
      </c>
      <c r="I97" s="18" t="n">
        <v>-18263.07999999999</v>
      </c>
      <c r="J97" s="18" t="n">
        <v>-6837.109999999999</v>
      </c>
      <c r="K97" s="18" t="n">
        <v>-3148.439999999996</v>
      </c>
      <c r="L97" s="18" t="n">
        <v>-14708.06999999999</v>
      </c>
      <c r="M97" s="18" t="n">
        <v>-26138.48</v>
      </c>
      <c r="N97" s="8" t="n"/>
      <c r="O97" s="60">
        <f>SUM('XHDN TB'!C2:C43)</f>
        <v/>
      </c>
      <c r="P97" s="60">
        <f>SUM('XHDN TB'!D2:D43)</f>
        <v/>
      </c>
      <c r="Q97" s="60">
        <f>SUM('XHDN TB'!E2:E43)</f>
        <v/>
      </c>
      <c r="R97" s="60">
        <f>SUM('XHDN TB'!F2:F43)</f>
        <v/>
      </c>
      <c r="S97" s="60">
        <f>SUM('XHDN TB'!G2:G43)</f>
        <v/>
      </c>
      <c r="T97" s="60">
        <f>SUM('XHDN TB'!H2:H43)</f>
        <v/>
      </c>
      <c r="U97" s="60">
        <f>SUM('XHDN TB'!I2:I43)</f>
        <v/>
      </c>
      <c r="V97" s="60">
        <f>SUM('XHDN TB'!J2:J43)</f>
        <v/>
      </c>
      <c r="W97" s="60">
        <f>SUM('XHDN TB'!K2:K43)</f>
        <v/>
      </c>
      <c r="X97" s="60">
        <f>SUM('XHDN TB'!L2:L43)</f>
        <v/>
      </c>
      <c r="Y97" s="60">
        <f>SUM('XHDN TB'!M2:M43)</f>
        <v/>
      </c>
      <c r="Z97" s="60">
        <f>SUM('XHDN TB'!N2:N43)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Kingsclere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22870.34</v>
      </c>
      <c r="C8" s="35" t="n">
        <v>20355.4</v>
      </c>
      <c r="D8" s="35" t="n">
        <v>23704.42</v>
      </c>
      <c r="E8" s="35" t="n">
        <v>26731.27</v>
      </c>
      <c r="F8" s="35" t="n">
        <v>24249.3</v>
      </c>
      <c r="G8" s="35" t="n">
        <v>26195.06</v>
      </c>
      <c r="H8" s="35" t="n">
        <v>34918.49</v>
      </c>
      <c r="I8" s="35" t="n">
        <v>29544.89</v>
      </c>
      <c r="J8" s="35" t="n">
        <v>19810.11</v>
      </c>
      <c r="K8" s="35" t="n">
        <v>19723.77</v>
      </c>
      <c r="L8" s="35" t="n">
        <v>17281.63</v>
      </c>
      <c r="M8" s="35" t="n">
        <v>23883.61</v>
      </c>
      <c r="N8" s="36">
        <f>SUM(B8:M8)</f>
        <v/>
      </c>
      <c r="O8" s="37" t="n">
        <v>15245.31</v>
      </c>
      <c r="P8" s="37" t="n">
        <v>15771.12</v>
      </c>
      <c r="Q8" s="37" t="n">
        <v>20469.41999999999</v>
      </c>
      <c r="R8" s="37" t="n">
        <v>22519.66</v>
      </c>
      <c r="S8" s="37" t="n">
        <v>20135.17</v>
      </c>
      <c r="T8" s="37" t="n">
        <v>22751.51</v>
      </c>
      <c r="U8" s="37" t="n">
        <v>32640.36</v>
      </c>
      <c r="V8" s="38" t="n">
        <v>30985</v>
      </c>
      <c r="W8" s="38" t="n">
        <v>25687</v>
      </c>
      <c r="X8" s="38" t="n">
        <v>23914</v>
      </c>
      <c r="Y8" s="38" t="n">
        <v>24573</v>
      </c>
      <c r="Z8" s="38" t="n">
        <v>32094</v>
      </c>
      <c r="AA8" s="36">
        <f>SUM(O8:U8)</f>
        <v/>
      </c>
      <c r="AB8" s="36">
        <f>SUM(O8:Z8)</f>
        <v/>
      </c>
      <c r="AC8" s="38" t="n">
        <v>39926.56</v>
      </c>
      <c r="AD8" s="38" t="n">
        <v>37674.64</v>
      </c>
      <c r="AE8" s="38" t="n">
        <v>44411.48</v>
      </c>
      <c r="AF8" s="38" t="n">
        <v>42605.35</v>
      </c>
      <c r="AG8" s="38" t="n">
        <v>42601.69</v>
      </c>
      <c r="AH8" s="38" t="n">
        <v>43952.64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6489.72</v>
      </c>
      <c r="C9" s="35" t="n">
        <v>6489.72</v>
      </c>
      <c r="D9" s="35" t="n">
        <v>6776.320000000001</v>
      </c>
      <c r="E9" s="35" t="n">
        <v>7503.04</v>
      </c>
      <c r="F9" s="35" t="n">
        <v>7503.04</v>
      </c>
      <c r="G9" s="35" t="n">
        <v>7503.04</v>
      </c>
      <c r="H9" s="35" t="n">
        <v>15996.92</v>
      </c>
      <c r="I9" s="35" t="n">
        <v>0</v>
      </c>
      <c r="J9" s="35" t="n">
        <v>6466.01</v>
      </c>
      <c r="K9" s="35" t="n">
        <v>6466.01</v>
      </c>
      <c r="L9" s="35" t="n">
        <v>17054.35</v>
      </c>
      <c r="M9" s="35" t="n">
        <v>17215.99</v>
      </c>
      <c r="N9" s="36">
        <f>SUM(B9:M9)</f>
        <v/>
      </c>
      <c r="O9" s="37" t="n">
        <v>11761.35</v>
      </c>
      <c r="P9" s="37" t="n">
        <v>11761.35</v>
      </c>
      <c r="Q9" s="37" t="n">
        <v>14620.91</v>
      </c>
      <c r="R9" s="37" t="n">
        <v>13713.51</v>
      </c>
      <c r="S9" s="37" t="n">
        <v>13713.51</v>
      </c>
      <c r="T9" s="37" t="n">
        <v>13663.92</v>
      </c>
      <c r="U9" s="37" t="n">
        <v>13696.98</v>
      </c>
      <c r="V9" s="38" t="n"/>
      <c r="W9" s="38" t="n">
        <v>12715</v>
      </c>
      <c r="X9" s="38" t="n">
        <v>15723</v>
      </c>
      <c r="Y9" s="38" t="n">
        <v>15334</v>
      </c>
      <c r="Z9" s="38" t="n">
        <v>6695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1724.64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 t="n">
        <v>500</v>
      </c>
      <c r="P10" s="37" t="n">
        <v>0</v>
      </c>
      <c r="Q10" s="37" t="n">
        <v>0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29360.06</v>
      </c>
      <c r="C11" s="42" t="n">
        <v>26845.12</v>
      </c>
      <c r="D11" s="42" t="n">
        <v>30480.74</v>
      </c>
      <c r="E11" s="42" t="n">
        <v>34234.31</v>
      </c>
      <c r="F11" s="42" t="n">
        <v>31752.34</v>
      </c>
      <c r="G11" s="42" t="n">
        <v>33698.1</v>
      </c>
      <c r="H11" s="42" t="n">
        <v>50915.41</v>
      </c>
      <c r="I11" s="42" t="n">
        <v>31269.53</v>
      </c>
      <c r="J11" s="42" t="n">
        <v>26276.12</v>
      </c>
      <c r="K11" s="42" t="n">
        <v>26189.78</v>
      </c>
      <c r="L11" s="42" t="n">
        <v>34335.98</v>
      </c>
      <c r="M11" s="42" t="n">
        <v>41099.6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13592.8</v>
      </c>
      <c r="C16" s="35" t="n">
        <v>16596.28</v>
      </c>
      <c r="D16" s="35" t="n">
        <v>16290.85</v>
      </c>
      <c r="E16" s="35" t="n">
        <v>16097.89</v>
      </c>
      <c r="F16" s="35" t="n">
        <v>16253.33</v>
      </c>
      <c r="G16" s="35" t="n">
        <v>16542.65</v>
      </c>
      <c r="H16" s="35" t="n">
        <v>16564.15</v>
      </c>
      <c r="I16" s="35" t="n">
        <v>15091.52</v>
      </c>
      <c r="J16" s="35" t="n">
        <v>15920.49</v>
      </c>
      <c r="K16" s="35" t="n">
        <v>15616.67</v>
      </c>
      <c r="L16" s="35" t="n">
        <v>15962.02</v>
      </c>
      <c r="M16" s="35" t="n">
        <v>14849.14</v>
      </c>
      <c r="N16" s="36">
        <f>SUM(B16:M16)</f>
        <v/>
      </c>
      <c r="O16" s="37" t="n">
        <v>20041.17</v>
      </c>
      <c r="P16" s="37" t="n">
        <v>18133.19</v>
      </c>
      <c r="Q16" s="37" t="n">
        <v>15924.14</v>
      </c>
      <c r="R16" s="37" t="n">
        <v>16140.24</v>
      </c>
      <c r="S16" s="37" t="n">
        <v>15928.26</v>
      </c>
      <c r="T16" s="37" t="n">
        <v>17171.98</v>
      </c>
      <c r="U16" s="37" t="n">
        <v>16231.3</v>
      </c>
      <c r="V16" s="38" t="n">
        <v>16231.3</v>
      </c>
      <c r="W16" s="38" t="n">
        <v>16231.3</v>
      </c>
      <c r="X16" s="38" t="n">
        <v>16231.3</v>
      </c>
      <c r="Y16" s="38" t="n">
        <v>16231.3</v>
      </c>
      <c r="Z16" s="38" t="n">
        <v>16231.3</v>
      </c>
      <c r="AA16" s="36">
        <f>SUM(O16:U16)</f>
        <v/>
      </c>
      <c r="AB16" s="36">
        <f>SUM(O16:Z16)</f>
        <v/>
      </c>
      <c r="AC16" s="38" t="n">
        <v>16231.3</v>
      </c>
      <c r="AD16" s="38" t="n">
        <v>16231.3</v>
      </c>
      <c r="AE16" s="38" t="n">
        <v>16231.3</v>
      </c>
      <c r="AF16" s="38" t="n">
        <v>16231.3</v>
      </c>
      <c r="AG16" s="38" t="n">
        <v>16231.3</v>
      </c>
      <c r="AH16" s="38" t="n">
        <v>16231.3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996.45</v>
      </c>
      <c r="C17" s="35" t="n">
        <v>1024.17</v>
      </c>
      <c r="D17" s="35" t="n">
        <v>1057.44</v>
      </c>
      <c r="E17" s="35" t="n">
        <v>1332.69</v>
      </c>
      <c r="F17" s="35" t="n">
        <v>1575.02</v>
      </c>
      <c r="G17" s="35" t="n">
        <v>1629.49</v>
      </c>
      <c r="H17" s="35" t="n">
        <v>1641.72</v>
      </c>
      <c r="I17" s="35" t="n">
        <v>1473.5</v>
      </c>
      <c r="J17" s="35" t="n">
        <v>1458.61</v>
      </c>
      <c r="K17" s="35" t="n">
        <v>1759.2</v>
      </c>
      <c r="L17" s="35" t="n">
        <v>1810.4</v>
      </c>
      <c r="M17" s="35" t="n">
        <v>1642.86</v>
      </c>
      <c r="N17" s="36">
        <f>SUM(B17:M17)</f>
        <v/>
      </c>
      <c r="O17" s="37" t="n">
        <v>2355.2</v>
      </c>
      <c r="P17" s="37" t="n">
        <v>2183.14</v>
      </c>
      <c r="Q17" s="37" t="n">
        <v>1783.6</v>
      </c>
      <c r="R17" s="37" t="n">
        <v>1777.72</v>
      </c>
      <c r="S17" s="37" t="n">
        <v>1615.62</v>
      </c>
      <c r="T17" s="37" t="n">
        <v>1700.15</v>
      </c>
      <c r="U17" s="37" t="n">
        <v>1608.31</v>
      </c>
      <c r="V17" s="38" t="n">
        <v>1608.31</v>
      </c>
      <c r="W17" s="38" t="n">
        <v>1608.31</v>
      </c>
      <c r="X17" s="38" t="n">
        <v>1608.31</v>
      </c>
      <c r="Y17" s="38" t="n">
        <v>1608.31</v>
      </c>
      <c r="Z17" s="38" t="n">
        <v>1608.31</v>
      </c>
      <c r="AA17" s="36">
        <f>SUM(O17:U17)</f>
        <v/>
      </c>
      <c r="AB17" s="36">
        <f>SUM(O17:Z17)</f>
        <v/>
      </c>
      <c r="AC17" s="38" t="n">
        <v>1608.31</v>
      </c>
      <c r="AD17" s="38" t="n">
        <v>1608.31</v>
      </c>
      <c r="AE17" s="38" t="n">
        <v>1608.31</v>
      </c>
      <c r="AF17" s="38" t="n">
        <v>1608.31</v>
      </c>
      <c r="AG17" s="38" t="n">
        <v>1608.31</v>
      </c>
      <c r="AH17" s="38" t="n">
        <v>1608.31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245.17</v>
      </c>
      <c r="C18" s="35" t="n">
        <v>251.2</v>
      </c>
      <c r="D18" s="35" t="n">
        <v>244.04</v>
      </c>
      <c r="E18" s="35" t="n">
        <v>193.55</v>
      </c>
      <c r="F18" s="35" t="n">
        <v>236.58</v>
      </c>
      <c r="G18" s="35" t="n">
        <v>310.42</v>
      </c>
      <c r="H18" s="35" t="n">
        <v>312.87</v>
      </c>
      <c r="I18" s="35" t="n">
        <v>279.23</v>
      </c>
      <c r="J18" s="35" t="n">
        <v>273.16</v>
      </c>
      <c r="K18" s="35" t="n">
        <v>280.62</v>
      </c>
      <c r="L18" s="35" t="n">
        <v>291.55</v>
      </c>
      <c r="M18" s="35" t="n">
        <v>252.72</v>
      </c>
      <c r="N18" s="36">
        <f>SUM(B18:M18)</f>
        <v/>
      </c>
      <c r="O18" s="37" t="n">
        <v>293.1</v>
      </c>
      <c r="P18" s="37" t="n">
        <v>253.75</v>
      </c>
      <c r="Q18" s="37" t="n">
        <v>295.81</v>
      </c>
      <c r="R18" s="37" t="n">
        <v>306.68</v>
      </c>
      <c r="S18" s="37" t="n">
        <v>301.09</v>
      </c>
      <c r="T18" s="37" t="n">
        <v>321.47</v>
      </c>
      <c r="U18" s="37" t="n">
        <v>303.09</v>
      </c>
      <c r="V18" s="38" t="n">
        <v>303.09</v>
      </c>
      <c r="W18" s="38" t="n">
        <v>303.09</v>
      </c>
      <c r="X18" s="38" t="n">
        <v>303.09</v>
      </c>
      <c r="Y18" s="38" t="n">
        <v>303.09</v>
      </c>
      <c r="Z18" s="38" t="n">
        <v>303.09</v>
      </c>
      <c r="AA18" s="36">
        <f>SUM(O18:U18)</f>
        <v/>
      </c>
      <c r="AB18" s="36">
        <f>SUM(O18:Z18)</f>
        <v/>
      </c>
      <c r="AC18" s="38" t="n">
        <v>303.09</v>
      </c>
      <c r="AD18" s="38" t="n">
        <v>303.09</v>
      </c>
      <c r="AE18" s="38" t="n">
        <v>303.09</v>
      </c>
      <c r="AF18" s="38" t="n">
        <v>303.09</v>
      </c>
      <c r="AG18" s="38" t="n">
        <v>303.09</v>
      </c>
      <c r="AH18" s="38" t="n">
        <v>303.09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50.22</v>
      </c>
      <c r="C19" s="35" t="n">
        <v>0</v>
      </c>
      <c r="D19" s="35" t="n">
        <v>0</v>
      </c>
      <c r="E19" s="35" t="n">
        <v>0</v>
      </c>
      <c r="F19" s="35" t="n">
        <v>57.3</v>
      </c>
      <c r="G19" s="35" t="n">
        <v>0</v>
      </c>
      <c r="H19" s="35" t="n">
        <v>160.14</v>
      </c>
      <c r="I19" s="35" t="n">
        <v>0</v>
      </c>
      <c r="J19" s="35" t="n">
        <v>185.22</v>
      </c>
      <c r="K19" s="35" t="n">
        <v>70.14</v>
      </c>
      <c r="L19" s="35" t="n">
        <v>28.68</v>
      </c>
      <c r="M19" s="35" t="n">
        <v>7.99</v>
      </c>
      <c r="N19" s="36">
        <f>SUM(B19:M19)</f>
        <v/>
      </c>
      <c r="O19" s="37" t="n">
        <v>116.64</v>
      </c>
      <c r="P19" s="37" t="n">
        <v>0</v>
      </c>
      <c r="Q19" s="37" t="n">
        <v>0</v>
      </c>
      <c r="R19" s="37" t="n">
        <v>0</v>
      </c>
      <c r="S19" s="37" t="n">
        <v>124.2</v>
      </c>
      <c r="T19" s="37" t="n">
        <v>27.98</v>
      </c>
      <c r="U19" s="37" t="n">
        <v>0</v>
      </c>
      <c r="V19" s="38" t="n">
        <v>50</v>
      </c>
      <c r="W19" s="38" t="n">
        <v>50</v>
      </c>
      <c r="X19" s="38" t="n">
        <v>50</v>
      </c>
      <c r="Y19" s="38" t="n">
        <v>50</v>
      </c>
      <c r="Z19" s="38" t="n">
        <v>50</v>
      </c>
      <c r="AA19" s="36">
        <f>SUM(O19:U19)</f>
        <v/>
      </c>
      <c r="AB19" s="36">
        <f>SUM(O19:Z19)</f>
        <v/>
      </c>
      <c r="AC19" s="38" t="n">
        <v>50</v>
      </c>
      <c r="AD19" s="38" t="n">
        <v>50</v>
      </c>
      <c r="AE19" s="38" t="n">
        <v>50</v>
      </c>
      <c r="AF19" s="38" t="n">
        <v>50</v>
      </c>
      <c r="AG19" s="38" t="n">
        <v>50</v>
      </c>
      <c r="AH19" s="38" t="n">
        <v>50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56</v>
      </c>
      <c r="C20" s="35" t="n">
        <v>0</v>
      </c>
      <c r="D20" s="35" t="n">
        <v>0</v>
      </c>
      <c r="E20" s="35" t="n">
        <v>46.2</v>
      </c>
      <c r="F20" s="35" t="n">
        <v>18</v>
      </c>
      <c r="G20" s="35" t="n">
        <v>20</v>
      </c>
      <c r="H20" s="35" t="n">
        <v>0</v>
      </c>
      <c r="I20" s="35" t="n">
        <v>70.5</v>
      </c>
      <c r="J20" s="35" t="n">
        <v>0</v>
      </c>
      <c r="K20" s="35" t="n">
        <v>0</v>
      </c>
      <c r="L20" s="35" t="n">
        <v>542.9</v>
      </c>
      <c r="M20" s="35" t="n">
        <v>0</v>
      </c>
      <c r="N20" s="36">
        <f>SUM(B20:M20)</f>
        <v/>
      </c>
      <c r="O20" s="37" t="n">
        <v>0</v>
      </c>
      <c r="P20" s="37" t="n">
        <v>191.99</v>
      </c>
      <c r="Q20" s="37" t="n">
        <v>336</v>
      </c>
      <c r="R20" s="37" t="n">
        <v>0</v>
      </c>
      <c r="S20" s="37" t="n">
        <v>0</v>
      </c>
      <c r="T20" s="37" t="n">
        <v>24</v>
      </c>
      <c r="U20" s="37" t="n">
        <v>0</v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84.36</v>
      </c>
      <c r="C21" s="35" t="n">
        <v>530.3099999999999</v>
      </c>
      <c r="D21" s="35" t="n">
        <v>35.12</v>
      </c>
      <c r="E21" s="35" t="n">
        <v>69.5</v>
      </c>
      <c r="F21" s="35" t="n">
        <v>103.74</v>
      </c>
      <c r="G21" s="35" t="n">
        <v>23.19</v>
      </c>
      <c r="H21" s="35" t="n">
        <v>104.06</v>
      </c>
      <c r="I21" s="35" t="n">
        <v>211.05</v>
      </c>
      <c r="J21" s="35" t="n">
        <v>87.06</v>
      </c>
      <c r="K21" s="35" t="n">
        <v>323.12</v>
      </c>
      <c r="L21" s="35" t="n">
        <v>235.68</v>
      </c>
      <c r="M21" s="35" t="n">
        <v>142.07</v>
      </c>
      <c r="N21" s="36">
        <f>SUM(B21:M21)</f>
        <v/>
      </c>
      <c r="O21" s="37" t="n">
        <v>186.99</v>
      </c>
      <c r="P21" s="37" t="n">
        <v>196.28</v>
      </c>
      <c r="Q21" s="37" t="n">
        <v>26.69</v>
      </c>
      <c r="R21" s="37" t="n">
        <v>65</v>
      </c>
      <c r="S21" s="37" t="n">
        <v>48.38</v>
      </c>
      <c r="T21" s="37" t="n">
        <v>191.64</v>
      </c>
      <c r="U21" s="37" t="n">
        <v>231.86</v>
      </c>
      <c r="V21" s="38" t="n">
        <v>80</v>
      </c>
      <c r="W21" s="38" t="n">
        <v>80</v>
      </c>
      <c r="X21" s="38" t="n">
        <v>80</v>
      </c>
      <c r="Y21" s="38" t="n">
        <v>80</v>
      </c>
      <c r="Z21" s="38" t="n">
        <v>80</v>
      </c>
      <c r="AA21" s="36">
        <f>SUM(O21:U21)</f>
        <v/>
      </c>
      <c r="AB21" s="36">
        <f>SUM(O21:Z21)</f>
        <v/>
      </c>
      <c r="AC21" s="38" t="n">
        <v>80</v>
      </c>
      <c r="AD21" s="38" t="n">
        <v>80</v>
      </c>
      <c r="AE21" s="38" t="n">
        <v>80</v>
      </c>
      <c r="AF21" s="38" t="n">
        <v>80</v>
      </c>
      <c r="AG21" s="38" t="n">
        <v>80</v>
      </c>
      <c r="AH21" s="38" t="n">
        <v>80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SUMIF('KIN TB'!$R:$R,'KIN P&amp;L'!$A22,'KIN TB'!C:C)</f>
        <v/>
      </c>
      <c r="P22" s="37">
        <f>SUMIF('KIN TB'!$R:$R,'KIN P&amp;L'!$A22,'KIN TB'!D:D)</f>
        <v/>
      </c>
      <c r="Q22" s="37">
        <f>SUMIF('KIN TB'!$R:$R,'KIN P&amp;L'!$A22,'KIN TB'!E:E)</f>
        <v/>
      </c>
      <c r="R22" s="37">
        <f>SUMIF('KIN TB'!$R:$R,'KIN P&amp;L'!$A22,'KIN TB'!F:F)</f>
        <v/>
      </c>
      <c r="S22" s="37">
        <f>SUMIF('KIN TB'!$R:$R,'KIN P&amp;L'!$A22,'KIN TB'!G:G)</f>
        <v/>
      </c>
      <c r="T22" s="37">
        <f>SUMIF('KIN TB'!$R:$R,'KIN P&amp;L'!$A22,'KIN TB'!H:H)</f>
        <v/>
      </c>
      <c r="U22" s="37">
        <f>SUMIF('KIN TB'!$R:$R,'KIN P&amp;L'!$A22,'KIN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13.9</v>
      </c>
      <c r="I23" s="35" t="n">
        <v>55.46</v>
      </c>
      <c r="J23" s="35" t="n">
        <v>0</v>
      </c>
      <c r="K23" s="35" t="n">
        <v>0</v>
      </c>
      <c r="L23" s="35" t="n">
        <v>72.23999999999999</v>
      </c>
      <c r="M23" s="35" t="n">
        <v>0</v>
      </c>
      <c r="N23" s="36">
        <f>SUM(B23:M23)</f>
        <v/>
      </c>
      <c r="O23" s="37" t="n">
        <v>75.96000000000001</v>
      </c>
      <c r="P23" s="37" t="n">
        <v>51.55</v>
      </c>
      <c r="Q23" s="37" t="n">
        <v>37.88</v>
      </c>
      <c r="R23" s="37" t="n">
        <v>3.99</v>
      </c>
      <c r="S23" s="37" t="n">
        <v>0</v>
      </c>
      <c r="T23" s="37" t="n">
        <v>0</v>
      </c>
      <c r="U23" s="37" t="n">
        <v>82.06</v>
      </c>
      <c r="V23" s="38" t="n">
        <v>33</v>
      </c>
      <c r="W23" s="38" t="n">
        <v>33</v>
      </c>
      <c r="X23" s="38" t="n">
        <v>33</v>
      </c>
      <c r="Y23" s="38" t="n">
        <v>33</v>
      </c>
      <c r="Z23" s="38" t="n">
        <v>33</v>
      </c>
      <c r="AA23" s="36">
        <f>SUM(O23:U23)</f>
        <v/>
      </c>
      <c r="AB23" s="36">
        <f>SUM(O23:Z23)</f>
        <v/>
      </c>
      <c r="AC23" s="38" t="n">
        <v>33</v>
      </c>
      <c r="AD23" s="38" t="n">
        <v>33</v>
      </c>
      <c r="AE23" s="38" t="n">
        <v>33</v>
      </c>
      <c r="AF23" s="38" t="n">
        <v>33</v>
      </c>
      <c r="AG23" s="38" t="n">
        <v>33</v>
      </c>
      <c r="AH23" s="38" t="n">
        <v>33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1410.72</v>
      </c>
      <c r="K24" s="35" t="n">
        <v>483.23</v>
      </c>
      <c r="L24" s="35" t="n">
        <v>0</v>
      </c>
      <c r="M24" s="35" t="n">
        <v>0</v>
      </c>
      <c r="N24" s="36">
        <f>SUM(B24:M24)</f>
        <v/>
      </c>
      <c r="O24" s="37">
        <f>SUMIF('KIN TB'!$R:$R,'KIN P&amp;L'!$A24,'KIN TB'!C:C)</f>
        <v/>
      </c>
      <c r="P24" s="37">
        <f>SUMIF('KIN TB'!$R:$R,'KIN P&amp;L'!$A24,'KIN TB'!D:D)</f>
        <v/>
      </c>
      <c r="Q24" s="37">
        <f>SUMIF('KIN TB'!$R:$R,'KIN P&amp;L'!$A24,'KIN TB'!E:E)</f>
        <v/>
      </c>
      <c r="R24" s="37">
        <f>SUMIF('KIN TB'!$R:$R,'KIN P&amp;L'!$A24,'KIN TB'!F:F)</f>
        <v/>
      </c>
      <c r="S24" s="37">
        <f>SUMIF('KIN TB'!$R:$R,'KIN P&amp;L'!$A24,'KIN TB'!G:G)</f>
        <v/>
      </c>
      <c r="T24" s="37">
        <f>SUMIF('KIN TB'!$R:$R,'KIN P&amp;L'!$A24,'KIN TB'!H:H)</f>
        <v/>
      </c>
      <c r="U24" s="37">
        <f>SUMIF('KIN TB'!$R:$R,'KIN P&amp;L'!$A24,'KIN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15025</v>
      </c>
      <c r="C25" s="42" t="n">
        <v>18401.96</v>
      </c>
      <c r="D25" s="42" t="n">
        <v>17627.45</v>
      </c>
      <c r="E25" s="42" t="n">
        <v>17739.83</v>
      </c>
      <c r="F25" s="42" t="n">
        <v>18243.97</v>
      </c>
      <c r="G25" s="42" t="n">
        <v>18525.75</v>
      </c>
      <c r="H25" s="42" t="n">
        <v>18796.84</v>
      </c>
      <c r="I25" s="42" t="n">
        <v>17181.26</v>
      </c>
      <c r="J25" s="42" t="n">
        <v>19335.26</v>
      </c>
      <c r="K25" s="42" t="n">
        <v>18532.98</v>
      </c>
      <c r="L25" s="42" t="n">
        <v>18943.47</v>
      </c>
      <c r="M25" s="42" t="n">
        <v>16894.78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 t="n"/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871.84</v>
      </c>
      <c r="C27" s="35" t="n">
        <v>1119.88</v>
      </c>
      <c r="D27" s="35" t="n">
        <v>883.4</v>
      </c>
      <c r="E27" s="35" t="n">
        <v>772.98</v>
      </c>
      <c r="F27" s="35" t="n">
        <v>885.8099999999999</v>
      </c>
      <c r="G27" s="35" t="n">
        <v>1206.2</v>
      </c>
      <c r="H27" s="35" t="n">
        <v>1152.02</v>
      </c>
      <c r="I27" s="35" t="n">
        <v>1021.21</v>
      </c>
      <c r="J27" s="35" t="n">
        <v>906.02</v>
      </c>
      <c r="K27" s="35" t="n">
        <v>1197.66</v>
      </c>
      <c r="L27" s="35" t="n">
        <v>867.37</v>
      </c>
      <c r="M27" s="35" t="n">
        <v>895.21</v>
      </c>
      <c r="N27" s="36">
        <f>SUM(B27:M27)</f>
        <v/>
      </c>
      <c r="O27" s="37" t="n">
        <v>869.5599999999999</v>
      </c>
      <c r="P27" s="37" t="n">
        <v>1160.27</v>
      </c>
      <c r="Q27" s="37" t="n">
        <v>913.08</v>
      </c>
      <c r="R27" s="37" t="n">
        <v>1206.8</v>
      </c>
      <c r="S27" s="37" t="n">
        <v>1861.79</v>
      </c>
      <c r="T27" s="37" t="n">
        <v>1094.42</v>
      </c>
      <c r="U27" s="37" t="n">
        <v>1315.06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67.66</v>
      </c>
      <c r="C28" s="35" t="n">
        <v>15.5</v>
      </c>
      <c r="D28" s="35" t="n">
        <v>101.01</v>
      </c>
      <c r="E28" s="35" t="n">
        <v>148.99</v>
      </c>
      <c r="F28" s="35" t="n">
        <v>199.49</v>
      </c>
      <c r="G28" s="35" t="n">
        <v>26.91</v>
      </c>
      <c r="H28" s="35" t="n">
        <v>73.44</v>
      </c>
      <c r="I28" s="35" t="n">
        <v>738</v>
      </c>
      <c r="J28" s="35" t="n">
        <v>21.8</v>
      </c>
      <c r="K28" s="35" t="n">
        <v>28.47</v>
      </c>
      <c r="L28" s="35" t="n">
        <v>0</v>
      </c>
      <c r="M28" s="35" t="n">
        <v>113.69</v>
      </c>
      <c r="N28" s="36">
        <f>SUM(B28:M28)</f>
        <v/>
      </c>
      <c r="O28" s="37" t="n">
        <v>0</v>
      </c>
      <c r="P28" s="37" t="n">
        <v>260.81</v>
      </c>
      <c r="Q28" s="37" t="n">
        <v>38.98</v>
      </c>
      <c r="R28" s="37" t="n">
        <v>69.72999999999999</v>
      </c>
      <c r="S28" s="37" t="n">
        <v>77.25999999999999</v>
      </c>
      <c r="T28" s="37" t="n">
        <v>44.32</v>
      </c>
      <c r="U28" s="37" t="n">
        <v>57.69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124.79</v>
      </c>
      <c r="C29" s="35" t="n">
        <v>116.31</v>
      </c>
      <c r="D29" s="35" t="n">
        <v>123.91</v>
      </c>
      <c r="E29" s="35" t="n">
        <v>60.02</v>
      </c>
      <c r="F29" s="35" t="n">
        <v>69.12</v>
      </c>
      <c r="G29" s="35" t="n">
        <v>80.59</v>
      </c>
      <c r="H29" s="35" t="n">
        <v>17.78</v>
      </c>
      <c r="I29" s="35" t="n">
        <v>117.92</v>
      </c>
      <c r="J29" s="35" t="n">
        <v>19.37</v>
      </c>
      <c r="K29" s="35" t="n">
        <v>15.25</v>
      </c>
      <c r="L29" s="35" t="n">
        <v>168.9</v>
      </c>
      <c r="M29" s="35" t="n">
        <v>24.97</v>
      </c>
      <c r="N29" s="36">
        <f>SUM(B29:M29)</f>
        <v/>
      </c>
      <c r="O29" s="37" t="n">
        <v>94.07000000000001</v>
      </c>
      <c r="P29" s="37" t="n">
        <v>60.89</v>
      </c>
      <c r="Q29" s="37" t="n">
        <v>64.42999999999999</v>
      </c>
      <c r="R29" s="37" t="n">
        <v>32.94</v>
      </c>
      <c r="S29" s="37" t="n">
        <v>8.48</v>
      </c>
      <c r="T29" s="37" t="n">
        <v>333.48</v>
      </c>
      <c r="U29" s="37" t="n">
        <v>27.94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0.004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36.35</v>
      </c>
      <c r="C30" s="35" t="n">
        <v>28.59</v>
      </c>
      <c r="D30" s="35" t="n">
        <v>0</v>
      </c>
      <c r="E30" s="35" t="n">
        <v>16.15</v>
      </c>
      <c r="F30" s="35" t="n">
        <v>21.12</v>
      </c>
      <c r="G30" s="35" t="n">
        <v>0</v>
      </c>
      <c r="H30" s="35" t="n">
        <v>14.52</v>
      </c>
      <c r="I30" s="35" t="n">
        <v>18.44</v>
      </c>
      <c r="J30" s="35" t="n">
        <v>7.88</v>
      </c>
      <c r="K30" s="35" t="n">
        <v>0</v>
      </c>
      <c r="L30" s="35" t="n">
        <v>4.99</v>
      </c>
      <c r="M30" s="35" t="n">
        <v>57.13</v>
      </c>
      <c r="N30" s="36">
        <f>SUM(B30:M30)</f>
        <v/>
      </c>
      <c r="O30" s="37" t="n">
        <v>60.4</v>
      </c>
      <c r="P30" s="37" t="n">
        <v>7.69</v>
      </c>
      <c r="Q30" s="37" t="n">
        <v>0</v>
      </c>
      <c r="R30" s="37" t="n">
        <v>24.32</v>
      </c>
      <c r="S30" s="37" t="n">
        <v>0</v>
      </c>
      <c r="T30" s="37" t="n">
        <v>0</v>
      </c>
      <c r="U30" s="37" t="n">
        <v>0</v>
      </c>
      <c r="V30" s="38" t="n">
        <v>75</v>
      </c>
      <c r="W30" s="38" t="n">
        <v>75</v>
      </c>
      <c r="X30" s="38" t="n">
        <v>75</v>
      </c>
      <c r="Y30" s="38" t="n">
        <v>75</v>
      </c>
      <c r="Z30" s="38" t="n">
        <v>75</v>
      </c>
      <c r="AA30" s="36">
        <f>SUM(O30:U30)</f>
        <v/>
      </c>
      <c r="AB30" s="36">
        <f>SUM(O30:Z30)</f>
        <v/>
      </c>
      <c r="AC30" s="38" t="n">
        <v>75</v>
      </c>
      <c r="AD30" s="38" t="n">
        <v>75</v>
      </c>
      <c r="AE30" s="38" t="n">
        <v>75</v>
      </c>
      <c r="AF30" s="38" t="n">
        <v>75</v>
      </c>
      <c r="AG30" s="38" t="n">
        <v>75</v>
      </c>
      <c r="AH30" s="38" t="n">
        <v>75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37.02</v>
      </c>
      <c r="C31" s="35" t="n">
        <v>112.99</v>
      </c>
      <c r="D31" s="35" t="n">
        <v>13.99</v>
      </c>
      <c r="E31" s="35" t="n">
        <v>53.88</v>
      </c>
      <c r="F31" s="35" t="n">
        <v>650.1800000000001</v>
      </c>
      <c r="G31" s="35" t="n">
        <v>57.55</v>
      </c>
      <c r="H31" s="35" t="n">
        <v>14.48</v>
      </c>
      <c r="I31" s="35" t="n">
        <v>16</v>
      </c>
      <c r="J31" s="35" t="n">
        <v>121.89</v>
      </c>
      <c r="K31" s="35" t="n">
        <v>116.71</v>
      </c>
      <c r="L31" s="35" t="n">
        <v>84.96000000000001</v>
      </c>
      <c r="M31" s="35" t="n">
        <v>51.93</v>
      </c>
      <c r="N31" s="36">
        <f>SUM(B31:M31)</f>
        <v/>
      </c>
      <c r="O31" s="37" t="n">
        <v>40.43</v>
      </c>
      <c r="P31" s="37" t="n">
        <v>0</v>
      </c>
      <c r="Q31" s="37" t="n">
        <v>0</v>
      </c>
      <c r="R31" s="37" t="n">
        <v>171.31</v>
      </c>
      <c r="S31" s="37" t="n">
        <v>0</v>
      </c>
      <c r="T31" s="37" t="n">
        <v>54.31</v>
      </c>
      <c r="U31" s="37" t="n">
        <v>78.27000000000001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135.4</v>
      </c>
      <c r="C32" s="35" t="n">
        <v>97.50999999999999</v>
      </c>
      <c r="D32" s="35" t="n">
        <v>105.56</v>
      </c>
      <c r="E32" s="35" t="n">
        <v>101.9</v>
      </c>
      <c r="F32" s="35" t="n">
        <v>34.62</v>
      </c>
      <c r="G32" s="35" t="n">
        <v>0</v>
      </c>
      <c r="H32" s="35" t="n">
        <v>159.02</v>
      </c>
      <c r="I32" s="35" t="n">
        <v>147.67</v>
      </c>
      <c r="J32" s="35" t="n">
        <v>116.18</v>
      </c>
      <c r="K32" s="35" t="n">
        <v>77.15000000000001</v>
      </c>
      <c r="L32" s="35" t="n">
        <v>76.42</v>
      </c>
      <c r="M32" s="35" t="n">
        <v>23.18</v>
      </c>
      <c r="N32" s="36">
        <f>SUM(B32:M32)</f>
        <v/>
      </c>
      <c r="O32" s="37" t="n">
        <v>77.58</v>
      </c>
      <c r="P32" s="37" t="n">
        <v>87.23</v>
      </c>
      <c r="Q32" s="37" t="n">
        <v>115.59</v>
      </c>
      <c r="R32" s="37" t="n">
        <v>129.41</v>
      </c>
      <c r="S32" s="37" t="n">
        <v>308.1199999999999</v>
      </c>
      <c r="T32" s="37" t="n">
        <v>279.57</v>
      </c>
      <c r="U32" s="37" t="n">
        <v>251.68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0.006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SUMIF('KIN TB'!$R:$R,'KIN P&amp;L'!$A33,'KIN TB'!C:C)</f>
        <v/>
      </c>
      <c r="P33" s="37">
        <f>SUMIF('KIN TB'!$R:$R,'KIN P&amp;L'!$A33,'KIN TB'!D:D)</f>
        <v/>
      </c>
      <c r="Q33" s="37">
        <f>SUMIF('KIN TB'!$R:$R,'KIN P&amp;L'!$A33,'KIN TB'!E:E)</f>
        <v/>
      </c>
      <c r="R33" s="37">
        <f>SUMIF('KIN TB'!$R:$R,'KIN P&amp;L'!$A33,'KIN TB'!F:F)</f>
        <v/>
      </c>
      <c r="S33" s="37">
        <f>SUMIF('KIN TB'!$R:$R,'KIN P&amp;L'!$A33,'KIN TB'!G:G)</f>
        <v/>
      </c>
      <c r="T33" s="37">
        <f>SUMIF('KIN TB'!$R:$R,'KIN P&amp;L'!$A33,'KIN TB'!H:H)</f>
        <v/>
      </c>
      <c r="U33" s="37">
        <f>SUMIF('KIN TB'!$R:$R,'KIN P&amp;L'!$A33,'KIN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1273.06</v>
      </c>
      <c r="C34" s="42" t="n">
        <v>1490.78</v>
      </c>
      <c r="D34" s="42" t="n">
        <v>1227.87</v>
      </c>
      <c r="E34" s="42" t="n">
        <v>1153.92</v>
      </c>
      <c r="F34" s="42" t="n">
        <v>1860.34</v>
      </c>
      <c r="G34" s="42" t="n">
        <v>1371.25</v>
      </c>
      <c r="H34" s="42" t="n">
        <v>1431.26</v>
      </c>
      <c r="I34" s="42" t="n">
        <v>2059.24</v>
      </c>
      <c r="J34" s="42" t="n">
        <v>1193.14</v>
      </c>
      <c r="K34" s="42" t="n">
        <v>1435.24</v>
      </c>
      <c r="L34" s="42" t="n">
        <v>1202.64</v>
      </c>
      <c r="M34" s="42" t="n">
        <v>1166.11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SUMIF('KIN TB'!$R:$R,'KIN P&amp;L'!$A36,'KIN TB'!C:C)</f>
        <v/>
      </c>
      <c r="P36" s="37">
        <f>SUMIF('KIN TB'!$R:$R,'KIN P&amp;L'!$A36,'KIN TB'!D:D)</f>
        <v/>
      </c>
      <c r="Q36" s="37">
        <f>SUMIF('KIN TB'!$R:$R,'KIN P&amp;L'!$A36,'KIN TB'!E:E)</f>
        <v/>
      </c>
      <c r="R36" s="37">
        <f>SUMIF('KIN TB'!$R:$R,'KIN P&amp;L'!$A36,'KIN TB'!F:F)</f>
        <v/>
      </c>
      <c r="S36" s="37">
        <f>SUMIF('KIN TB'!$R:$R,'KIN P&amp;L'!$A36,'KIN TB'!G:G)</f>
        <v/>
      </c>
      <c r="T36" s="37">
        <f>SUMIF('KIN TB'!$R:$R,'KIN P&amp;L'!$A36,'KIN TB'!H:H)</f>
        <v/>
      </c>
      <c r="U36" s="37">
        <f>SUMIF('KIN TB'!$R:$R,'KIN P&amp;L'!$A36,'KIN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758.9</v>
      </c>
      <c r="C37" s="35" t="n">
        <v>758.9</v>
      </c>
      <c r="D37" s="35" t="n">
        <v>758.9</v>
      </c>
      <c r="E37" s="35" t="n">
        <v>758.9</v>
      </c>
      <c r="F37" s="35" t="n">
        <v>758.9</v>
      </c>
      <c r="G37" s="35" t="n">
        <v>758.9</v>
      </c>
      <c r="H37" s="35" t="n">
        <v>758.9</v>
      </c>
      <c r="I37" s="35" t="n">
        <v>758.9</v>
      </c>
      <c r="J37" s="35" t="n">
        <v>758.9</v>
      </c>
      <c r="K37" s="35" t="n">
        <v>758.9</v>
      </c>
      <c r="L37" s="35" t="n">
        <v>758.9</v>
      </c>
      <c r="M37" s="35" t="n">
        <v>758.9</v>
      </c>
      <c r="N37" s="36">
        <f>SUM(B37:M37)</f>
        <v/>
      </c>
      <c r="O37" s="37" t="n">
        <v>758.89</v>
      </c>
      <c r="P37" s="37" t="n">
        <v>758.88</v>
      </c>
      <c r="Q37" s="37" t="n">
        <v>758.88</v>
      </c>
      <c r="R37" s="37" t="n">
        <v>681.42</v>
      </c>
      <c r="S37" s="37" t="n">
        <v>681.42</v>
      </c>
      <c r="T37" s="37" t="n">
        <v>681.42</v>
      </c>
      <c r="U37" s="37" t="n">
        <v>681.42</v>
      </c>
      <c r="V37" s="38" t="n">
        <v>682</v>
      </c>
      <c r="W37" s="38" t="n">
        <v>682</v>
      </c>
      <c r="X37" s="38" t="n">
        <v>682</v>
      </c>
      <c r="Y37" s="38" t="n">
        <v>682</v>
      </c>
      <c r="Z37" s="38" t="n">
        <v>682</v>
      </c>
      <c r="AA37" s="36">
        <f>SUM(O37:U37)</f>
        <v/>
      </c>
      <c r="AB37" s="36">
        <f>SUM(O37:Z37)</f>
        <v/>
      </c>
      <c r="AC37" s="38" t="n">
        <v>682</v>
      </c>
      <c r="AD37" s="38" t="n">
        <v>682</v>
      </c>
      <c r="AE37" s="38" t="n">
        <v>682</v>
      </c>
      <c r="AF37" s="38" t="n">
        <v>682</v>
      </c>
      <c r="AG37" s="38" t="n">
        <v>682</v>
      </c>
      <c r="AH37" s="38" t="n">
        <v>682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872.46</v>
      </c>
      <c r="C38" s="35" t="n">
        <v>507.52</v>
      </c>
      <c r="D38" s="35" t="n">
        <v>466.58</v>
      </c>
      <c r="E38" s="35" t="n">
        <v>2967.25</v>
      </c>
      <c r="F38" s="35" t="n">
        <v>84.62</v>
      </c>
      <c r="G38" s="35" t="n">
        <v>279.5</v>
      </c>
      <c r="H38" s="35" t="n">
        <v>221.45</v>
      </c>
      <c r="I38" s="35" t="n">
        <v>960.99</v>
      </c>
      <c r="J38" s="35" t="n">
        <v>501.45</v>
      </c>
      <c r="K38" s="35" t="n">
        <v>437.86</v>
      </c>
      <c r="L38" s="35" t="n">
        <v>626.24</v>
      </c>
      <c r="M38" s="35" t="n">
        <v>739.01</v>
      </c>
      <c r="N38" s="36">
        <f>SUM(B38:M38)</f>
        <v/>
      </c>
      <c r="O38" s="37" t="n">
        <v>781.29</v>
      </c>
      <c r="P38" s="37" t="n">
        <v>896.36</v>
      </c>
      <c r="Q38" s="37" t="n">
        <v>481.44</v>
      </c>
      <c r="R38" s="37" t="n">
        <v>822.63</v>
      </c>
      <c r="S38" s="37" t="n">
        <v>608.29</v>
      </c>
      <c r="T38" s="37" t="n">
        <v>359.85</v>
      </c>
      <c r="U38" s="37" t="n">
        <v>564.25</v>
      </c>
      <c r="V38" s="38" t="n">
        <v>755</v>
      </c>
      <c r="W38" s="38" t="n">
        <v>755</v>
      </c>
      <c r="X38" s="38" t="n">
        <v>755</v>
      </c>
      <c r="Y38" s="38" t="n">
        <v>755</v>
      </c>
      <c r="Z38" s="38" t="n">
        <v>755</v>
      </c>
      <c r="AA38" s="36">
        <f>SUM(O38:U38)</f>
        <v/>
      </c>
      <c r="AB38" s="36">
        <f>SUM(O38:Z38)</f>
        <v/>
      </c>
      <c r="AC38" s="38" t="n">
        <v>755</v>
      </c>
      <c r="AD38" s="38" t="n">
        <v>755</v>
      </c>
      <c r="AE38" s="38" t="n">
        <v>755</v>
      </c>
      <c r="AF38" s="38" t="n">
        <v>755</v>
      </c>
      <c r="AG38" s="38" t="n">
        <v>755</v>
      </c>
      <c r="AH38" s="38" t="n">
        <v>755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387.14</v>
      </c>
      <c r="C39" s="35" t="n">
        <v>108.38</v>
      </c>
      <c r="D39" s="35" t="n">
        <v>277.96</v>
      </c>
      <c r="E39" s="35" t="n">
        <v>372.75</v>
      </c>
      <c r="F39" s="35" t="n">
        <v>389.89</v>
      </c>
      <c r="G39" s="35" t="n">
        <v>0</v>
      </c>
      <c r="H39" s="35" t="n">
        <v>421.2</v>
      </c>
      <c r="I39" s="35" t="n">
        <v>252</v>
      </c>
      <c r="J39" s="35" t="n">
        <v>69.92</v>
      </c>
      <c r="K39" s="35" t="n">
        <v>0</v>
      </c>
      <c r="L39" s="35" t="n">
        <v>147.46</v>
      </c>
      <c r="M39" s="35" t="n">
        <v>108</v>
      </c>
      <c r="N39" s="36">
        <f>SUM(B39:M39)</f>
        <v/>
      </c>
      <c r="O39" s="37" t="n">
        <v>0</v>
      </c>
      <c r="P39" s="37" t="n">
        <v>0</v>
      </c>
      <c r="Q39" s="37" t="n">
        <v>33.29</v>
      </c>
      <c r="R39" s="37" t="n">
        <v>0</v>
      </c>
      <c r="S39" s="37" t="n">
        <v>0</v>
      </c>
      <c r="T39" s="37" t="n">
        <v>0</v>
      </c>
      <c r="U39" s="37" t="n">
        <v>108</v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165.33</v>
      </c>
      <c r="C40" s="35" t="n">
        <v>90.19</v>
      </c>
      <c r="D40" s="35" t="n">
        <v>168.34</v>
      </c>
      <c r="E40" s="35" t="n">
        <v>290</v>
      </c>
      <c r="F40" s="35" t="n">
        <v>234.76</v>
      </c>
      <c r="G40" s="35" t="n">
        <v>142.75</v>
      </c>
      <c r="H40" s="35" t="n">
        <v>227.02</v>
      </c>
      <c r="I40" s="35" t="n">
        <v>220.38</v>
      </c>
      <c r="J40" s="35" t="n">
        <v>109.95</v>
      </c>
      <c r="K40" s="35" t="n">
        <v>206.87</v>
      </c>
      <c r="L40" s="35" t="n">
        <v>200.81</v>
      </c>
      <c r="M40" s="35" t="n">
        <v>0</v>
      </c>
      <c r="N40" s="36">
        <f>SUM(B40:M40)</f>
        <v/>
      </c>
      <c r="O40" s="37" t="n">
        <v>247.78</v>
      </c>
      <c r="P40" s="37" t="n">
        <v>16.8</v>
      </c>
      <c r="Q40" s="37" t="n">
        <v>358.17</v>
      </c>
      <c r="R40" s="37" t="n">
        <v>7.4</v>
      </c>
      <c r="S40" s="37" t="n">
        <v>129.71</v>
      </c>
      <c r="T40" s="37" t="n">
        <v>284.27</v>
      </c>
      <c r="U40" s="37" t="n">
        <v>326.1899999999999</v>
      </c>
      <c r="V40" s="38" t="n">
        <v>185</v>
      </c>
      <c r="W40" s="38" t="n">
        <v>185</v>
      </c>
      <c r="X40" s="38" t="n">
        <v>185</v>
      </c>
      <c r="Y40" s="38" t="n">
        <v>185</v>
      </c>
      <c r="Z40" s="38" t="n">
        <v>185</v>
      </c>
      <c r="AA40" s="36">
        <f>SUM(O40:U40)</f>
        <v/>
      </c>
      <c r="AB40" s="36">
        <f>SUM(O40:Z40)</f>
        <v/>
      </c>
      <c r="AC40" s="38" t="n">
        <v>185</v>
      </c>
      <c r="AD40" s="38" t="n">
        <v>185</v>
      </c>
      <c r="AE40" s="38" t="n">
        <v>185</v>
      </c>
      <c r="AF40" s="38" t="n">
        <v>185</v>
      </c>
      <c r="AG40" s="38" t="n">
        <v>185</v>
      </c>
      <c r="AH40" s="38" t="n">
        <v>185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403.55</v>
      </c>
      <c r="C41" s="35" t="n">
        <v>655.55</v>
      </c>
      <c r="D41" s="35" t="n">
        <v>533.88</v>
      </c>
      <c r="E41" s="35" t="n">
        <v>385.87</v>
      </c>
      <c r="F41" s="35" t="n">
        <v>337.46</v>
      </c>
      <c r="G41" s="35" t="n">
        <v>361.96</v>
      </c>
      <c r="H41" s="35" t="n">
        <v>308.55</v>
      </c>
      <c r="I41" s="35" t="n">
        <v>322.85</v>
      </c>
      <c r="J41" s="35" t="n">
        <v>483.96</v>
      </c>
      <c r="K41" s="35" t="n">
        <v>430.55</v>
      </c>
      <c r="L41" s="35" t="n">
        <v>322.85</v>
      </c>
      <c r="M41" s="35" t="n">
        <v>376.2599999999999</v>
      </c>
      <c r="N41" s="36">
        <f>SUM(B41:M41)</f>
        <v/>
      </c>
      <c r="O41" s="37" t="n">
        <v>340.84</v>
      </c>
      <c r="P41" s="37" t="n">
        <v>332.16</v>
      </c>
      <c r="Q41" s="37" t="n">
        <v>385.56</v>
      </c>
      <c r="R41" s="37" t="n">
        <v>440.2</v>
      </c>
      <c r="S41" s="37" t="n">
        <v>359.16</v>
      </c>
      <c r="T41" s="37" t="n">
        <v>250.5</v>
      </c>
      <c r="U41" s="37" t="n">
        <v>428.86</v>
      </c>
      <c r="V41" s="38" t="n">
        <v>422</v>
      </c>
      <c r="W41" s="38" t="n">
        <v>422</v>
      </c>
      <c r="X41" s="38" t="n">
        <v>422</v>
      </c>
      <c r="Y41" s="38" t="n">
        <v>422</v>
      </c>
      <c r="Z41" s="38" t="n">
        <v>422</v>
      </c>
      <c r="AA41" s="36">
        <f>SUM(O41:U41)</f>
        <v/>
      </c>
      <c r="AB41" s="36">
        <f>SUM(O41:Z41)</f>
        <v/>
      </c>
      <c r="AC41" s="38" t="n">
        <v>422</v>
      </c>
      <c r="AD41" s="38" t="n">
        <v>422</v>
      </c>
      <c r="AE41" s="38" t="n">
        <v>422</v>
      </c>
      <c r="AF41" s="38" t="n">
        <v>422</v>
      </c>
      <c r="AG41" s="38" t="n">
        <v>422</v>
      </c>
      <c r="AH41" s="38" t="n">
        <v>422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43.45</v>
      </c>
      <c r="C42" s="35" t="n">
        <v>71.89999999999999</v>
      </c>
      <c r="D42" s="35" t="n">
        <v>34.49</v>
      </c>
      <c r="E42" s="35" t="n">
        <v>38.27</v>
      </c>
      <c r="F42" s="35" t="n">
        <v>56.39</v>
      </c>
      <c r="G42" s="35" t="n">
        <v>29.28</v>
      </c>
      <c r="H42" s="35" t="n">
        <v>17.79</v>
      </c>
      <c r="I42" s="35" t="n">
        <v>23.77</v>
      </c>
      <c r="J42" s="35" t="n">
        <v>49.73</v>
      </c>
      <c r="K42" s="35" t="n">
        <v>24.86</v>
      </c>
      <c r="L42" s="35" t="n">
        <v>23.78</v>
      </c>
      <c r="M42" s="35" t="n">
        <v>25.28</v>
      </c>
      <c r="N42" s="36">
        <f>SUM(B42:M42)</f>
        <v/>
      </c>
      <c r="O42" s="37" t="n">
        <v>57.89</v>
      </c>
      <c r="P42" s="37" t="n">
        <v>24.87</v>
      </c>
      <c r="Q42" s="37" t="n">
        <v>24.88</v>
      </c>
      <c r="R42" s="37" t="n">
        <v>25.12</v>
      </c>
      <c r="S42" s="37" t="n">
        <v>37.12</v>
      </c>
      <c r="T42" s="37" t="n">
        <v>63.19</v>
      </c>
      <c r="U42" s="37" t="n">
        <v>39.28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0</v>
      </c>
      <c r="Q43" s="37" t="n">
        <v>72</v>
      </c>
      <c r="R43" s="37" t="n">
        <v>24</v>
      </c>
      <c r="S43" s="37" t="n">
        <v>0</v>
      </c>
      <c r="T43" s="37" t="n">
        <v>0</v>
      </c>
      <c r="U43" s="37" t="n">
        <v>0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SUMIF('KIN TB'!$R:$R,'KIN P&amp;L'!$A44,'KIN TB'!C:C)</f>
        <v/>
      </c>
      <c r="P44" s="37">
        <f>SUMIF('KIN TB'!$R:$R,'KIN P&amp;L'!$A44,'KIN TB'!D:D)</f>
        <v/>
      </c>
      <c r="Q44" s="37">
        <f>SUMIF('KIN TB'!$R:$R,'KIN P&amp;L'!$A44,'KIN TB'!E:E)</f>
        <v/>
      </c>
      <c r="R44" s="37">
        <f>SUMIF('KIN TB'!$R:$R,'KIN P&amp;L'!$A44,'KIN TB'!F:F)</f>
        <v/>
      </c>
      <c r="S44" s="37">
        <f>SUMIF('KIN TB'!$R:$R,'KIN P&amp;L'!$A44,'KIN TB'!G:G)</f>
        <v/>
      </c>
      <c r="T44" s="37">
        <f>SUMIF('KIN TB'!$R:$R,'KIN P&amp;L'!$A44,'KIN TB'!H:H)</f>
        <v/>
      </c>
      <c r="U44" s="37">
        <f>SUMIF('KIN TB'!$R:$R,'KIN P&amp;L'!$A44,'KIN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7.99</v>
      </c>
      <c r="C45" s="35" t="n">
        <v>0</v>
      </c>
      <c r="D45" s="35" t="n">
        <v>143.21</v>
      </c>
      <c r="E45" s="35" t="n">
        <v>0</v>
      </c>
      <c r="F45" s="35" t="n">
        <v>0</v>
      </c>
      <c r="G45" s="35" t="n">
        <v>265</v>
      </c>
      <c r="H45" s="35" t="n">
        <v>0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48</v>
      </c>
      <c r="P45" s="37" t="n">
        <v>0</v>
      </c>
      <c r="Q45" s="37" t="n">
        <v>0</v>
      </c>
      <c r="R45" s="37" t="n">
        <v>48</v>
      </c>
      <c r="S45" s="37" t="n">
        <v>0</v>
      </c>
      <c r="T45" s="37" t="n">
        <v>220</v>
      </c>
      <c r="U45" s="37" t="n">
        <v>0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SUMIF('KIN TB'!$R:$R,'KIN P&amp;L'!$A46,'KIN TB'!C:C)</f>
        <v/>
      </c>
      <c r="P46" s="37">
        <f>SUMIF('KIN TB'!$R:$R,'KIN P&amp;L'!$A46,'KIN TB'!D:D)</f>
        <v/>
      </c>
      <c r="Q46" s="37">
        <f>SUMIF('KIN TB'!$R:$R,'KIN P&amp;L'!$A46,'KIN TB'!E:E)</f>
        <v/>
      </c>
      <c r="R46" s="37">
        <f>SUMIF('KIN TB'!$R:$R,'KIN P&amp;L'!$A46,'KIN TB'!F:F)</f>
        <v/>
      </c>
      <c r="S46" s="37">
        <f>SUMIF('KIN TB'!$R:$R,'KIN P&amp;L'!$A46,'KIN TB'!G:G)</f>
        <v/>
      </c>
      <c r="T46" s="37">
        <f>SUMIF('KIN TB'!$R:$R,'KIN P&amp;L'!$A46,'KIN TB'!H:H)</f>
        <v/>
      </c>
      <c r="U46" s="37">
        <f>SUMIF('KIN TB'!$R:$R,'KIN P&amp;L'!$A46,'KIN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2638.82</v>
      </c>
      <c r="C47" s="42" t="n">
        <v>2192.44</v>
      </c>
      <c r="D47" s="42" t="n">
        <v>2383.36</v>
      </c>
      <c r="E47" s="42" t="n">
        <v>4813.04</v>
      </c>
      <c r="F47" s="42" t="n">
        <v>1862.02</v>
      </c>
      <c r="G47" s="42" t="n">
        <v>1837.39</v>
      </c>
      <c r="H47" s="42" t="n">
        <v>1954.91</v>
      </c>
      <c r="I47" s="42" t="n">
        <v>2583.89</v>
      </c>
      <c r="J47" s="42" t="n">
        <v>1973.91</v>
      </c>
      <c r="K47" s="42" t="n">
        <v>1859.04</v>
      </c>
      <c r="L47" s="42" t="n">
        <v>2080.04</v>
      </c>
      <c r="M47" s="42" t="n">
        <v>2007.45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18936.88</v>
      </c>
      <c r="C48" s="23" t="n">
        <v>22085.18</v>
      </c>
      <c r="D48" s="23" t="n">
        <v>21238.68</v>
      </c>
      <c r="E48" s="23" t="n">
        <v>23706.79</v>
      </c>
      <c r="F48" s="23" t="n">
        <v>21966.33</v>
      </c>
      <c r="G48" s="23" t="n">
        <v>21734.39</v>
      </c>
      <c r="H48" s="23" t="n">
        <v>22183.01</v>
      </c>
      <c r="I48" s="23" t="n">
        <v>21824.39</v>
      </c>
      <c r="J48" s="23" t="n">
        <v>22502.31</v>
      </c>
      <c r="K48" s="23" t="n">
        <v>21827.26</v>
      </c>
      <c r="L48" s="23" t="n">
        <v>22226.15000000001</v>
      </c>
      <c r="M48" s="23" t="n">
        <v>20068.34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10423.18</v>
      </c>
      <c r="C50" s="55" t="n">
        <v>4759.940000000002</v>
      </c>
      <c r="D50" s="55" t="n">
        <v>9242.059999999998</v>
      </c>
      <c r="E50" s="55" t="n">
        <v>10527.52</v>
      </c>
      <c r="F50" s="55" t="n">
        <v>9786.009999999998</v>
      </c>
      <c r="G50" s="55" t="n">
        <v>11963.71</v>
      </c>
      <c r="H50" s="55" t="n">
        <v>28732.39999999999</v>
      </c>
      <c r="I50" s="55" t="n">
        <v>9445.139999999999</v>
      </c>
      <c r="J50" s="55" t="n">
        <v>3773.810000000001</v>
      </c>
      <c r="K50" s="55" t="n">
        <v>4362.52</v>
      </c>
      <c r="L50" s="55" t="n">
        <v>12109.82999999999</v>
      </c>
      <c r="M50" s="55" t="n">
        <v>21031.25999999999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SUMIF('KIN TB'!$R:$R,'KIN P&amp;L'!$A53,'KIN TB'!C:C)</f>
        <v/>
      </c>
      <c r="P53" s="37">
        <f>SUMIF('KIN TB'!$R:$R,'KIN P&amp;L'!$A53,'KIN TB'!D:D)</f>
        <v/>
      </c>
      <c r="Q53" s="37">
        <f>SUMIF('KIN TB'!$R:$R,'KIN P&amp;L'!$A53,'KIN TB'!E:E)</f>
        <v/>
      </c>
      <c r="R53" s="37">
        <f>SUMIF('KIN TB'!$R:$R,'KIN P&amp;L'!$A53,'KIN TB'!F:F)</f>
        <v/>
      </c>
      <c r="S53" s="37">
        <f>SUMIF('KIN TB'!$R:$R,'KIN P&amp;L'!$A53,'KIN TB'!G:G)</f>
        <v/>
      </c>
      <c r="T53" s="37">
        <f>SUMIF('KIN TB'!$R:$R,'KIN P&amp;L'!$A53,'KIN TB'!H:H)</f>
        <v/>
      </c>
      <c r="U53" s="37">
        <f>SUMIF('KIN TB'!$R:$R,'KIN P&amp;L'!$A53,'KIN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SUMIF('KIN TB'!$R:$R,'KIN P&amp;L'!$A54,'KIN TB'!C:C)</f>
        <v/>
      </c>
      <c r="P54" s="37">
        <f>SUMIF('KIN TB'!$R:$R,'KIN P&amp;L'!$A54,'KIN TB'!D:D)</f>
        <v/>
      </c>
      <c r="Q54" s="37">
        <f>SUMIF('KIN TB'!$R:$R,'KIN P&amp;L'!$A54,'KIN TB'!E:E)</f>
        <v/>
      </c>
      <c r="R54" s="37">
        <f>SUMIF('KIN TB'!$R:$R,'KIN P&amp;L'!$A54,'KIN TB'!F:F)</f>
        <v/>
      </c>
      <c r="S54" s="37">
        <f>SUMIF('KIN TB'!$R:$R,'KIN P&amp;L'!$A54,'KIN TB'!G:G)</f>
        <v/>
      </c>
      <c r="T54" s="37">
        <f>SUMIF('KIN TB'!$R:$R,'KIN P&amp;L'!$A54,'KIN TB'!H:H)</f>
        <v/>
      </c>
      <c r="U54" s="37">
        <f>SUMIF('KIN TB'!$R:$R,'KIN P&amp;L'!$A54,'KIN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SUMIF('KIN TB'!$R:$R,'KIN P&amp;L'!$A55,'KIN TB'!C:C)</f>
        <v/>
      </c>
      <c r="P55" s="37">
        <f>SUMIF('KIN TB'!$R:$R,'KIN P&amp;L'!$A55,'KIN TB'!D:D)</f>
        <v/>
      </c>
      <c r="Q55" s="37">
        <f>SUMIF('KIN TB'!$R:$R,'KIN P&amp;L'!$A55,'KIN TB'!E:E)</f>
        <v/>
      </c>
      <c r="R55" s="37">
        <f>SUMIF('KIN TB'!$R:$R,'KIN P&amp;L'!$A55,'KIN TB'!F:F)</f>
        <v/>
      </c>
      <c r="S55" s="37">
        <f>SUMIF('KIN TB'!$R:$R,'KIN P&amp;L'!$A55,'KIN TB'!G:G)</f>
        <v/>
      </c>
      <c r="T55" s="37">
        <f>SUMIF('KIN TB'!$R:$R,'KIN P&amp;L'!$A55,'KIN TB'!H:H)</f>
        <v/>
      </c>
      <c r="U55" s="37">
        <f>SUMIF('KIN TB'!$R:$R,'KIN P&amp;L'!$A55,'KIN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SUMIF('KIN TB'!$R:$R,'KIN P&amp;L'!$A56,'KIN TB'!C:C)</f>
        <v/>
      </c>
      <c r="P56" s="37">
        <f>SUMIF('KIN TB'!$R:$R,'KIN P&amp;L'!$A56,'KIN TB'!D:D)</f>
        <v/>
      </c>
      <c r="Q56" s="37">
        <f>SUMIF('KIN TB'!$R:$R,'KIN P&amp;L'!$A56,'KIN TB'!E:E)</f>
        <v/>
      </c>
      <c r="R56" s="37">
        <f>SUMIF('KIN TB'!$R:$R,'KIN P&amp;L'!$A56,'KIN TB'!F:F)</f>
        <v/>
      </c>
      <c r="S56" s="37">
        <f>SUMIF('KIN TB'!$R:$R,'KIN P&amp;L'!$A56,'KIN TB'!G:G)</f>
        <v/>
      </c>
      <c r="T56" s="37">
        <f>SUMIF('KIN TB'!$R:$R,'KIN P&amp;L'!$A56,'KIN TB'!H:H)</f>
        <v/>
      </c>
      <c r="U56" s="37">
        <f>SUMIF('KIN TB'!$R:$R,'KIN P&amp;L'!$A56,'KIN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270</v>
      </c>
      <c r="M57" s="35" t="n">
        <v>0</v>
      </c>
      <c r="N57" s="36">
        <f>SUM(B57:M57)</f>
        <v/>
      </c>
      <c r="O57" s="37">
        <f>SUMIF('KIN TB'!$R:$R,'KIN P&amp;L'!$A57,'KIN TB'!C:C)</f>
        <v/>
      </c>
      <c r="P57" s="37">
        <f>SUMIF('KIN TB'!$R:$R,'KIN P&amp;L'!$A57,'KIN TB'!D:D)</f>
        <v/>
      </c>
      <c r="Q57" s="37">
        <f>SUMIF('KIN TB'!$R:$R,'KIN P&amp;L'!$A57,'KIN TB'!E:E)</f>
        <v/>
      </c>
      <c r="R57" s="37">
        <f>SUMIF('KIN TB'!$R:$R,'KIN P&amp;L'!$A57,'KIN TB'!F:F)</f>
        <v/>
      </c>
      <c r="S57" s="37">
        <f>SUMIF('KIN TB'!$R:$R,'KIN P&amp;L'!$A57,'KIN TB'!G:G)</f>
        <v/>
      </c>
      <c r="T57" s="37">
        <f>SUMIF('KIN TB'!$R:$R,'KIN P&amp;L'!$A57,'KIN TB'!H:H)</f>
        <v/>
      </c>
      <c r="U57" s="37">
        <f>SUMIF('KIN TB'!$R:$R,'KIN P&amp;L'!$A57,'KIN TB'!I:I)</f>
        <v/>
      </c>
      <c r="V57" s="38" t="n"/>
      <c r="W57" s="38" t="n"/>
      <c r="X57" s="38" t="n"/>
      <c r="Y57" s="38" t="n"/>
      <c r="Z57" s="38">
        <f>8*30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SUMIF('KIN TB'!$R:$R,'KIN P&amp;L'!$A58,'KIN TB'!C:C)</f>
        <v/>
      </c>
      <c r="P58" s="37">
        <f>SUMIF('KIN TB'!$R:$R,'KIN P&amp;L'!$A58,'KIN TB'!D:D)</f>
        <v/>
      </c>
      <c r="Q58" s="37">
        <f>SUMIF('KIN TB'!$R:$R,'KIN P&amp;L'!$A58,'KIN TB'!E:E)</f>
        <v/>
      </c>
      <c r="R58" s="37">
        <f>SUMIF('KIN TB'!$R:$R,'KIN P&amp;L'!$A58,'KIN TB'!F:F)</f>
        <v/>
      </c>
      <c r="S58" s="37">
        <f>SUMIF('KIN TB'!$R:$R,'KIN P&amp;L'!$A58,'KIN TB'!G:G)</f>
        <v/>
      </c>
      <c r="T58" s="37">
        <f>SUMIF('KIN TB'!$R:$R,'KIN P&amp;L'!$A58,'KIN TB'!H:H)</f>
        <v/>
      </c>
      <c r="U58" s="37">
        <f>SUMIF('KIN TB'!$R:$R,'KIN P&amp;L'!$A58,'KIN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890.4000000000001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1.8</v>
      </c>
      <c r="C60" s="35" t="n">
        <v>0.6</v>
      </c>
      <c r="D60" s="35" t="n">
        <v>3.6</v>
      </c>
      <c r="E60" s="35" t="n">
        <v>0.6</v>
      </c>
      <c r="F60" s="35" t="n">
        <v>1.2</v>
      </c>
      <c r="G60" s="35" t="n">
        <v>1.8</v>
      </c>
      <c r="H60" s="35" t="n">
        <v>2.4</v>
      </c>
      <c r="I60" s="35" t="n">
        <v>2.4</v>
      </c>
      <c r="J60" s="35" t="n">
        <v>2.4</v>
      </c>
      <c r="K60" s="35" t="n">
        <v>69.39999999999999</v>
      </c>
      <c r="L60" s="35" t="n">
        <v>2.4</v>
      </c>
      <c r="M60" s="35" t="n">
        <v>2.4</v>
      </c>
      <c r="N60" s="36">
        <f>SUM(B60:M60)</f>
        <v/>
      </c>
      <c r="O60" s="37" t="n">
        <v>2.4</v>
      </c>
      <c r="P60" s="37" t="n">
        <v>9.390000000000001</v>
      </c>
      <c r="Q60" s="37" t="n">
        <v>20.38</v>
      </c>
      <c r="R60" s="37" t="n">
        <v>2.4</v>
      </c>
      <c r="S60" s="37" t="n">
        <v>4.2</v>
      </c>
      <c r="T60" s="37" t="n">
        <v>5.4</v>
      </c>
      <c r="U60" s="37" t="n">
        <v>5.4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3.25</v>
      </c>
      <c r="E61" s="35" t="n">
        <v>118.59</v>
      </c>
      <c r="F61" s="35" t="n">
        <v>48.23</v>
      </c>
      <c r="G61" s="35" t="n">
        <v>16.7</v>
      </c>
      <c r="H61" s="35" t="n">
        <v>47.99</v>
      </c>
      <c r="I61" s="35" t="n">
        <v>0</v>
      </c>
      <c r="J61" s="35" t="n">
        <v>0</v>
      </c>
      <c r="K61" s="35" t="n">
        <v>169.7</v>
      </c>
      <c r="L61" s="35" t="n">
        <v>63.97</v>
      </c>
      <c r="M61" s="35" t="n">
        <v>25.63</v>
      </c>
      <c r="N61" s="36">
        <f>SUM(B61:M61)</f>
        <v/>
      </c>
      <c r="O61" s="37">
        <f>SUMIF('KIN TB'!$R:$R,'KIN P&amp;L'!$A61,'KIN TB'!C:C)</f>
        <v/>
      </c>
      <c r="P61" s="37">
        <f>SUMIF('KIN TB'!$R:$R,'KIN P&amp;L'!$A61,'KIN TB'!D:D)</f>
        <v/>
      </c>
      <c r="Q61" s="37">
        <f>SUMIF('KIN TB'!$R:$R,'KIN P&amp;L'!$A61,'KIN TB'!E:E)</f>
        <v/>
      </c>
      <c r="R61" s="37">
        <f>SUMIF('KIN TB'!$R:$R,'KIN P&amp;L'!$A61,'KIN TB'!F:F)</f>
        <v/>
      </c>
      <c r="S61" s="37">
        <f>SUMIF('KIN TB'!$R:$R,'KIN P&amp;L'!$A61,'KIN TB'!G:G)</f>
        <v/>
      </c>
      <c r="T61" s="37">
        <f>SUMIF('KIN TB'!$R:$R,'KIN P&amp;L'!$A61,'KIN TB'!H:H)</f>
        <v/>
      </c>
      <c r="U61" s="37">
        <f>SUMIF('KIN TB'!$R:$R,'KIN P&amp;L'!$A61,'KIN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40</v>
      </c>
      <c r="D62" s="35" t="n">
        <v>0</v>
      </c>
      <c r="E62" s="35" t="n">
        <v>30</v>
      </c>
      <c r="F62" s="35" t="n">
        <v>0</v>
      </c>
      <c r="G62" s="35" t="n">
        <v>0</v>
      </c>
      <c r="H62" s="35" t="n">
        <v>71.5</v>
      </c>
      <c r="I62" s="35" t="n">
        <v>0</v>
      </c>
      <c r="J62" s="35" t="n">
        <v>18</v>
      </c>
      <c r="K62" s="35" t="n">
        <v>56</v>
      </c>
      <c r="L62" s="35" t="n">
        <v>15</v>
      </c>
      <c r="M62" s="35" t="n">
        <v>20</v>
      </c>
      <c r="N62" s="36">
        <f>SUM(B62:M62)</f>
        <v/>
      </c>
      <c r="O62" s="37" t="n">
        <v>0</v>
      </c>
      <c r="P62" s="37" t="n">
        <v>25</v>
      </c>
      <c r="Q62" s="37" t="n">
        <v>0</v>
      </c>
      <c r="R62" s="37" t="n">
        <v>60</v>
      </c>
      <c r="S62" s="37" t="n">
        <v>25</v>
      </c>
      <c r="T62" s="37" t="n">
        <v>70</v>
      </c>
      <c r="U62" s="37" t="n">
        <v>144</v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SUMIF('KIN TB'!$R:$R,'KIN P&amp;L'!$A63,'KIN TB'!C:C)</f>
        <v/>
      </c>
      <c r="P63" s="37">
        <f>SUMIF('KIN TB'!$R:$R,'KIN P&amp;L'!$A63,'KIN TB'!D:D)</f>
        <v/>
      </c>
      <c r="Q63" s="37">
        <f>SUMIF('KIN TB'!$R:$R,'KIN P&amp;L'!$A63,'KIN TB'!E:E)</f>
        <v/>
      </c>
      <c r="R63" s="37">
        <f>SUMIF('KIN TB'!$R:$R,'KIN P&amp;L'!$A63,'KIN TB'!F:F)</f>
        <v/>
      </c>
      <c r="S63" s="37">
        <f>SUMIF('KIN TB'!$R:$R,'KIN P&amp;L'!$A63,'KIN TB'!G:G)</f>
        <v/>
      </c>
      <c r="T63" s="37">
        <f>SUMIF('KIN TB'!$R:$R,'KIN P&amp;L'!$A63,'KIN TB'!H:H)</f>
        <v/>
      </c>
      <c r="U63" s="37">
        <f>SUMIF('KIN TB'!$R:$R,'KIN P&amp;L'!$A63,'KIN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SUMIF('KIN TB'!$R:$R,'KIN P&amp;L'!$A64,'KIN TB'!C:C)</f>
        <v/>
      </c>
      <c r="P64" s="37">
        <f>SUMIF('KIN TB'!$R:$R,'KIN P&amp;L'!$A64,'KIN TB'!D:D)</f>
        <v/>
      </c>
      <c r="Q64" s="37">
        <f>SUMIF('KIN TB'!$R:$R,'KIN P&amp;L'!$A64,'KIN TB'!E:E)</f>
        <v/>
      </c>
      <c r="R64" s="37">
        <f>SUMIF('KIN TB'!$R:$R,'KIN P&amp;L'!$A64,'KIN TB'!F:F)</f>
        <v/>
      </c>
      <c r="S64" s="37">
        <f>SUMIF('KIN TB'!$R:$R,'KIN P&amp;L'!$A64,'KIN TB'!G:G)</f>
        <v/>
      </c>
      <c r="T64" s="37">
        <f>SUMIF('KIN TB'!$R:$R,'KIN P&amp;L'!$A64,'KIN TB'!H:H)</f>
        <v/>
      </c>
      <c r="U64" s="37">
        <f>SUMIF('KIN TB'!$R:$R,'KIN P&amp;L'!$A64,'KIN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SUMIF('KIN TB'!$R:$R,'KIN P&amp;L'!$A65,'KIN TB'!C:C)</f>
        <v/>
      </c>
      <c r="P65" s="37">
        <f>SUMIF('KIN TB'!$R:$R,'KIN P&amp;L'!$A65,'KIN TB'!D:D)</f>
        <v/>
      </c>
      <c r="Q65" s="37">
        <f>SUMIF('KIN TB'!$R:$R,'KIN P&amp;L'!$A65,'KIN TB'!E:E)</f>
        <v/>
      </c>
      <c r="R65" s="37">
        <f>SUMIF('KIN TB'!$R:$R,'KIN P&amp;L'!$A65,'KIN TB'!F:F)</f>
        <v/>
      </c>
      <c r="S65" s="37">
        <f>SUMIF('KIN TB'!$R:$R,'KIN P&amp;L'!$A65,'KIN TB'!G:G)</f>
        <v/>
      </c>
      <c r="T65" s="37">
        <f>SUMIF('KIN TB'!$R:$R,'KIN P&amp;L'!$A65,'KIN TB'!H:H)</f>
        <v/>
      </c>
      <c r="U65" s="37">
        <f>SUMIF('KIN TB'!$R:$R,'KIN P&amp;L'!$A65,'KIN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SUMIF('KIN TB'!$R:$R,'KIN P&amp;L'!$A66,'KIN TB'!C:C)</f>
        <v/>
      </c>
      <c r="P66" s="37">
        <f>SUMIF('KIN TB'!$R:$R,'KIN P&amp;L'!$A66,'KIN TB'!D:D)</f>
        <v/>
      </c>
      <c r="Q66" s="37">
        <f>SUMIF('KIN TB'!$R:$R,'KIN P&amp;L'!$A66,'KIN TB'!E:E)</f>
        <v/>
      </c>
      <c r="R66" s="37">
        <f>SUMIF('KIN TB'!$R:$R,'KIN P&amp;L'!$A66,'KIN TB'!F:F)</f>
        <v/>
      </c>
      <c r="S66" s="37">
        <f>SUMIF('KIN TB'!$R:$R,'KIN P&amp;L'!$A66,'KIN TB'!G:G)</f>
        <v/>
      </c>
      <c r="T66" s="37">
        <f>SUMIF('KIN TB'!$R:$R,'KIN P&amp;L'!$A66,'KIN TB'!H:H)</f>
        <v/>
      </c>
      <c r="U66" s="37">
        <f>SUMIF('KIN TB'!$R:$R,'KIN P&amp;L'!$A66,'KIN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SUMIF('KIN TB'!$R:$R,'KIN P&amp;L'!$A67,'KIN TB'!C:C)</f>
        <v/>
      </c>
      <c r="P67" s="37">
        <f>SUMIF('KIN TB'!$R:$R,'KIN P&amp;L'!$A67,'KIN TB'!D:D)</f>
        <v/>
      </c>
      <c r="Q67" s="37">
        <f>SUMIF('KIN TB'!$R:$R,'KIN P&amp;L'!$A67,'KIN TB'!E:E)</f>
        <v/>
      </c>
      <c r="R67" s="37">
        <f>SUMIF('KIN TB'!$R:$R,'KIN P&amp;L'!$A67,'KIN TB'!F:F)</f>
        <v/>
      </c>
      <c r="S67" s="37">
        <f>SUMIF('KIN TB'!$R:$R,'KIN P&amp;L'!$A67,'KIN TB'!G:G)</f>
        <v/>
      </c>
      <c r="T67" s="37">
        <f>SUMIF('KIN TB'!$R:$R,'KIN P&amp;L'!$A67,'KIN TB'!H:H)</f>
        <v/>
      </c>
      <c r="U67" s="37">
        <f>SUMIF('KIN TB'!$R:$R,'KIN P&amp;L'!$A67,'KIN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SUMIF('KIN TB'!$R:$R,'KIN P&amp;L'!$A68,'KIN TB'!C:C)</f>
        <v/>
      </c>
      <c r="P68" s="37">
        <f>SUMIF('KIN TB'!$R:$R,'KIN P&amp;L'!$A68,'KIN TB'!D:D)</f>
        <v/>
      </c>
      <c r="Q68" s="37">
        <f>SUMIF('KIN TB'!$R:$R,'KIN P&amp;L'!$A68,'KIN TB'!E:E)</f>
        <v/>
      </c>
      <c r="R68" s="37">
        <f>SUMIF('KIN TB'!$R:$R,'KIN P&amp;L'!$A68,'KIN TB'!F:F)</f>
        <v/>
      </c>
      <c r="S68" s="37">
        <f>SUMIF('KIN TB'!$R:$R,'KIN P&amp;L'!$A68,'KIN TB'!G:G)</f>
        <v/>
      </c>
      <c r="T68" s="37">
        <f>SUMIF('KIN TB'!$R:$R,'KIN P&amp;L'!$A68,'KIN TB'!H:H)</f>
        <v/>
      </c>
      <c r="U68" s="37">
        <f>SUMIF('KIN TB'!$R:$R,'KIN P&amp;L'!$A68,'KIN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203.18</v>
      </c>
      <c r="C69" s="42" t="n">
        <v>241.98</v>
      </c>
      <c r="D69" s="42" t="n">
        <v>208.23</v>
      </c>
      <c r="E69" s="42" t="n">
        <v>350.5699999999999</v>
      </c>
      <c r="F69" s="42" t="n">
        <v>250.81</v>
      </c>
      <c r="G69" s="42" t="n">
        <v>219.88</v>
      </c>
      <c r="H69" s="42" t="n">
        <v>323.27</v>
      </c>
      <c r="I69" s="42" t="n">
        <v>203.78</v>
      </c>
      <c r="J69" s="42" t="n">
        <v>221.78</v>
      </c>
      <c r="K69" s="42" t="n">
        <v>509.9</v>
      </c>
      <c r="L69" s="42" t="n">
        <v>566.17</v>
      </c>
      <c r="M69" s="42" t="n">
        <v>262.83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10220</v>
      </c>
      <c r="C70" s="55" t="n">
        <v>4517.960000000003</v>
      </c>
      <c r="D70" s="55" t="n">
        <v>9033.829999999998</v>
      </c>
      <c r="E70" s="55" t="n">
        <v>10176.95</v>
      </c>
      <c r="F70" s="55" t="n">
        <v>9535.199999999999</v>
      </c>
      <c r="G70" s="55" t="n">
        <v>11743.83</v>
      </c>
      <c r="H70" s="55" t="n">
        <v>28409.12999999999</v>
      </c>
      <c r="I70" s="55" t="n">
        <v>9241.359999999999</v>
      </c>
      <c r="J70" s="55" t="n">
        <v>3552.030000000001</v>
      </c>
      <c r="K70" s="55" t="n">
        <v>3852.62</v>
      </c>
      <c r="L70" s="55" t="n">
        <v>11543.65999999999</v>
      </c>
      <c r="M70" s="55" t="n">
        <v>20768.42999999999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10220</v>
      </c>
      <c r="C79" s="57" t="n">
        <v>4517.960000000003</v>
      </c>
      <c r="D79" s="57" t="n">
        <v>9033.829999999998</v>
      </c>
      <c r="E79" s="57" t="n">
        <v>10176.95</v>
      </c>
      <c r="F79" s="57" t="n">
        <v>9535.199999999999</v>
      </c>
      <c r="G79" s="57" t="n">
        <v>11743.83</v>
      </c>
      <c r="H79" s="57" t="n">
        <v>28409.12999999999</v>
      </c>
      <c r="I79" s="57" t="n">
        <v>9241.359999999999</v>
      </c>
      <c r="J79" s="57" t="n">
        <v>3552.030000000001</v>
      </c>
      <c r="K79" s="57" t="n">
        <v>3852.62</v>
      </c>
      <c r="L79" s="57" t="n">
        <v>11543.65999999999</v>
      </c>
      <c r="M79" s="57" t="n">
        <v>20768.42999999999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29360.06</v>
      </c>
      <c r="C87" s="60" t="n">
        <v>26845.12</v>
      </c>
      <c r="D87" s="60" t="n">
        <v>30480.74</v>
      </c>
      <c r="E87" s="60" t="n">
        <v>34234.31</v>
      </c>
      <c r="F87" s="60" t="n">
        <v>31752.34</v>
      </c>
      <c r="G87" s="60" t="n">
        <v>33698.1</v>
      </c>
      <c r="H87" s="60" t="n">
        <v>50915.41</v>
      </c>
      <c r="I87" s="60" t="n">
        <v>31269.53</v>
      </c>
      <c r="J87" s="60" t="n">
        <v>26276.12</v>
      </c>
      <c r="K87" s="60" t="n">
        <v>26189.78</v>
      </c>
      <c r="L87" s="60" t="n">
        <v>34335.98</v>
      </c>
      <c r="M87" s="8" t="n"/>
      <c r="N87" s="8" t="n"/>
      <c r="O87" s="60">
        <f>-SUMIF('KIN TB'!$T:$T,'KIN P&amp;L'!$A87,'KIN TB'!C:C)</f>
        <v/>
      </c>
      <c r="P87" s="60">
        <f>-SUMIF('KIN TB'!$T:$T,'KIN P&amp;L'!$A87,'KIN TB'!D:D)</f>
        <v/>
      </c>
      <c r="Q87" s="60">
        <f>-SUMIF('KIN TB'!$T:$T,'KIN P&amp;L'!$A87,'KIN TB'!E:E)</f>
        <v/>
      </c>
      <c r="R87" s="60">
        <f>-SUMIF('KIN TB'!$T:$T,'KIN P&amp;L'!$A87,'KIN TB'!F:F)</f>
        <v/>
      </c>
      <c r="S87" s="60">
        <f>-SUMIF('KIN TB'!$T:$T,'KIN P&amp;L'!$A87,'KIN TB'!G:G)</f>
        <v/>
      </c>
      <c r="T87" s="60">
        <f>-SUMIF('KIN TB'!$T:$T,'KIN P&amp;L'!$A87,'KIN TB'!H:H)</f>
        <v/>
      </c>
      <c r="U87" s="60">
        <f>-SUMIF('KIN TB'!$T:$T,'KIN P&amp;L'!$A87,'KIN TB'!I:I)</f>
        <v/>
      </c>
      <c r="V87" s="60">
        <f>-SUMIF('KIN TB'!$T:$T,'KIN P&amp;L'!$A87,'KIN TB'!J:J)</f>
        <v/>
      </c>
      <c r="W87" s="60">
        <f>-SUMIF('KIN TB'!$T:$T,'KIN P&amp;L'!$A87,'KIN TB'!K:K)</f>
        <v/>
      </c>
      <c r="X87" s="60">
        <f>-SUMIF('KIN TB'!$T:$T,'KIN P&amp;L'!$A87,'KIN TB'!L:L)</f>
        <v/>
      </c>
      <c r="Y87" s="60">
        <f>-SUMIF('KIN TB'!$T:$T,'KIN P&amp;L'!$A87,'KIN TB'!M:M)</f>
        <v/>
      </c>
      <c r="Z87" s="60">
        <f>-SUMIF('KIN TB'!$T:$T,'KIN P&amp;L'!$A87,'KIN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34" t="inlineStr">
        <is>
          <t>Direct - Staff Cost</t>
        </is>
      </c>
      <c r="B88" s="18" t="n">
        <v>-15025</v>
      </c>
      <c r="C88" s="18" t="n">
        <v>-18401.96</v>
      </c>
      <c r="D88" s="18" t="n">
        <v>-17627.45</v>
      </c>
      <c r="E88" s="18" t="n">
        <v>-17739.83</v>
      </c>
      <c r="F88" s="18" t="n">
        <v>-18243.97</v>
      </c>
      <c r="G88" s="18" t="n">
        <v>-18525.75</v>
      </c>
      <c r="H88" s="18" t="n">
        <v>-18796.84</v>
      </c>
      <c r="I88" s="18" t="n">
        <v>-17181.26</v>
      </c>
      <c r="J88" s="18" t="n">
        <v>-19335.26</v>
      </c>
      <c r="K88" s="18" t="n">
        <v>-18532.98</v>
      </c>
      <c r="L88" s="18" t="n">
        <v>-18943.47</v>
      </c>
      <c r="M88" s="18" t="n"/>
      <c r="N88" s="8" t="n"/>
      <c r="O88" s="60">
        <f>-SUMIF('KIN TB'!$T:$T,'KIN P&amp;L'!$A88,'KIN TB'!C:C)</f>
        <v/>
      </c>
      <c r="P88" s="60">
        <f>-SUMIF('KIN TB'!$T:$T,'KIN P&amp;L'!$A88,'KIN TB'!D:D)</f>
        <v/>
      </c>
      <c r="Q88" s="60">
        <f>-SUMIF('KIN TB'!$T:$T,'KIN P&amp;L'!$A88,'KIN TB'!E:E)</f>
        <v/>
      </c>
      <c r="R88" s="60">
        <f>-SUMIF('KIN TB'!$T:$T,'KIN P&amp;L'!$A88,'KIN TB'!F:F)</f>
        <v/>
      </c>
      <c r="S88" s="60">
        <f>-SUMIF('KIN TB'!$T:$T,'KIN P&amp;L'!$A88,'KIN TB'!G:G)</f>
        <v/>
      </c>
      <c r="T88" s="60">
        <f>-SUMIF('KIN TB'!$T:$T,'KIN P&amp;L'!$A88,'KIN TB'!H:H)</f>
        <v/>
      </c>
      <c r="U88" s="60">
        <f>-SUMIF('KIN TB'!$T:$T,'KIN P&amp;L'!$A88,'KIN TB'!I:I)</f>
        <v/>
      </c>
      <c r="V88" s="60">
        <f>-SUMIF('KIN TB'!$T:$T,'KIN P&amp;L'!$A88,'KIN TB'!J:J)</f>
        <v/>
      </c>
      <c r="W88" s="60">
        <f>-SUMIF('KIN TB'!$T:$T,'KIN P&amp;L'!$A88,'KIN TB'!K:K)</f>
        <v/>
      </c>
      <c r="X88" s="60">
        <f>-SUMIF('KIN TB'!$T:$T,'KIN P&amp;L'!$A88,'KIN TB'!L:L)</f>
        <v/>
      </c>
      <c r="Y88" s="60">
        <f>-SUMIF('KIN TB'!$T:$T,'KIN P&amp;L'!$A88,'KIN TB'!M:M)</f>
        <v/>
      </c>
      <c r="Z88" s="60">
        <f>-SUMIF('KIN TB'!$T:$T,'KIN P&amp;L'!$A88,'KIN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60" t="inlineStr">
        <is>
          <t>Direct - Childcare Cost</t>
        </is>
      </c>
      <c r="B89" s="18" t="n">
        <v>-1273.06</v>
      </c>
      <c r="C89" s="18" t="n">
        <v>-1490.78</v>
      </c>
      <c r="D89" s="18" t="n">
        <v>-1227.87</v>
      </c>
      <c r="E89" s="18" t="n">
        <v>-1153.92</v>
      </c>
      <c r="F89" s="18" t="n">
        <v>-1860.34</v>
      </c>
      <c r="G89" s="18" t="n">
        <v>-1371.25</v>
      </c>
      <c r="H89" s="18" t="n">
        <v>-1431.26</v>
      </c>
      <c r="I89" s="18" t="n">
        <v>-2059.24</v>
      </c>
      <c r="J89" s="18" t="n">
        <v>-1193.14</v>
      </c>
      <c r="K89" s="18" t="n">
        <v>-1435.24</v>
      </c>
      <c r="L89" s="18" t="n">
        <v>-1202.64</v>
      </c>
      <c r="M89" s="18" t="n">
        <v>-1166.11</v>
      </c>
      <c r="N89" s="8" t="n"/>
      <c r="O89" s="60">
        <f>-SUMIF('KIN TB'!$T:$T,'KIN P&amp;L'!$A89,'KIN TB'!C:C)</f>
        <v/>
      </c>
      <c r="P89" s="60">
        <f>-SUMIF('KIN TB'!$T:$T,'KIN P&amp;L'!$A89,'KIN TB'!D:D)</f>
        <v/>
      </c>
      <c r="Q89" s="60">
        <f>-SUMIF('KIN TB'!$T:$T,'KIN P&amp;L'!$A89,'KIN TB'!E:E)</f>
        <v/>
      </c>
      <c r="R89" s="60">
        <f>-SUMIF('KIN TB'!$T:$T,'KIN P&amp;L'!$A89,'KIN TB'!F:F)</f>
        <v/>
      </c>
      <c r="S89" s="60">
        <f>-SUMIF('KIN TB'!$T:$T,'KIN P&amp;L'!$A89,'KIN TB'!G:G)</f>
        <v/>
      </c>
      <c r="T89" s="60">
        <f>-SUMIF('KIN TB'!$T:$T,'KIN P&amp;L'!$A89,'KIN TB'!H:H)</f>
        <v/>
      </c>
      <c r="U89" s="60">
        <f>-SUMIF('KIN TB'!$T:$T,'KIN P&amp;L'!$A89,'KIN TB'!I:I)</f>
        <v/>
      </c>
      <c r="V89" s="60">
        <f>-SUMIF('KIN TB'!$T:$T,'KIN P&amp;L'!$A89,'KIN TB'!J:J)</f>
        <v/>
      </c>
      <c r="W89" s="60">
        <f>-SUMIF('KIN TB'!$T:$T,'KIN P&amp;L'!$A89,'KIN TB'!K:K)</f>
        <v/>
      </c>
      <c r="X89" s="60">
        <f>-SUMIF('KIN TB'!$T:$T,'KIN P&amp;L'!$A89,'KIN TB'!L:L)</f>
        <v/>
      </c>
      <c r="Y89" s="60">
        <f>-SUMIF('KIN TB'!$T:$T,'KIN P&amp;L'!$A89,'KIN TB'!M:M)</f>
        <v/>
      </c>
      <c r="Z89" s="60">
        <f>-SUMIF('KIN TB'!$T:$T,'KIN P&amp;L'!$A89,'KIN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60" t="inlineStr">
        <is>
          <t>Direct - Premises &amp; Admin</t>
        </is>
      </c>
      <c r="B90" s="18" t="n">
        <v>-2638.82</v>
      </c>
      <c r="C90" s="18" t="n">
        <v>-2192.44</v>
      </c>
      <c r="D90" s="18" t="n">
        <v>-2383.36</v>
      </c>
      <c r="E90" s="18" t="n">
        <v>-4813.04</v>
      </c>
      <c r="F90" s="18" t="n">
        <v>-1862.02</v>
      </c>
      <c r="G90" s="18" t="n">
        <v>-1837.39</v>
      </c>
      <c r="H90" s="18" t="n">
        <v>-1954.91</v>
      </c>
      <c r="I90" s="18" t="n">
        <v>-2583.89</v>
      </c>
      <c r="J90" s="18" t="n">
        <v>-1973.91</v>
      </c>
      <c r="K90" s="18" t="n">
        <v>-1859.04</v>
      </c>
      <c r="L90" s="18" t="n">
        <v>-2080.04</v>
      </c>
      <c r="M90" s="18" t="n">
        <v>-2007.45</v>
      </c>
      <c r="N90" s="8" t="n"/>
      <c r="O90" s="60">
        <f>-SUMIF('KIN TB'!$T:$T,'KIN P&amp;L'!$A90,'KIN TB'!C:C)</f>
        <v/>
      </c>
      <c r="P90" s="60">
        <f>-SUMIF('KIN TB'!$T:$T,'KIN P&amp;L'!$A90,'KIN TB'!D:D)</f>
        <v/>
      </c>
      <c r="Q90" s="60">
        <f>-SUMIF('KIN TB'!$T:$T,'KIN P&amp;L'!$A90,'KIN TB'!E:E)</f>
        <v/>
      </c>
      <c r="R90" s="60">
        <f>-SUMIF('KIN TB'!$T:$T,'KIN P&amp;L'!$A90,'KIN TB'!F:F)</f>
        <v/>
      </c>
      <c r="S90" s="60">
        <f>-SUMIF('KIN TB'!$T:$T,'KIN P&amp;L'!$A90,'KIN TB'!G:G)</f>
        <v/>
      </c>
      <c r="T90" s="60">
        <f>-SUMIF('KIN TB'!$T:$T,'KIN P&amp;L'!$A90,'KIN TB'!H:H)</f>
        <v/>
      </c>
      <c r="U90" s="60">
        <f>-SUMIF('KIN TB'!$T:$T,'KIN P&amp;L'!$A90,'KIN TB'!I:I)</f>
        <v/>
      </c>
      <c r="V90" s="60">
        <f>-SUMIF('KIN TB'!$T:$T,'KIN P&amp;L'!$A90,'KIN TB'!J:J)</f>
        <v/>
      </c>
      <c r="W90" s="60">
        <f>-SUMIF('KIN TB'!$T:$T,'KIN P&amp;L'!$A90,'KIN TB'!K:K)</f>
        <v/>
      </c>
      <c r="X90" s="60">
        <f>-SUMIF('KIN TB'!$T:$T,'KIN P&amp;L'!$A90,'KIN TB'!L:L)</f>
        <v/>
      </c>
      <c r="Y90" s="60">
        <f>-SUMIF('KIN TB'!$T:$T,'KIN P&amp;L'!$A90,'KIN TB'!M:M)</f>
        <v/>
      </c>
      <c r="Z90" s="60">
        <f>-SUMIF('KIN TB'!$T:$T,'KIN P&amp;L'!$A90,'KIN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-SUMIF('KIN TB'!$T:$T,'KIN P&amp;L'!$A91,'KIN TB'!C:C)</f>
        <v/>
      </c>
      <c r="P91" s="60">
        <f>-SUMIF('KIN TB'!$T:$T,'KIN P&amp;L'!$A91,'KIN TB'!D:D)</f>
        <v/>
      </c>
      <c r="Q91" s="60">
        <f>-SUMIF('KIN TB'!$T:$T,'KIN P&amp;L'!$A91,'KIN TB'!E:E)</f>
        <v/>
      </c>
      <c r="R91" s="60">
        <f>-SUMIF('KIN TB'!$T:$T,'KIN P&amp;L'!$A91,'KIN TB'!F:F)</f>
        <v/>
      </c>
      <c r="S91" s="60">
        <f>-SUMIF('KIN TB'!$T:$T,'KIN P&amp;L'!$A91,'KIN TB'!G:G)</f>
        <v/>
      </c>
      <c r="T91" s="60">
        <f>-SUMIF('KIN TB'!$T:$T,'KIN P&amp;L'!$A91,'KIN TB'!H:H)</f>
        <v/>
      </c>
      <c r="U91" s="60">
        <f>-SUMIF('KIN TB'!$T:$T,'KIN P&amp;L'!$A91,'KIN TB'!I:I)</f>
        <v/>
      </c>
      <c r="V91" s="60">
        <f>-SUMIF('KIN TB'!$T:$T,'KIN P&amp;L'!$A91,'KIN TB'!J:J)</f>
        <v/>
      </c>
      <c r="W91" s="60">
        <f>-SUMIF('KIN TB'!$T:$T,'KIN P&amp;L'!$A91,'KIN TB'!K:K)</f>
        <v/>
      </c>
      <c r="X91" s="60">
        <f>-SUMIF('KIN TB'!$T:$T,'KIN P&amp;L'!$A91,'KIN TB'!L:L)</f>
        <v/>
      </c>
      <c r="Y91" s="60">
        <f>-SUMIF('KIN TB'!$T:$T,'KIN P&amp;L'!$A91,'KIN TB'!M:M)</f>
        <v/>
      </c>
      <c r="Z91" s="60">
        <f>-SUMIF('KIN TB'!$T:$T,'KIN P&amp;L'!$A91,'KIN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60" t="inlineStr">
        <is>
          <t>In-Direct - Overheads</t>
        </is>
      </c>
      <c r="B92" s="18" t="n">
        <v>-203.18</v>
      </c>
      <c r="C92" s="18" t="n">
        <v>-241.98</v>
      </c>
      <c r="D92" s="18" t="n">
        <v>-208.23</v>
      </c>
      <c r="E92" s="18" t="n">
        <v>-350.5699999999999</v>
      </c>
      <c r="F92" s="18" t="n">
        <v>-250.81</v>
      </c>
      <c r="G92" s="18" t="n">
        <v>-219.88</v>
      </c>
      <c r="H92" s="18" t="n">
        <v>-323.27</v>
      </c>
      <c r="I92" s="18" t="n">
        <v>-203.78</v>
      </c>
      <c r="J92" s="18" t="n">
        <v>-221.78</v>
      </c>
      <c r="K92" s="18" t="n">
        <v>-509.9</v>
      </c>
      <c r="L92" s="18" t="n">
        <v>-566.17</v>
      </c>
      <c r="M92" s="18" t="n">
        <v>-262.83</v>
      </c>
      <c r="N92" s="8" t="n"/>
      <c r="O92" s="60">
        <f>-SUMIF('KIN TB'!$T:$T,'KIN P&amp;L'!$A92,'KIN TB'!C:C)</f>
        <v/>
      </c>
      <c r="P92" s="60">
        <f>-SUMIF('KIN TB'!$T:$T,'KIN P&amp;L'!$A92,'KIN TB'!D:D)</f>
        <v/>
      </c>
      <c r="Q92" s="60">
        <f>-SUMIF('KIN TB'!$T:$T,'KIN P&amp;L'!$A92,'KIN TB'!E:E)</f>
        <v/>
      </c>
      <c r="R92" s="60">
        <f>-SUMIF('KIN TB'!$T:$T,'KIN P&amp;L'!$A92,'KIN TB'!F:F)</f>
        <v/>
      </c>
      <c r="S92" s="60">
        <f>-SUMIF('KIN TB'!$T:$T,'KIN P&amp;L'!$A92,'KIN TB'!G:G)</f>
        <v/>
      </c>
      <c r="T92" s="60">
        <f>-SUMIF('KIN TB'!$T:$T,'KIN P&amp;L'!$A92,'KIN TB'!H:H)</f>
        <v/>
      </c>
      <c r="U92" s="60">
        <f>-SUMIF('KIN TB'!$T:$T,'KIN P&amp;L'!$A92,'KIN TB'!I:I)</f>
        <v/>
      </c>
      <c r="V92" s="60">
        <f>-SUMIF('KIN TB'!$T:$T,'KIN P&amp;L'!$A92,'KIN TB'!J:J)</f>
        <v/>
      </c>
      <c r="W92" s="60">
        <f>-SUMIF('KIN TB'!$T:$T,'KIN P&amp;L'!$A92,'KIN TB'!K:K)</f>
        <v/>
      </c>
      <c r="X92" s="60">
        <f>-SUMIF('KIN TB'!$T:$T,'KIN P&amp;L'!$A92,'KIN TB'!L:L)</f>
        <v/>
      </c>
      <c r="Y92" s="60">
        <f>-SUMIF('KIN TB'!$T:$T,'KIN P&amp;L'!$A92,'KIN TB'!M:M)</f>
        <v/>
      </c>
      <c r="Z92" s="60">
        <f>-SUMIF('KIN TB'!$T:$T,'KIN P&amp;L'!$A92,'KIN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 ht="15.75" customHeight="1">
      <c r="A93" s="8" t="n"/>
      <c r="B93" s="67" t="n">
        <v>10220</v>
      </c>
      <c r="C93" s="67" t="n">
        <v>4517.960000000005</v>
      </c>
      <c r="D93" s="67" t="n">
        <v>9033.829999999998</v>
      </c>
      <c r="E93" s="67" t="n">
        <v>10176.95</v>
      </c>
      <c r="F93" s="67" t="n">
        <v>9535.199999999999</v>
      </c>
      <c r="G93" s="67" t="n">
        <v>11743.83</v>
      </c>
      <c r="H93" s="67" t="n">
        <v>28409.12999999999</v>
      </c>
      <c r="I93" s="67" t="n">
        <v>9241.360000000001</v>
      </c>
      <c r="J93" s="67" t="n">
        <v>3552.03</v>
      </c>
      <c r="K93" s="67" t="n">
        <v>3852.620000000003</v>
      </c>
      <c r="L93" s="67" t="n">
        <v>11543.65999999999</v>
      </c>
      <c r="M93" s="67" t="n">
        <v>-3436.39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24204.81999999999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5.456968210637569e-12</v>
      </c>
      <c r="L96" s="18" t="n">
        <v>0</v>
      </c>
      <c r="M96" s="18" t="n">
        <v>-24204.82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>
        <v>-10220</v>
      </c>
      <c r="C97" s="18" t="n">
        <v>-4517.960000000005</v>
      </c>
      <c r="D97" s="18" t="n">
        <v>-9033.83</v>
      </c>
      <c r="E97" s="18" t="n">
        <v>-10176.95</v>
      </c>
      <c r="F97" s="18" t="n">
        <v>-9535.200000000003</v>
      </c>
      <c r="G97" s="18" t="n">
        <v>-11743.83</v>
      </c>
      <c r="H97" s="18" t="n">
        <v>-28409.12999999999</v>
      </c>
      <c r="I97" s="18" t="n">
        <v>-9241.360000000002</v>
      </c>
      <c r="J97" s="18" t="n">
        <v>-3552.030000000003</v>
      </c>
      <c r="K97" s="18" t="n">
        <v>-3852.619999999998</v>
      </c>
      <c r="L97" s="18" t="n">
        <v>-11543.66</v>
      </c>
      <c r="M97" s="18" t="n">
        <v>-20768.43</v>
      </c>
      <c r="N97" s="8" t="n"/>
      <c r="O97" s="60">
        <f>SUM('KIN TB'!C2:C42)</f>
        <v/>
      </c>
      <c r="P97" s="60">
        <f>SUM('KIN TB'!D2:D42)</f>
        <v/>
      </c>
      <c r="Q97" s="60">
        <f>SUM('KIN TB'!E2:E42)</f>
        <v/>
      </c>
      <c r="R97" s="60">
        <f>SUM('KIN TB'!F2:F42)</f>
        <v/>
      </c>
      <c r="S97" s="60">
        <f>SUM('KIN TB'!G2:G42)</f>
        <v/>
      </c>
      <c r="T97" s="60">
        <f>SUM('KIN TB'!H2:H42)</f>
        <v/>
      </c>
      <c r="U97" s="60">
        <f>SUM('KIN TB'!I2:I42)</f>
        <v/>
      </c>
      <c r="V97" s="60">
        <f>SUM('KIN TB'!J2:J42)</f>
        <v/>
      </c>
      <c r="W97" s="60">
        <f>SUM('KIN TB'!K2:K42)</f>
        <v/>
      </c>
      <c r="X97" s="60">
        <f>SUM('KIN TB'!L2:L42)</f>
        <v/>
      </c>
      <c r="Y97" s="60">
        <f>SUM('KIN TB'!M2:M42)</f>
        <v/>
      </c>
      <c r="Z97" s="60">
        <f>SUM('KIN TB'!N2:N42)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Lower Earley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30963.16</v>
      </c>
      <c r="C8" s="35" t="n">
        <v>27021.59</v>
      </c>
      <c r="D8" s="35" t="n">
        <v>29812.55</v>
      </c>
      <c r="E8" s="35" t="n">
        <v>31949.87</v>
      </c>
      <c r="F8" s="35" t="n">
        <v>31063.91</v>
      </c>
      <c r="G8" s="35" t="n">
        <v>30350.6</v>
      </c>
      <c r="H8" s="35" t="n">
        <v>34021.42999999999</v>
      </c>
      <c r="I8" s="35" t="n">
        <v>29196.77</v>
      </c>
      <c r="J8" s="35" t="n">
        <v>21455.14</v>
      </c>
      <c r="K8" s="35" t="n">
        <v>24315.15</v>
      </c>
      <c r="L8" s="35" t="n">
        <v>18923.36</v>
      </c>
      <c r="M8" s="35" t="n">
        <v>19499.29</v>
      </c>
      <c r="N8" s="36">
        <f>SUM(B8:M8)</f>
        <v/>
      </c>
      <c r="O8" s="37" t="n">
        <v>20503.25</v>
      </c>
      <c r="P8" s="37" t="n">
        <v>20213.24000000001</v>
      </c>
      <c r="Q8" s="37" t="n">
        <v>18535.67</v>
      </c>
      <c r="R8" s="37" t="n">
        <v>21408.1</v>
      </c>
      <c r="S8" s="37" t="n">
        <v>20206.17</v>
      </c>
      <c r="T8" s="37" t="n">
        <v>20812.27</v>
      </c>
      <c r="U8" s="37" t="n">
        <v>21997.47</v>
      </c>
      <c r="V8" s="38" t="n">
        <v>22379</v>
      </c>
      <c r="W8" s="38" t="n">
        <v>11682</v>
      </c>
      <c r="X8" s="38" t="n">
        <v>15125</v>
      </c>
      <c r="Y8" s="38" t="n">
        <v>13992</v>
      </c>
      <c r="Z8" s="38" t="n">
        <v>17567</v>
      </c>
      <c r="AA8" s="36">
        <f>SUM(O8:U8)</f>
        <v/>
      </c>
      <c r="AB8" s="36">
        <f>SUM(O8:Z8)</f>
        <v/>
      </c>
      <c r="AC8" s="38" t="n">
        <v>27908.68</v>
      </c>
      <c r="AD8" s="38" t="n">
        <v>30111.53</v>
      </c>
      <c r="AE8" s="38" t="n">
        <v>36903.62</v>
      </c>
      <c r="AF8" s="38" t="n">
        <v>34701.33</v>
      </c>
      <c r="AG8" s="38" t="n">
        <v>32867.54</v>
      </c>
      <c r="AH8" s="38" t="n">
        <v>36606.08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11065.6</v>
      </c>
      <c r="C9" s="35" t="n">
        <v>11065.6</v>
      </c>
      <c r="D9" s="35" t="n">
        <v>14478.45</v>
      </c>
      <c r="E9" s="35" t="n">
        <v>8307.689999999999</v>
      </c>
      <c r="F9" s="35" t="n">
        <v>8307.689999999999</v>
      </c>
      <c r="G9" s="35" t="n">
        <v>8307.690000000001</v>
      </c>
      <c r="H9" s="35" t="n">
        <v>22440.35</v>
      </c>
      <c r="I9" s="35" t="n">
        <v>0</v>
      </c>
      <c r="J9" s="35" t="n">
        <v>7068.51</v>
      </c>
      <c r="K9" s="35" t="n">
        <v>7068.51</v>
      </c>
      <c r="L9" s="35" t="n">
        <v>17784.49</v>
      </c>
      <c r="M9" s="35" t="n">
        <v>17975.48</v>
      </c>
      <c r="N9" s="36">
        <f>SUM(B9:M9)</f>
        <v/>
      </c>
      <c r="O9" s="37" t="n">
        <v>13761.14</v>
      </c>
      <c r="P9" s="37" t="n">
        <v>13761.14</v>
      </c>
      <c r="Q9" s="37" t="n">
        <v>24206.13</v>
      </c>
      <c r="R9" s="37" t="n">
        <v>14877.62</v>
      </c>
      <c r="S9" s="37" t="n">
        <v>14877.62</v>
      </c>
      <c r="T9" s="37" t="n">
        <v>13485.23</v>
      </c>
      <c r="U9" s="37" t="n">
        <v>14413.49</v>
      </c>
      <c r="V9" s="38" t="n"/>
      <c r="W9" s="38" t="n">
        <v>11266</v>
      </c>
      <c r="X9" s="38" t="n">
        <v>11310</v>
      </c>
      <c r="Y9" s="38" t="n">
        <v>13077</v>
      </c>
      <c r="Z9" s="38" t="n">
        <v>9495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2075.37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-SUMIF('YBHN LE TB'!$R:$R,'LE P&amp;L'!$A10,'YBHN LE TB'!C:C)</f>
        <v/>
      </c>
      <c r="P10" s="37">
        <f>-SUMIF('YBHN LE TB'!$R:$R,'LE P&amp;L'!$A10,'YBHN LE TB'!D:D)</f>
        <v/>
      </c>
      <c r="Q10" s="37">
        <f>-SUMIF('YBHN LE TB'!$R:$R,'LE P&amp;L'!$A10,'YBHN LE TB'!E:E)</f>
        <v/>
      </c>
      <c r="R10" s="37">
        <f>-SUMIF('YBHN LE TB'!$R:$R,'LE P&amp;L'!$A10,'YBHN LE TB'!F:F)</f>
        <v/>
      </c>
      <c r="S10" s="37">
        <f>-SUMIF('YBHN LE TB'!$R:$R,'LE P&amp;L'!$A10,'YBHN LE TB'!G:G)</f>
        <v/>
      </c>
      <c r="T10" s="37">
        <f>-SUMIF('YBHN LE TB'!$R:$R,'LE P&amp;L'!$A10,'YBHN LE TB'!H:H)</f>
        <v/>
      </c>
      <c r="U10" s="37">
        <f>-SUMIF('YBHN LE TB'!$R:$R,'LE P&amp;L'!$A10,'YBHN LE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42028.76</v>
      </c>
      <c r="C11" s="42" t="n">
        <v>38087.19</v>
      </c>
      <c r="D11" s="42" t="n">
        <v>44291</v>
      </c>
      <c r="E11" s="42" t="n">
        <v>40257.56</v>
      </c>
      <c r="F11" s="42" t="n">
        <v>39371.6</v>
      </c>
      <c r="G11" s="42" t="n">
        <v>38658.29</v>
      </c>
      <c r="H11" s="42" t="n">
        <v>56461.77999999999</v>
      </c>
      <c r="I11" s="42" t="n">
        <v>31272.14</v>
      </c>
      <c r="J11" s="42" t="n">
        <v>28523.65</v>
      </c>
      <c r="K11" s="42" t="n">
        <v>31383.66</v>
      </c>
      <c r="L11" s="42" t="n">
        <v>36707.85000000001</v>
      </c>
      <c r="M11" s="42" t="n">
        <v>37474.77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20563.42</v>
      </c>
      <c r="C16" s="35" t="n">
        <v>20213.37</v>
      </c>
      <c r="D16" s="35" t="n">
        <v>21470.65</v>
      </c>
      <c r="E16" s="35" t="n">
        <v>24892.98</v>
      </c>
      <c r="F16" s="35" t="n">
        <v>23314.35</v>
      </c>
      <c r="G16" s="35" t="n">
        <v>22997.77</v>
      </c>
      <c r="H16" s="35" t="n">
        <v>23503.46</v>
      </c>
      <c r="I16" s="35" t="n">
        <v>18431.22</v>
      </c>
      <c r="J16" s="35" t="n">
        <v>18936.09</v>
      </c>
      <c r="K16" s="35" t="n">
        <v>19115.71</v>
      </c>
      <c r="L16" s="35" t="n">
        <v>19409.15</v>
      </c>
      <c r="M16" s="35" t="n">
        <v>19644.59</v>
      </c>
      <c r="N16" s="36">
        <f>SUM(B16:M16)</f>
        <v/>
      </c>
      <c r="O16" s="37" t="n">
        <v>22397.82</v>
      </c>
      <c r="P16" s="37" t="n">
        <v>20915.8</v>
      </c>
      <c r="Q16" s="37" t="n">
        <v>21228.23</v>
      </c>
      <c r="R16" s="37" t="n">
        <v>24553.16</v>
      </c>
      <c r="S16" s="37" t="n">
        <v>23927.03</v>
      </c>
      <c r="T16" s="37" t="n">
        <v>24496.41</v>
      </c>
      <c r="U16" s="37" t="n">
        <v>24453.12</v>
      </c>
      <c r="V16" s="38" t="n">
        <v>24326</v>
      </c>
      <c r="W16" s="38" t="n">
        <v>24326</v>
      </c>
      <c r="X16" s="38" t="n">
        <v>24326</v>
      </c>
      <c r="Y16" s="38" t="n">
        <v>24326</v>
      </c>
      <c r="Z16" s="38" t="n">
        <v>24326</v>
      </c>
      <c r="AA16" s="36">
        <f>SUM(O16:U16)</f>
        <v/>
      </c>
      <c r="AB16" s="36">
        <f>SUM(O16:Z16)</f>
        <v/>
      </c>
      <c r="AC16" s="38" t="n">
        <v>24326</v>
      </c>
      <c r="AD16" s="38" t="n">
        <v>24326</v>
      </c>
      <c r="AE16" s="38" t="n">
        <v>24326</v>
      </c>
      <c r="AF16" s="38" t="n">
        <v>24326</v>
      </c>
      <c r="AG16" s="38" t="n">
        <v>24326</v>
      </c>
      <c r="AH16" s="38" t="n">
        <v>24326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1779.03</v>
      </c>
      <c r="C17" s="35" t="n">
        <v>1715.81</v>
      </c>
      <c r="D17" s="35" t="n">
        <v>1827.23</v>
      </c>
      <c r="E17" s="35" t="n">
        <v>2853.52</v>
      </c>
      <c r="F17" s="35" t="n">
        <v>2716.71</v>
      </c>
      <c r="G17" s="35" t="n">
        <v>2671.16</v>
      </c>
      <c r="H17" s="35" t="n">
        <v>2750.72</v>
      </c>
      <c r="I17" s="35" t="n">
        <v>2020.55</v>
      </c>
      <c r="J17" s="35" t="n">
        <v>2022.69</v>
      </c>
      <c r="K17" s="35" t="n">
        <v>2177.05</v>
      </c>
      <c r="L17" s="35" t="n">
        <v>2121.95</v>
      </c>
      <c r="M17" s="35" t="n">
        <v>2160.08</v>
      </c>
      <c r="N17" s="36">
        <f>SUM(B17:M17)</f>
        <v/>
      </c>
      <c r="O17" s="37" t="n">
        <v>2569.78</v>
      </c>
      <c r="P17" s="37" t="n">
        <v>2333.89</v>
      </c>
      <c r="Q17" s="37" t="n">
        <v>2397.63</v>
      </c>
      <c r="R17" s="37" t="n">
        <v>2810.47</v>
      </c>
      <c r="S17" s="37" t="n">
        <v>2678.16</v>
      </c>
      <c r="T17" s="37" t="n">
        <v>2699.89</v>
      </c>
      <c r="U17" s="37" t="n">
        <v>2746.09</v>
      </c>
      <c r="V17" s="38" t="n">
        <v>2730</v>
      </c>
      <c r="W17" s="38" t="n">
        <v>2730</v>
      </c>
      <c r="X17" s="38" t="n">
        <v>2730</v>
      </c>
      <c r="Y17" s="38" t="n">
        <v>2730</v>
      </c>
      <c r="Z17" s="38" t="n">
        <v>2730</v>
      </c>
      <c r="AA17" s="36">
        <f>SUM(O17:U17)</f>
        <v/>
      </c>
      <c r="AB17" s="36">
        <f>SUM(O17:Z17)</f>
        <v/>
      </c>
      <c r="AC17" s="38" t="n">
        <v>2730</v>
      </c>
      <c r="AD17" s="38" t="n">
        <v>2730</v>
      </c>
      <c r="AE17" s="38" t="n">
        <v>2730</v>
      </c>
      <c r="AF17" s="38" t="n">
        <v>2730</v>
      </c>
      <c r="AG17" s="38" t="n">
        <v>2730</v>
      </c>
      <c r="AH17" s="38" t="n">
        <v>2730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442.12</v>
      </c>
      <c r="C18" s="35" t="n">
        <v>430.09</v>
      </c>
      <c r="D18" s="35" t="n">
        <v>405.36</v>
      </c>
      <c r="E18" s="35" t="n">
        <v>485.36</v>
      </c>
      <c r="F18" s="35" t="n">
        <v>515.48</v>
      </c>
      <c r="G18" s="35" t="n">
        <v>506.37</v>
      </c>
      <c r="H18" s="35" t="n">
        <v>516.35</v>
      </c>
      <c r="I18" s="35" t="n">
        <v>385.54</v>
      </c>
      <c r="J18" s="35" t="n">
        <v>331.38</v>
      </c>
      <c r="K18" s="35" t="n">
        <v>338.82</v>
      </c>
      <c r="L18" s="35" t="n">
        <v>396.08</v>
      </c>
      <c r="M18" s="35" t="n">
        <v>395.76</v>
      </c>
      <c r="N18" s="36">
        <f>SUM(B18:M18)</f>
        <v/>
      </c>
      <c r="O18" s="37" t="n">
        <v>478.5</v>
      </c>
      <c r="P18" s="37" t="n">
        <v>445.11</v>
      </c>
      <c r="Q18" s="37" t="n">
        <v>456.21</v>
      </c>
      <c r="R18" s="37" t="n">
        <v>473.88</v>
      </c>
      <c r="S18" s="37" t="n">
        <v>461.27</v>
      </c>
      <c r="T18" s="37" t="n">
        <v>447.41</v>
      </c>
      <c r="U18" s="37" t="n">
        <v>462.52</v>
      </c>
      <c r="V18" s="38" t="n">
        <v>478.5</v>
      </c>
      <c r="W18" s="38" t="n">
        <v>478.5</v>
      </c>
      <c r="X18" s="38" t="n">
        <v>478.5</v>
      </c>
      <c r="Y18" s="38" t="n">
        <v>478.5</v>
      </c>
      <c r="Z18" s="38" t="n">
        <v>478.5</v>
      </c>
      <c r="AA18" s="36">
        <f>SUM(O18:U18)</f>
        <v/>
      </c>
      <c r="AB18" s="36">
        <f>SUM(O18:Z18)</f>
        <v/>
      </c>
      <c r="AC18" s="38" t="n">
        <v>478.5</v>
      </c>
      <c r="AD18" s="38" t="n">
        <v>478.5</v>
      </c>
      <c r="AE18" s="38" t="n">
        <v>478.5</v>
      </c>
      <c r="AF18" s="38" t="n">
        <v>478.5</v>
      </c>
      <c r="AG18" s="38" t="n">
        <v>478.5</v>
      </c>
      <c r="AH18" s="38" t="n">
        <v>478.5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219.84</v>
      </c>
      <c r="D19" s="35" t="n">
        <v>166.92</v>
      </c>
      <c r="E19" s="35" t="n">
        <v>106.38</v>
      </c>
      <c r="F19" s="35" t="n">
        <v>92.34</v>
      </c>
      <c r="G19" s="35" t="n">
        <v>0</v>
      </c>
      <c r="H19" s="35" t="n">
        <v>0</v>
      </c>
      <c r="I19" s="35" t="n">
        <v>91.14</v>
      </c>
      <c r="J19" s="35" t="n">
        <v>13.98</v>
      </c>
      <c r="K19" s="35" t="n">
        <v>534</v>
      </c>
      <c r="L19" s="35" t="n">
        <v>0</v>
      </c>
      <c r="M19" s="35" t="n">
        <v>35.82</v>
      </c>
      <c r="N19" s="36">
        <f>SUM(B19:M19)</f>
        <v/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0</v>
      </c>
      <c r="U19" s="37" t="n">
        <v>113.94</v>
      </c>
      <c r="V19" s="38" t="n">
        <v>39</v>
      </c>
      <c r="W19" s="38" t="n">
        <v>39</v>
      </c>
      <c r="X19" s="38" t="n">
        <v>39</v>
      </c>
      <c r="Y19" s="38" t="n">
        <v>39</v>
      </c>
      <c r="Z19" s="38" t="n">
        <v>39</v>
      </c>
      <c r="AA19" s="36">
        <f>SUM(O19:U19)</f>
        <v/>
      </c>
      <c r="AB19" s="36">
        <f>SUM(O19:Z19)</f>
        <v/>
      </c>
      <c r="AC19" s="38" t="n">
        <v>39</v>
      </c>
      <c r="AD19" s="38" t="n">
        <v>39</v>
      </c>
      <c r="AE19" s="38" t="n">
        <v>39</v>
      </c>
      <c r="AF19" s="38" t="n">
        <v>39</v>
      </c>
      <c r="AG19" s="38" t="n">
        <v>39</v>
      </c>
      <c r="AH19" s="38" t="n">
        <v>39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48</v>
      </c>
      <c r="C20" s="35" t="n">
        <v>0</v>
      </c>
      <c r="D20" s="35" t="n">
        <v>0</v>
      </c>
      <c r="E20" s="35" t="n">
        <v>0</v>
      </c>
      <c r="F20" s="35" t="n">
        <v>61.2</v>
      </c>
      <c r="G20" s="35" t="n">
        <v>0</v>
      </c>
      <c r="H20" s="35" t="n">
        <v>37.2</v>
      </c>
      <c r="I20" s="35" t="n">
        <v>307.19</v>
      </c>
      <c r="J20" s="35" t="n">
        <v>0</v>
      </c>
      <c r="K20" s="35" t="n">
        <v>0</v>
      </c>
      <c r="L20" s="35" t="n">
        <v>114</v>
      </c>
      <c r="M20" s="35" t="n">
        <v>0</v>
      </c>
      <c r="N20" s="36">
        <f>SUM(B20:M20)</f>
        <v/>
      </c>
      <c r="O20" s="37" t="n">
        <v>0</v>
      </c>
      <c r="P20" s="37" t="n">
        <v>-422</v>
      </c>
      <c r="Q20" s="37" t="n">
        <v>0</v>
      </c>
      <c r="R20" s="37" t="n">
        <v>0</v>
      </c>
      <c r="S20" s="37" t="n">
        <v>78</v>
      </c>
      <c r="T20" s="37" t="n">
        <v>252</v>
      </c>
      <c r="U20" s="37" t="n">
        <v>0</v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130.26</v>
      </c>
      <c r="C21" s="35" t="n">
        <v>218.62</v>
      </c>
      <c r="D21" s="35" t="n">
        <v>222.99</v>
      </c>
      <c r="E21" s="35" t="n">
        <v>233.98</v>
      </c>
      <c r="F21" s="35" t="n">
        <v>99.15000000000001</v>
      </c>
      <c r="G21" s="35" t="n">
        <v>189.15</v>
      </c>
      <c r="H21" s="35" t="n">
        <v>126.5</v>
      </c>
      <c r="I21" s="35" t="n">
        <v>176.63</v>
      </c>
      <c r="J21" s="35" t="n">
        <v>64.90000000000001</v>
      </c>
      <c r="K21" s="35" t="n">
        <v>212.8</v>
      </c>
      <c r="L21" s="35" t="n">
        <v>68.61</v>
      </c>
      <c r="M21" s="35" t="n">
        <v>23.31</v>
      </c>
      <c r="N21" s="36">
        <f>SUM(B21:M21)</f>
        <v/>
      </c>
      <c r="O21" s="37" t="n">
        <v>93.25</v>
      </c>
      <c r="P21" s="37" t="n">
        <v>12.5</v>
      </c>
      <c r="Q21" s="37" t="n">
        <v>167.27</v>
      </c>
      <c r="R21" s="37" t="n">
        <v>161.9</v>
      </c>
      <c r="S21" s="37" t="n">
        <v>163.43</v>
      </c>
      <c r="T21" s="37" t="n">
        <v>23.54</v>
      </c>
      <c r="U21" s="37" t="n">
        <v>191.12</v>
      </c>
      <c r="V21" s="38" t="n">
        <v>80</v>
      </c>
      <c r="W21" s="38" t="n">
        <v>80</v>
      </c>
      <c r="X21" s="38" t="n">
        <v>80</v>
      </c>
      <c r="Y21" s="38" t="n">
        <v>80</v>
      </c>
      <c r="Z21" s="38" t="n">
        <v>80</v>
      </c>
      <c r="AA21" s="36">
        <f>SUM(O21:U21)</f>
        <v/>
      </c>
      <c r="AB21" s="36">
        <f>SUM(O21:Z21)</f>
        <v/>
      </c>
      <c r="AC21" s="38" t="n">
        <v>80</v>
      </c>
      <c r="AD21" s="38" t="n">
        <v>80</v>
      </c>
      <c r="AE21" s="38" t="n">
        <v>80</v>
      </c>
      <c r="AF21" s="38" t="n">
        <v>80</v>
      </c>
      <c r="AG21" s="38" t="n">
        <v>80</v>
      </c>
      <c r="AH21" s="38" t="n">
        <v>80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SUMIF('YBHN LE TB'!$R:$R,'LE P&amp;L'!$A22,'YBHN LE TB'!C:C)</f>
        <v/>
      </c>
      <c r="P22" s="37">
        <f>SUMIF('YBHN LE TB'!$R:$R,'LE P&amp;L'!$A22,'YBHN LE TB'!D:D)</f>
        <v/>
      </c>
      <c r="Q22" s="37">
        <f>SUMIF('YBHN LE TB'!$R:$R,'LE P&amp;L'!$A22,'YBHN LE TB'!E:E)</f>
        <v/>
      </c>
      <c r="R22" s="37">
        <f>SUMIF('YBHN LE TB'!$R:$R,'LE P&amp;L'!$A22,'YBHN LE TB'!F:F)</f>
        <v/>
      </c>
      <c r="S22" s="37">
        <f>SUMIF('YBHN LE TB'!$R:$R,'LE P&amp;L'!$A22,'YBHN LE TB'!G:G)</f>
        <v/>
      </c>
      <c r="T22" s="37">
        <f>SUMIF('YBHN LE TB'!$R:$R,'LE P&amp;L'!$A22,'YBHN LE TB'!H:H)</f>
        <v/>
      </c>
      <c r="U22" s="37">
        <f>SUMIF('YBHN LE TB'!$R:$R,'LE P&amp;L'!$A22,'YBHN LE TB'!I:I)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33</v>
      </c>
      <c r="I23" s="35" t="n">
        <v>0</v>
      </c>
      <c r="J23" s="35" t="n">
        <v>31.5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 t="n">
        <v>16.5</v>
      </c>
      <c r="P23" s="37" t="n">
        <v>50.23</v>
      </c>
      <c r="Q23" s="37" t="n">
        <v>15.28</v>
      </c>
      <c r="R23" s="37" t="n">
        <v>0</v>
      </c>
      <c r="S23" s="37" t="n">
        <v>16.5</v>
      </c>
      <c r="T23" s="37" t="n">
        <v>0</v>
      </c>
      <c r="U23" s="37" t="n">
        <v>31.9</v>
      </c>
      <c r="V23" s="38" t="n">
        <v>33</v>
      </c>
      <c r="W23" s="38" t="n">
        <v>33</v>
      </c>
      <c r="X23" s="38" t="n">
        <v>33</v>
      </c>
      <c r="Y23" s="38" t="n">
        <v>33</v>
      </c>
      <c r="Z23" s="38" t="n">
        <v>33</v>
      </c>
      <c r="AA23" s="36">
        <f>SUM(O23:U23)</f>
        <v/>
      </c>
      <c r="AB23" s="36">
        <f>SUM(O23:Z23)</f>
        <v/>
      </c>
      <c r="AC23" s="38" t="n">
        <v>33</v>
      </c>
      <c r="AD23" s="38" t="n">
        <v>33</v>
      </c>
      <c r="AE23" s="38" t="n">
        <v>33</v>
      </c>
      <c r="AF23" s="38" t="n">
        <v>33</v>
      </c>
      <c r="AG23" s="38" t="n">
        <v>33</v>
      </c>
      <c r="AH23" s="38" t="n">
        <v>33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SUMIF('YBHN LE TB'!$R:$R,'LE P&amp;L'!$A24,'YBHN LE TB'!C:C)</f>
        <v/>
      </c>
      <c r="P24" s="37">
        <f>SUMIF('YBHN LE TB'!$R:$R,'LE P&amp;L'!$A24,'YBHN LE TB'!D:D)</f>
        <v/>
      </c>
      <c r="Q24" s="37">
        <f>SUMIF('YBHN LE TB'!$R:$R,'LE P&amp;L'!$A24,'YBHN LE TB'!E:E)</f>
        <v/>
      </c>
      <c r="R24" s="37">
        <f>SUMIF('YBHN LE TB'!$R:$R,'LE P&amp;L'!$A24,'YBHN LE TB'!F:F)</f>
        <v/>
      </c>
      <c r="S24" s="37">
        <f>SUMIF('YBHN LE TB'!$R:$R,'LE P&amp;L'!$A24,'YBHN LE TB'!G:G)</f>
        <v/>
      </c>
      <c r="T24" s="37">
        <f>SUMIF('YBHN LE TB'!$R:$R,'LE P&amp;L'!$A24,'YBHN LE TB'!H:H)</f>
        <v/>
      </c>
      <c r="U24" s="37">
        <f>SUMIF('YBHN LE TB'!$R:$R,'LE P&amp;L'!$A24,'YBHN LE TB'!I:I)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22962.82999999999</v>
      </c>
      <c r="C25" s="42" t="n">
        <v>22797.73</v>
      </c>
      <c r="D25" s="42" t="n">
        <v>24093.15</v>
      </c>
      <c r="E25" s="42" t="n">
        <v>28572.22</v>
      </c>
      <c r="F25" s="42" t="n">
        <v>26799.23</v>
      </c>
      <c r="G25" s="42" t="n">
        <v>26364.45</v>
      </c>
      <c r="H25" s="42" t="n">
        <v>26967.23</v>
      </c>
      <c r="I25" s="42" t="n">
        <v>21412.27</v>
      </c>
      <c r="J25" s="42" t="n">
        <v>21400.54</v>
      </c>
      <c r="K25" s="42" t="n">
        <v>22378.38</v>
      </c>
      <c r="L25" s="42" t="n">
        <v>22109.79</v>
      </c>
      <c r="M25" s="42" t="n">
        <v>22259.56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1332.6</v>
      </c>
      <c r="C27" s="35" t="n">
        <v>1191.73</v>
      </c>
      <c r="D27" s="35" t="n">
        <v>1025.59</v>
      </c>
      <c r="E27" s="35" t="n">
        <v>910.41</v>
      </c>
      <c r="F27" s="35" t="n">
        <v>1198.8</v>
      </c>
      <c r="G27" s="35" t="n">
        <v>1030.9</v>
      </c>
      <c r="H27" s="35" t="n">
        <v>1110.68</v>
      </c>
      <c r="I27" s="35" t="n">
        <v>937.1999999999999</v>
      </c>
      <c r="J27" s="35" t="n">
        <v>1236.03</v>
      </c>
      <c r="K27" s="35" t="n">
        <v>1802.97</v>
      </c>
      <c r="L27" s="35" t="n">
        <v>1242.95</v>
      </c>
      <c r="M27" s="35" t="n">
        <v>1292.99</v>
      </c>
      <c r="N27" s="36">
        <f>SUM(B27:M27)</f>
        <v/>
      </c>
      <c r="O27" s="37" t="n">
        <v>1428.67</v>
      </c>
      <c r="P27" s="37" t="n">
        <v>1894.54</v>
      </c>
      <c r="Q27" s="37" t="n">
        <v>1660.07</v>
      </c>
      <c r="R27" s="37" t="n">
        <v>2099.27</v>
      </c>
      <c r="S27" s="37" t="n">
        <v>1513.13</v>
      </c>
      <c r="T27" s="37" t="n">
        <v>1672.02</v>
      </c>
      <c r="U27" s="37" t="n">
        <v>1682.53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0.0624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29.48</v>
      </c>
      <c r="C28" s="35" t="n">
        <v>98.81</v>
      </c>
      <c r="D28" s="35" t="n">
        <v>209.15</v>
      </c>
      <c r="E28" s="35" t="n">
        <v>106.54</v>
      </c>
      <c r="F28" s="35" t="n">
        <v>197.64</v>
      </c>
      <c r="G28" s="35" t="n">
        <v>67.42</v>
      </c>
      <c r="H28" s="35" t="n">
        <v>179.26</v>
      </c>
      <c r="I28" s="35" t="n">
        <v>51.75</v>
      </c>
      <c r="J28" s="35" t="n">
        <v>224.25</v>
      </c>
      <c r="K28" s="35" t="n">
        <v>49.58</v>
      </c>
      <c r="L28" s="35" t="n">
        <v>71.05</v>
      </c>
      <c r="M28" s="35" t="n">
        <v>37.20999999999999</v>
      </c>
      <c r="N28" s="36">
        <f>SUM(B28:M28)</f>
        <v/>
      </c>
      <c r="O28" s="37" t="n">
        <v>73.15000000000001</v>
      </c>
      <c r="P28" s="37" t="n">
        <v>25.18</v>
      </c>
      <c r="Q28" s="37" t="n">
        <v>58.1</v>
      </c>
      <c r="R28" s="37" t="n">
        <v>7.19</v>
      </c>
      <c r="S28" s="37" t="n">
        <v>59.06</v>
      </c>
      <c r="T28" s="37" t="n">
        <v>5.49</v>
      </c>
      <c r="U28" s="37" t="n">
        <v>31.95</v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8.18</v>
      </c>
      <c r="C29" s="35" t="n">
        <v>28.97</v>
      </c>
      <c r="D29" s="35" t="n">
        <v>112.31</v>
      </c>
      <c r="E29" s="35" t="n">
        <v>151.3</v>
      </c>
      <c r="F29" s="35" t="n">
        <v>47.69</v>
      </c>
      <c r="G29" s="35" t="n">
        <v>122.42</v>
      </c>
      <c r="H29" s="35" t="n">
        <v>0</v>
      </c>
      <c r="I29" s="35" t="n">
        <v>31.91</v>
      </c>
      <c r="J29" s="35" t="n">
        <v>25.44</v>
      </c>
      <c r="K29" s="35" t="n">
        <v>84.27000000000001</v>
      </c>
      <c r="L29" s="35" t="n">
        <v>198.26</v>
      </c>
      <c r="M29" s="35" t="n">
        <v>107.1</v>
      </c>
      <c r="N29" s="36">
        <f>SUM(B29:M29)</f>
        <v/>
      </c>
      <c r="O29" s="37" t="n">
        <v>0</v>
      </c>
      <c r="P29" s="37" t="n">
        <v>95.16000000000001</v>
      </c>
      <c r="Q29" s="37" t="n">
        <v>324.34</v>
      </c>
      <c r="R29" s="37" t="n">
        <v>9.119999999999999</v>
      </c>
      <c r="S29" s="37" t="n">
        <v>36.43</v>
      </c>
      <c r="T29" s="37" t="n">
        <v>115.48</v>
      </c>
      <c r="U29" s="37" t="n">
        <v>18.98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0.00208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SUMIF('YBHN LE TB'!$R:$R,'LE P&amp;L'!$A30,'YBHN LE TB'!C:C)</f>
        <v/>
      </c>
      <c r="P30" s="37">
        <f>SUMIF('YBHN LE TB'!$R:$R,'LE P&amp;L'!$A30,'YBHN LE TB'!D:D)</f>
        <v/>
      </c>
      <c r="Q30" s="37">
        <f>SUMIF('YBHN LE TB'!$R:$R,'LE P&amp;L'!$A30,'YBHN LE TB'!E:E)</f>
        <v/>
      </c>
      <c r="R30" s="37">
        <f>SUMIF('YBHN LE TB'!$R:$R,'LE P&amp;L'!$A30,'YBHN LE TB'!F:F)</f>
        <v/>
      </c>
      <c r="S30" s="37">
        <f>SUMIF('YBHN LE TB'!$R:$R,'LE P&amp;L'!$A30,'YBHN LE TB'!G:G)</f>
        <v/>
      </c>
      <c r="T30" s="37">
        <f>SUMIF('YBHN LE TB'!$R:$R,'LE P&amp;L'!$A30,'YBHN LE TB'!H:H)</f>
        <v/>
      </c>
      <c r="U30" s="37">
        <f>SUMIF('YBHN LE TB'!$R:$R,'LE P&amp;L'!$A30,'YBHN LE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0</v>
      </c>
      <c r="C31" s="35" t="n">
        <v>3.99</v>
      </c>
      <c r="D31" s="35" t="n">
        <v>201.16</v>
      </c>
      <c r="E31" s="35" t="n">
        <v>91.98</v>
      </c>
      <c r="F31" s="35" t="n">
        <v>114.68</v>
      </c>
      <c r="G31" s="35" t="n">
        <v>25</v>
      </c>
      <c r="H31" s="35" t="n">
        <v>28.7</v>
      </c>
      <c r="I31" s="35" t="n">
        <v>396.21</v>
      </c>
      <c r="J31" s="35" t="n">
        <v>169.37</v>
      </c>
      <c r="K31" s="35" t="n">
        <v>48.97</v>
      </c>
      <c r="L31" s="35" t="n">
        <v>35.92</v>
      </c>
      <c r="M31" s="35" t="n">
        <v>151.68</v>
      </c>
      <c r="N31" s="36">
        <f>SUM(B31:M31)</f>
        <v/>
      </c>
      <c r="O31" s="37" t="n">
        <v>13.98</v>
      </c>
      <c r="P31" s="37" t="n">
        <v>79.02</v>
      </c>
      <c r="Q31" s="37" t="n">
        <v>33.43</v>
      </c>
      <c r="R31" s="37" t="n">
        <v>46</v>
      </c>
      <c r="S31" s="37" t="n">
        <v>25.88</v>
      </c>
      <c r="T31" s="37" t="n">
        <v>47.97</v>
      </c>
      <c r="U31" s="37" t="n">
        <v>0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131.82</v>
      </c>
      <c r="C32" s="35" t="n">
        <v>33.24</v>
      </c>
      <c r="D32" s="35" t="n">
        <v>57.88</v>
      </c>
      <c r="E32" s="35" t="n">
        <v>31.94</v>
      </c>
      <c r="F32" s="35" t="n">
        <v>52.53</v>
      </c>
      <c r="G32" s="35" t="n">
        <v>76.42999999999999</v>
      </c>
      <c r="H32" s="35" t="n">
        <v>19.38</v>
      </c>
      <c r="I32" s="35" t="n">
        <v>32.9</v>
      </c>
      <c r="J32" s="35" t="n">
        <v>90.89999999999999</v>
      </c>
      <c r="K32" s="35" t="n">
        <v>69.39</v>
      </c>
      <c r="L32" s="35" t="n">
        <v>53.64</v>
      </c>
      <c r="M32" s="35" t="n">
        <v>160.62</v>
      </c>
      <c r="N32" s="36">
        <f>SUM(B32:M32)</f>
        <v/>
      </c>
      <c r="O32" s="37" t="n">
        <v>120.47</v>
      </c>
      <c r="P32" s="37" t="n">
        <v>153.08</v>
      </c>
      <c r="Q32" s="37" t="n">
        <v>198.65</v>
      </c>
      <c r="R32" s="37" t="n">
        <v>181.3</v>
      </c>
      <c r="S32" s="37" t="n">
        <v>115.66</v>
      </c>
      <c r="T32" s="37" t="n">
        <v>241.42</v>
      </c>
      <c r="U32" s="37" t="n">
        <v>125.04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SUMIF('YBHN LE TB'!$R:$R,'LE P&amp;L'!$A33,'YBHN LE TB'!C:C)</f>
        <v/>
      </c>
      <c r="P33" s="37">
        <f>SUMIF('YBHN LE TB'!$R:$R,'LE P&amp;L'!$A33,'YBHN LE TB'!D:D)</f>
        <v/>
      </c>
      <c r="Q33" s="37">
        <f>SUMIF('YBHN LE TB'!$R:$R,'LE P&amp;L'!$A33,'YBHN LE TB'!E:E)</f>
        <v/>
      </c>
      <c r="R33" s="37">
        <f>SUMIF('YBHN LE TB'!$R:$R,'LE P&amp;L'!$A33,'YBHN LE TB'!F:F)</f>
        <v/>
      </c>
      <c r="S33" s="37">
        <f>SUMIF('YBHN LE TB'!$R:$R,'LE P&amp;L'!$A33,'YBHN LE TB'!G:G)</f>
        <v/>
      </c>
      <c r="T33" s="37">
        <f>SUMIF('YBHN LE TB'!$R:$R,'LE P&amp;L'!$A33,'YBHN LE TB'!H:H)</f>
        <v/>
      </c>
      <c r="U33" s="37">
        <f>SUMIF('YBHN LE TB'!$R:$R,'LE P&amp;L'!$A33,'YBHN LE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1502.08</v>
      </c>
      <c r="C34" s="42" t="n">
        <v>1356.74</v>
      </c>
      <c r="D34" s="42" t="n">
        <v>1606.09</v>
      </c>
      <c r="E34" s="42" t="n">
        <v>1292.17</v>
      </c>
      <c r="F34" s="42" t="n">
        <v>1611.34</v>
      </c>
      <c r="G34" s="42" t="n">
        <v>1322.17</v>
      </c>
      <c r="H34" s="42" t="n">
        <v>1338.02</v>
      </c>
      <c r="I34" s="42" t="n">
        <v>1449.97</v>
      </c>
      <c r="J34" s="42" t="n">
        <v>1745.99</v>
      </c>
      <c r="K34" s="42" t="n">
        <v>2055.18</v>
      </c>
      <c r="L34" s="42" t="n">
        <v>1601.82</v>
      </c>
      <c r="M34" s="42" t="n">
        <v>1749.6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541.67</v>
      </c>
      <c r="C36" s="35" t="n">
        <v>541.67</v>
      </c>
      <c r="D36" s="35" t="n">
        <v>541.67</v>
      </c>
      <c r="E36" s="35" t="n">
        <v>541.67</v>
      </c>
      <c r="F36" s="35" t="n">
        <v>541.67</v>
      </c>
      <c r="G36" s="35" t="n">
        <v>541.67</v>
      </c>
      <c r="H36" s="35" t="n">
        <v>541.67</v>
      </c>
      <c r="I36" s="35" t="n">
        <v>541.67</v>
      </c>
      <c r="J36" s="35" t="n">
        <v>541.66</v>
      </c>
      <c r="K36" s="35" t="n">
        <v>541.67</v>
      </c>
      <c r="L36" s="35" t="n">
        <v>541.67</v>
      </c>
      <c r="M36" s="35" t="n">
        <v>541.66</v>
      </c>
      <c r="N36" s="36">
        <f>SUM(B36:M36)</f>
        <v/>
      </c>
      <c r="O36" s="37" t="n">
        <v>0</v>
      </c>
      <c r="P36" s="37" t="n">
        <v>0</v>
      </c>
      <c r="Q36" s="37" t="n">
        <v>-0.009999999999990905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426.23</v>
      </c>
      <c r="C37" s="35" t="n">
        <v>426.23</v>
      </c>
      <c r="D37" s="35" t="n">
        <v>426.23</v>
      </c>
      <c r="E37" s="35" t="n">
        <v>426.23</v>
      </c>
      <c r="F37" s="35" t="n">
        <v>426.23</v>
      </c>
      <c r="G37" s="35" t="n">
        <v>426.23</v>
      </c>
      <c r="H37" s="35" t="n">
        <v>426.23</v>
      </c>
      <c r="I37" s="35" t="n">
        <v>426.23</v>
      </c>
      <c r="J37" s="35" t="n">
        <v>426.23</v>
      </c>
      <c r="K37" s="35" t="n">
        <v>426.23</v>
      </c>
      <c r="L37" s="35" t="n">
        <v>426.23</v>
      </c>
      <c r="M37" s="35" t="n">
        <v>426.23</v>
      </c>
      <c r="N37" s="36">
        <f>SUM(B37:M37)</f>
        <v/>
      </c>
      <c r="O37" s="37" t="n">
        <v>426.23</v>
      </c>
      <c r="P37" s="37" t="n">
        <v>426.23</v>
      </c>
      <c r="Q37" s="37" t="n">
        <v>426.22</v>
      </c>
      <c r="R37" s="37" t="n">
        <v>447.54</v>
      </c>
      <c r="S37" s="37" t="n">
        <v>447.54</v>
      </c>
      <c r="T37" s="37" t="n">
        <v>447.54</v>
      </c>
      <c r="U37" s="37" t="n">
        <v>447.54</v>
      </c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1144.51</v>
      </c>
      <c r="C38" s="35" t="n">
        <v>1876.52</v>
      </c>
      <c r="D38" s="35" t="n">
        <v>3731.16</v>
      </c>
      <c r="E38" s="35" t="n">
        <v>2446.87</v>
      </c>
      <c r="F38" s="35" t="n">
        <v>-507.1600000000001</v>
      </c>
      <c r="G38" s="35" t="n">
        <v>852.76</v>
      </c>
      <c r="H38" s="35" t="n">
        <v>771.11</v>
      </c>
      <c r="I38" s="35" t="n">
        <v>2306.56</v>
      </c>
      <c r="J38" s="35" t="n">
        <v>853.0600000000001</v>
      </c>
      <c r="K38" s="35" t="n">
        <v>2101.48</v>
      </c>
      <c r="L38" s="35" t="n">
        <v>2463.12</v>
      </c>
      <c r="M38" s="35" t="n">
        <v>3402.53</v>
      </c>
      <c r="N38" s="36">
        <f>SUM(B38:M38)</f>
        <v/>
      </c>
      <c r="O38" s="37" t="n">
        <v>2109.25</v>
      </c>
      <c r="P38" s="37" t="n">
        <v>2316.27</v>
      </c>
      <c r="Q38" s="37" t="n">
        <v>1417.04</v>
      </c>
      <c r="R38" s="37" t="n">
        <v>1804.14</v>
      </c>
      <c r="S38" s="37" t="n">
        <v>1026.04</v>
      </c>
      <c r="T38" s="37" t="n">
        <v>1890.08</v>
      </c>
      <c r="U38" s="37" t="n">
        <v>1648.84</v>
      </c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0</v>
      </c>
      <c r="C39" s="35" t="n">
        <v>14.36</v>
      </c>
      <c r="D39" s="35" t="n">
        <v>327.5</v>
      </c>
      <c r="E39" s="35" t="n">
        <v>305.35</v>
      </c>
      <c r="F39" s="35" t="n">
        <v>370.59</v>
      </c>
      <c r="G39" s="35" t="n">
        <v>26.58</v>
      </c>
      <c r="H39" s="35" t="n">
        <v>0</v>
      </c>
      <c r="I39" s="35" t="n">
        <v>32.82</v>
      </c>
      <c r="J39" s="35" t="n">
        <v>0</v>
      </c>
      <c r="K39" s="35" t="n">
        <v>0</v>
      </c>
      <c r="L39" s="35" t="n">
        <v>27.8</v>
      </c>
      <c r="M39" s="35" t="n">
        <v>268.7</v>
      </c>
      <c r="N39" s="36">
        <f>SUM(B39:M39)</f>
        <v/>
      </c>
      <c r="O39" s="37" t="n">
        <v>0</v>
      </c>
      <c r="P39" s="37" t="n">
        <v>90.59999999999999</v>
      </c>
      <c r="Q39" s="37" t="n">
        <v>0</v>
      </c>
      <c r="R39" s="37" t="n">
        <v>279</v>
      </c>
      <c r="S39" s="37" t="n">
        <v>0</v>
      </c>
      <c r="T39" s="37" t="n">
        <v>0</v>
      </c>
      <c r="U39" s="37" t="n">
        <v>369.46</v>
      </c>
      <c r="V39" s="38" t="n"/>
      <c r="W39" s="38" t="n">
        <v>4000</v>
      </c>
      <c r="X39" s="38" t="n">
        <v>3000</v>
      </c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341.18</v>
      </c>
      <c r="C40" s="35" t="n">
        <v>0</v>
      </c>
      <c r="D40" s="35" t="n">
        <v>495.47</v>
      </c>
      <c r="E40" s="35" t="n">
        <v>147.98</v>
      </c>
      <c r="F40" s="35" t="n">
        <v>216.21</v>
      </c>
      <c r="G40" s="35" t="n">
        <v>0</v>
      </c>
      <c r="H40" s="35" t="n">
        <v>42.92</v>
      </c>
      <c r="I40" s="35" t="n">
        <v>219.35</v>
      </c>
      <c r="J40" s="35" t="n">
        <v>417.65</v>
      </c>
      <c r="K40" s="35" t="n">
        <v>206.69</v>
      </c>
      <c r="L40" s="35" t="n">
        <v>0</v>
      </c>
      <c r="M40" s="35" t="n">
        <v>146.16</v>
      </c>
      <c r="N40" s="36">
        <f>SUM(B40:M40)</f>
        <v/>
      </c>
      <c r="O40" s="37" t="n">
        <v>0</v>
      </c>
      <c r="P40" s="37" t="n">
        <v>670.87</v>
      </c>
      <c r="Q40" s="37" t="n">
        <v>178.99</v>
      </c>
      <c r="R40" s="37" t="n">
        <v>6.98</v>
      </c>
      <c r="S40" s="37" t="n">
        <v>0</v>
      </c>
      <c r="T40" s="37" t="n">
        <v>239.77</v>
      </c>
      <c r="U40" s="37" t="n">
        <v>277.39</v>
      </c>
      <c r="V40" s="38" t="n">
        <v>200</v>
      </c>
      <c r="W40" s="38" t="n">
        <v>200</v>
      </c>
      <c r="X40" s="38" t="n">
        <v>200</v>
      </c>
      <c r="Y40" s="38" t="n">
        <v>200</v>
      </c>
      <c r="Z40" s="38" t="n">
        <v>200</v>
      </c>
      <c r="AA40" s="36">
        <f>SUM(O40:U40)</f>
        <v/>
      </c>
      <c r="AB40" s="36">
        <f>SUM(O40:Z40)</f>
        <v/>
      </c>
      <c r="AC40" s="38" t="n">
        <v>200</v>
      </c>
      <c r="AD40" s="38" t="n">
        <v>200</v>
      </c>
      <c r="AE40" s="38" t="n">
        <v>200</v>
      </c>
      <c r="AF40" s="38" t="n">
        <v>200</v>
      </c>
      <c r="AG40" s="38" t="n">
        <v>200</v>
      </c>
      <c r="AH40" s="38" t="n">
        <v>200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346.68</v>
      </c>
      <c r="C41" s="35" t="n">
        <v>537.6600000000001</v>
      </c>
      <c r="D41" s="35" t="n">
        <v>397.6799999999999</v>
      </c>
      <c r="E41" s="35" t="n">
        <v>356.33</v>
      </c>
      <c r="F41" s="35" t="n">
        <v>380.74</v>
      </c>
      <c r="G41" s="35" t="n">
        <v>446.01</v>
      </c>
      <c r="H41" s="35" t="n">
        <v>380.74</v>
      </c>
      <c r="I41" s="35" t="n">
        <v>551.72</v>
      </c>
      <c r="J41" s="35" t="n">
        <v>434.15</v>
      </c>
      <c r="K41" s="35" t="n">
        <v>431.14</v>
      </c>
      <c r="L41" s="35" t="n">
        <v>389.72</v>
      </c>
      <c r="M41" s="35" t="n">
        <v>443.13</v>
      </c>
      <c r="N41" s="36">
        <f>SUM(B41:M41)</f>
        <v/>
      </c>
      <c r="O41" s="37" t="n">
        <v>389.73</v>
      </c>
      <c r="P41" s="37" t="n">
        <v>389.73</v>
      </c>
      <c r="Q41" s="37" t="n">
        <v>478.53</v>
      </c>
      <c r="R41" s="37" t="n">
        <v>548.1700000000001</v>
      </c>
      <c r="S41" s="37" t="n">
        <v>467.13</v>
      </c>
      <c r="T41" s="37" t="n">
        <v>281.67</v>
      </c>
      <c r="U41" s="37" t="n">
        <v>571.89</v>
      </c>
      <c r="V41" s="38" t="n">
        <v>426</v>
      </c>
      <c r="W41" s="38" t="n">
        <v>426</v>
      </c>
      <c r="X41" s="38" t="n">
        <v>426</v>
      </c>
      <c r="Y41" s="38" t="n">
        <v>426</v>
      </c>
      <c r="Z41" s="38" t="n">
        <v>426</v>
      </c>
      <c r="AA41" s="36">
        <f>SUM(O41:U41)</f>
        <v/>
      </c>
      <c r="AB41" s="36">
        <f>SUM(O41:Z41)</f>
        <v/>
      </c>
      <c r="AC41" s="38" t="n">
        <v>426</v>
      </c>
      <c r="AD41" s="38" t="n">
        <v>426</v>
      </c>
      <c r="AE41" s="38" t="n">
        <v>426</v>
      </c>
      <c r="AF41" s="38" t="n">
        <v>426</v>
      </c>
      <c r="AG41" s="38" t="n">
        <v>426</v>
      </c>
      <c r="AH41" s="38" t="n">
        <v>426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27.13</v>
      </c>
      <c r="C42" s="35" t="n">
        <v>39.52</v>
      </c>
      <c r="D42" s="35" t="n">
        <v>37.15</v>
      </c>
      <c r="E42" s="35" t="n">
        <v>84.5</v>
      </c>
      <c r="F42" s="35" t="n">
        <v>28.99</v>
      </c>
      <c r="G42" s="35" t="n">
        <v>32.1</v>
      </c>
      <c r="H42" s="35" t="n">
        <v>23.58</v>
      </c>
      <c r="I42" s="35" t="n">
        <v>0</v>
      </c>
      <c r="J42" s="35" t="n">
        <v>166.43</v>
      </c>
      <c r="K42" s="35" t="n">
        <v>695.5</v>
      </c>
      <c r="L42" s="35" t="n">
        <v>0</v>
      </c>
      <c r="M42" s="35" t="n">
        <v>-413.13</v>
      </c>
      <c r="N42" s="36">
        <f>SUM(B42:M42)</f>
        <v/>
      </c>
      <c r="O42" s="37" t="n">
        <v>0</v>
      </c>
      <c r="P42" s="37" t="n">
        <v>20.39</v>
      </c>
      <c r="Q42" s="37" t="n">
        <v>0</v>
      </c>
      <c r="R42" s="37" t="n">
        <v>0</v>
      </c>
      <c r="S42" s="37" t="n">
        <v>0</v>
      </c>
      <c r="T42" s="37" t="n">
        <v>132.04</v>
      </c>
      <c r="U42" s="37" t="n">
        <v>78.31999999999999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20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32</v>
      </c>
      <c r="P43" s="37" t="n">
        <v>73.3</v>
      </c>
      <c r="Q43" s="37" t="n">
        <v>0</v>
      </c>
      <c r="R43" s="37" t="n">
        <v>20</v>
      </c>
      <c r="S43" s="37" t="n">
        <v>0</v>
      </c>
      <c r="T43" s="37" t="n">
        <v>4.95</v>
      </c>
      <c r="U43" s="37" t="n">
        <v>28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SUMIF('YBHN LE TB'!$R:$R,'LE P&amp;L'!$A44,'YBHN LE TB'!C:C)</f>
        <v/>
      </c>
      <c r="P44" s="37">
        <f>SUMIF('YBHN LE TB'!$R:$R,'LE P&amp;L'!$A44,'YBHN LE TB'!D:D)</f>
        <v/>
      </c>
      <c r="Q44" s="37">
        <f>SUMIF('YBHN LE TB'!$R:$R,'LE P&amp;L'!$A44,'YBHN LE TB'!E:E)</f>
        <v/>
      </c>
      <c r="R44" s="37">
        <f>SUMIF('YBHN LE TB'!$R:$R,'LE P&amp;L'!$A44,'YBHN LE TB'!F:F)</f>
        <v/>
      </c>
      <c r="S44" s="37">
        <f>SUMIF('YBHN LE TB'!$R:$R,'LE P&amp;L'!$A44,'YBHN LE TB'!G:G)</f>
        <v/>
      </c>
      <c r="T44" s="37">
        <f>SUMIF('YBHN LE TB'!$R:$R,'LE P&amp;L'!$A44,'YBHN LE TB'!H:H)</f>
        <v/>
      </c>
      <c r="U44" s="37">
        <f>SUMIF('YBHN LE TB'!$R:$R,'LE P&amp;L'!$A44,'YBHN LE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SUMIF('YBHN LE TB'!$R:$R,'LE P&amp;L'!$A45,'YBHN LE TB'!C:C)</f>
        <v/>
      </c>
      <c r="P45" s="37">
        <f>SUMIF('YBHN LE TB'!$R:$R,'LE P&amp;L'!$A45,'YBHN LE TB'!D:D)</f>
        <v/>
      </c>
      <c r="Q45" s="37">
        <f>SUMIF('YBHN LE TB'!$R:$R,'LE P&amp;L'!$A45,'YBHN LE TB'!E:E)</f>
        <v/>
      </c>
      <c r="R45" s="37">
        <f>SUMIF('YBHN LE TB'!$R:$R,'LE P&amp;L'!$A45,'YBHN LE TB'!F:F)</f>
        <v/>
      </c>
      <c r="S45" s="37">
        <f>SUMIF('YBHN LE TB'!$R:$R,'LE P&amp;L'!$A45,'YBHN LE TB'!G:G)</f>
        <v/>
      </c>
      <c r="T45" s="37">
        <f>SUMIF('YBHN LE TB'!$R:$R,'LE P&amp;L'!$A45,'YBHN LE TB'!H:H)</f>
        <v/>
      </c>
      <c r="U45" s="37">
        <f>SUMIF('YBHN LE TB'!$R:$R,'LE P&amp;L'!$A45,'YBHN LE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SUMIF('YBHN LE TB'!$R:$R,'LE P&amp;L'!$A46,'YBHN LE TB'!C:C)</f>
        <v/>
      </c>
      <c r="P46" s="37">
        <f>SUMIF('YBHN LE TB'!$R:$R,'LE P&amp;L'!$A46,'YBHN LE TB'!D:D)</f>
        <v/>
      </c>
      <c r="Q46" s="37">
        <f>SUMIF('YBHN LE TB'!$R:$R,'LE P&amp;L'!$A46,'YBHN LE TB'!E:E)</f>
        <v/>
      </c>
      <c r="R46" s="37">
        <f>SUMIF('YBHN LE TB'!$R:$R,'LE P&amp;L'!$A46,'YBHN LE TB'!F:F)</f>
        <v/>
      </c>
      <c r="S46" s="37">
        <f>SUMIF('YBHN LE TB'!$R:$R,'LE P&amp;L'!$A46,'YBHN LE TB'!G:G)</f>
        <v/>
      </c>
      <c r="T46" s="37">
        <f>SUMIF('YBHN LE TB'!$R:$R,'LE P&amp;L'!$A46,'YBHN LE TB'!H:H)</f>
        <v/>
      </c>
      <c r="U46" s="37">
        <f>SUMIF('YBHN LE TB'!$R:$R,'LE P&amp;L'!$A46,'YBHN LE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2827.4</v>
      </c>
      <c r="C47" s="42" t="n">
        <v>3435.96</v>
      </c>
      <c r="D47" s="42" t="n">
        <v>5956.86</v>
      </c>
      <c r="E47" s="42" t="n">
        <v>4308.93</v>
      </c>
      <c r="F47" s="42" t="n">
        <v>1457.27</v>
      </c>
      <c r="G47" s="42" t="n">
        <v>2325.35</v>
      </c>
      <c r="H47" s="42" t="n">
        <v>2186.25</v>
      </c>
      <c r="I47" s="42" t="n">
        <v>4078.35</v>
      </c>
      <c r="J47" s="42" t="n">
        <v>2859.18</v>
      </c>
      <c r="K47" s="42" t="n">
        <v>4402.71</v>
      </c>
      <c r="L47" s="42" t="n">
        <v>3848.54</v>
      </c>
      <c r="M47" s="42" t="n">
        <v>4815.28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27292.31</v>
      </c>
      <c r="C48" s="23" t="n">
        <v>27590.43</v>
      </c>
      <c r="D48" s="23" t="n">
        <v>31656.1</v>
      </c>
      <c r="E48" s="23" t="n">
        <v>34173.32</v>
      </c>
      <c r="F48" s="23" t="n">
        <v>29867.84</v>
      </c>
      <c r="G48" s="23" t="n">
        <v>30011.97</v>
      </c>
      <c r="H48" s="23" t="n">
        <v>30491.5</v>
      </c>
      <c r="I48" s="23" t="n">
        <v>26940.59</v>
      </c>
      <c r="J48" s="23" t="n">
        <v>26005.71</v>
      </c>
      <c r="K48" s="23" t="n">
        <v>28836.27</v>
      </c>
      <c r="L48" s="23" t="n">
        <v>27560.15000000001</v>
      </c>
      <c r="M48" s="23" t="n">
        <v>28824.44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14736.45</v>
      </c>
      <c r="C50" s="55" t="n">
        <v>10496.75999999999</v>
      </c>
      <c r="D50" s="55" t="n">
        <v>12634.9</v>
      </c>
      <c r="E50" s="55" t="n">
        <v>6084.239999999998</v>
      </c>
      <c r="F50" s="55" t="n">
        <v>9503.759999999998</v>
      </c>
      <c r="G50" s="55" t="n">
        <v>8646.32</v>
      </c>
      <c r="H50" s="55" t="n">
        <v>25970.27999999999</v>
      </c>
      <c r="I50" s="55" t="n">
        <v>4331.549999999996</v>
      </c>
      <c r="J50" s="55" t="n">
        <v>2517.939999999999</v>
      </c>
      <c r="K50" s="55" t="n">
        <v>2547.390000000007</v>
      </c>
      <c r="L50" s="55" t="n">
        <v>9147.700000000001</v>
      </c>
      <c r="M50" s="55" t="n">
        <v>8650.330000000009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SUMIF('YBHN LE TB'!$R:$R,'LE P&amp;L'!$A53,'YBHN LE TB'!C:C)</f>
        <v/>
      </c>
      <c r="P53" s="37">
        <f>SUMIF('YBHN LE TB'!$R:$R,'LE P&amp;L'!$A53,'YBHN LE TB'!D:D)</f>
        <v/>
      </c>
      <c r="Q53" s="37">
        <f>SUMIF('YBHN LE TB'!$R:$R,'LE P&amp;L'!$A53,'YBHN LE TB'!E:E)</f>
        <v/>
      </c>
      <c r="R53" s="37">
        <f>SUMIF('YBHN LE TB'!$R:$R,'LE P&amp;L'!$A53,'YBHN LE TB'!F:F)</f>
        <v/>
      </c>
      <c r="S53" s="37">
        <f>SUMIF('YBHN LE TB'!$R:$R,'LE P&amp;L'!$A53,'YBHN LE TB'!G:G)</f>
        <v/>
      </c>
      <c r="T53" s="37">
        <f>SUMIF('YBHN LE TB'!$R:$R,'LE P&amp;L'!$A53,'YBHN LE TB'!H:H)</f>
        <v/>
      </c>
      <c r="U53" s="37">
        <f>SUMIF('YBHN LE TB'!$R:$R,'LE P&amp;L'!$A53,'YBHN LE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SUMIF('YBHN LE TB'!$R:$R,'LE P&amp;L'!$A54,'YBHN LE TB'!C:C)</f>
        <v/>
      </c>
      <c r="P54" s="37">
        <f>SUMIF('YBHN LE TB'!$R:$R,'LE P&amp;L'!$A54,'YBHN LE TB'!D:D)</f>
        <v/>
      </c>
      <c r="Q54" s="37">
        <f>SUMIF('YBHN LE TB'!$R:$R,'LE P&amp;L'!$A54,'YBHN LE TB'!E:E)</f>
        <v/>
      </c>
      <c r="R54" s="37">
        <f>SUMIF('YBHN LE TB'!$R:$R,'LE P&amp;L'!$A54,'YBHN LE TB'!F:F)</f>
        <v/>
      </c>
      <c r="S54" s="37">
        <f>SUMIF('YBHN LE TB'!$R:$R,'LE P&amp;L'!$A54,'YBHN LE TB'!G:G)</f>
        <v/>
      </c>
      <c r="T54" s="37">
        <f>SUMIF('YBHN LE TB'!$R:$R,'LE P&amp;L'!$A54,'YBHN LE TB'!H:H)</f>
        <v/>
      </c>
      <c r="U54" s="37">
        <f>SUMIF('YBHN LE TB'!$R:$R,'LE P&amp;L'!$A54,'YBHN LE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SUMIF('YBHN LE TB'!$R:$R,'LE P&amp;L'!$A55,'YBHN LE TB'!C:C)</f>
        <v/>
      </c>
      <c r="P55" s="37">
        <f>SUMIF('YBHN LE TB'!$R:$R,'LE P&amp;L'!$A55,'YBHN LE TB'!D:D)</f>
        <v/>
      </c>
      <c r="Q55" s="37">
        <f>SUMIF('YBHN LE TB'!$R:$R,'LE P&amp;L'!$A55,'YBHN LE TB'!E:E)</f>
        <v/>
      </c>
      <c r="R55" s="37">
        <f>SUMIF('YBHN LE TB'!$R:$R,'LE P&amp;L'!$A55,'YBHN LE TB'!F:F)</f>
        <v/>
      </c>
      <c r="S55" s="37">
        <f>SUMIF('YBHN LE TB'!$R:$R,'LE P&amp;L'!$A55,'YBHN LE TB'!G:G)</f>
        <v/>
      </c>
      <c r="T55" s="37">
        <f>SUMIF('YBHN LE TB'!$R:$R,'LE P&amp;L'!$A55,'YBHN LE TB'!H:H)</f>
        <v/>
      </c>
      <c r="U55" s="37">
        <f>SUMIF('YBHN LE TB'!$R:$R,'LE P&amp;L'!$A55,'YBHN LE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SUMIF('YBHN LE TB'!$R:$R,'LE P&amp;L'!$A56,'YBHN LE TB'!C:C)</f>
        <v/>
      </c>
      <c r="P56" s="37">
        <f>SUMIF('YBHN LE TB'!$R:$R,'LE P&amp;L'!$A56,'YBHN LE TB'!D:D)</f>
        <v/>
      </c>
      <c r="Q56" s="37">
        <f>SUMIF('YBHN LE TB'!$R:$R,'LE P&amp;L'!$A56,'YBHN LE TB'!E:E)</f>
        <v/>
      </c>
      <c r="R56" s="37">
        <f>SUMIF('YBHN LE TB'!$R:$R,'LE P&amp;L'!$A56,'YBHN LE TB'!F:F)</f>
        <v/>
      </c>
      <c r="S56" s="37">
        <f>SUMIF('YBHN LE TB'!$R:$R,'LE P&amp;L'!$A56,'YBHN LE TB'!G:G)</f>
        <v/>
      </c>
      <c r="T56" s="37">
        <f>SUMIF('YBHN LE TB'!$R:$R,'LE P&amp;L'!$A56,'YBHN LE TB'!H:H)</f>
        <v/>
      </c>
      <c r="U56" s="37">
        <f>SUMIF('YBHN LE TB'!$R:$R,'LE P&amp;L'!$A56,'YBHN LE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258.01</v>
      </c>
      <c r="N57" s="36">
        <f>SUM(B57:M57)</f>
        <v/>
      </c>
      <c r="O57" s="37">
        <f>SUMIF('YBHN LE TB'!$R:$R,'LE P&amp;L'!$A57,'YBHN LE TB'!C:C)</f>
        <v/>
      </c>
      <c r="P57" s="37">
        <f>SUMIF('YBHN LE TB'!$R:$R,'LE P&amp;L'!$A57,'YBHN LE TB'!D:D)</f>
        <v/>
      </c>
      <c r="Q57" s="37">
        <f>SUMIF('YBHN LE TB'!$R:$R,'LE P&amp;L'!$A57,'YBHN LE TB'!E:E)</f>
        <v/>
      </c>
      <c r="R57" s="37">
        <f>SUMIF('YBHN LE TB'!$R:$R,'LE P&amp;L'!$A57,'YBHN LE TB'!F:F)</f>
        <v/>
      </c>
      <c r="S57" s="37">
        <f>SUMIF('YBHN LE TB'!$R:$R,'LE P&amp;L'!$A57,'YBHN LE TB'!G:G)</f>
        <v/>
      </c>
      <c r="T57" s="37">
        <f>SUMIF('YBHN LE TB'!$R:$R,'LE P&amp;L'!$A57,'YBHN LE TB'!H:H)</f>
        <v/>
      </c>
      <c r="U57" s="37">
        <f>SUMIF('YBHN LE TB'!$R:$R,'LE P&amp;L'!$A57,'YBHN LE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SUMIF('YBHN LE TB'!$R:$R,'LE P&amp;L'!$A58,'YBHN LE TB'!C:C)</f>
        <v/>
      </c>
      <c r="P58" s="37">
        <f>SUMIF('YBHN LE TB'!$R:$R,'LE P&amp;L'!$A58,'YBHN LE TB'!D:D)</f>
        <v/>
      </c>
      <c r="Q58" s="37">
        <f>SUMIF('YBHN LE TB'!$R:$R,'LE P&amp;L'!$A58,'YBHN LE TB'!E:E)</f>
        <v/>
      </c>
      <c r="R58" s="37">
        <f>SUMIF('YBHN LE TB'!$R:$R,'LE P&amp;L'!$A58,'YBHN LE TB'!F:F)</f>
        <v/>
      </c>
      <c r="S58" s="37">
        <f>SUMIF('YBHN LE TB'!$R:$R,'LE P&amp;L'!$A58,'YBHN LE TB'!G:G)</f>
        <v/>
      </c>
      <c r="T58" s="37">
        <f>SUMIF('YBHN LE TB'!$R:$R,'LE P&amp;L'!$A58,'YBHN LE TB'!H:H)</f>
        <v/>
      </c>
      <c r="U58" s="37">
        <f>SUMIF('YBHN LE TB'!$R:$R,'LE P&amp;L'!$A58,'YBHN LE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0.6</v>
      </c>
      <c r="C60" s="35" t="n">
        <v>2.4</v>
      </c>
      <c r="D60" s="35" t="n">
        <v>136.41</v>
      </c>
      <c r="E60" s="35" t="n">
        <v>530.78</v>
      </c>
      <c r="F60" s="35" t="n">
        <v>1.8</v>
      </c>
      <c r="G60" s="35" t="n">
        <v>47.4</v>
      </c>
      <c r="H60" s="35" t="n">
        <v>1.8</v>
      </c>
      <c r="I60" s="35" t="n">
        <v>1.8</v>
      </c>
      <c r="J60" s="35" t="n">
        <v>1.8</v>
      </c>
      <c r="K60" s="35" t="n">
        <v>68.8</v>
      </c>
      <c r="L60" s="35" t="n">
        <v>46.2</v>
      </c>
      <c r="M60" s="35" t="n">
        <v>221.8</v>
      </c>
      <c r="N60" s="36">
        <f>SUM(B60:M60)</f>
        <v/>
      </c>
      <c r="O60" s="37" t="n">
        <v>70.2</v>
      </c>
      <c r="P60" s="37" t="n">
        <v>8.59</v>
      </c>
      <c r="Q60" s="37" t="n">
        <v>27.2</v>
      </c>
      <c r="R60" s="37" t="n">
        <v>630.5</v>
      </c>
      <c r="S60" s="37" t="n">
        <v>13.2</v>
      </c>
      <c r="T60" s="37" t="n">
        <v>13.2</v>
      </c>
      <c r="U60" s="37" t="n">
        <v>13.2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57.93000000000001</v>
      </c>
      <c r="E61" s="35" t="n">
        <v>0</v>
      </c>
      <c r="F61" s="35" t="n">
        <v>68.36</v>
      </c>
      <c r="G61" s="35" t="n">
        <v>8.99</v>
      </c>
      <c r="H61" s="35" t="n">
        <v>6.48</v>
      </c>
      <c r="I61" s="35" t="n">
        <v>0</v>
      </c>
      <c r="J61" s="35" t="n">
        <v>19.94</v>
      </c>
      <c r="K61" s="35" t="n">
        <v>88.73</v>
      </c>
      <c r="L61" s="35" t="n">
        <v>7.29</v>
      </c>
      <c r="M61" s="35" t="n">
        <v>70</v>
      </c>
      <c r="N61" s="36">
        <f>SUM(B61:M61)</f>
        <v/>
      </c>
      <c r="O61" s="37">
        <f>SUMIF('YBHN LE TB'!$R:$R,'LE P&amp;L'!$A61,'YBHN LE TB'!C:C)</f>
        <v/>
      </c>
      <c r="P61" s="37">
        <f>SUMIF('YBHN LE TB'!$R:$R,'LE P&amp;L'!$A61,'YBHN LE TB'!D:D)</f>
        <v/>
      </c>
      <c r="Q61" s="37">
        <f>SUMIF('YBHN LE TB'!$R:$R,'LE P&amp;L'!$A61,'YBHN LE TB'!E:E)</f>
        <v/>
      </c>
      <c r="R61" s="37">
        <f>SUMIF('YBHN LE TB'!$R:$R,'LE P&amp;L'!$A61,'YBHN LE TB'!F:F)</f>
        <v/>
      </c>
      <c r="S61" s="37">
        <f>SUMIF('YBHN LE TB'!$R:$R,'LE P&amp;L'!$A61,'YBHN LE TB'!G:G)</f>
        <v/>
      </c>
      <c r="T61" s="37">
        <f>SUMIF('YBHN LE TB'!$R:$R,'LE P&amp;L'!$A61,'YBHN LE TB'!H:H)</f>
        <v/>
      </c>
      <c r="U61" s="37">
        <f>SUMIF('YBHN LE TB'!$R:$R,'LE P&amp;L'!$A61,'YBHN LE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14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70</v>
      </c>
      <c r="L62" s="35" t="n">
        <v>0</v>
      </c>
      <c r="M62" s="35" t="n">
        <v>0</v>
      </c>
      <c r="N62" s="36">
        <f>SUM(B62:M62)</f>
        <v/>
      </c>
      <c r="O62" s="37">
        <f>SUMIF('YBHN LE TB'!$R:$R,'LE P&amp;L'!$A62,'YBHN LE TB'!C:C)</f>
        <v/>
      </c>
      <c r="P62" s="37">
        <f>SUMIF('YBHN LE TB'!$R:$R,'LE P&amp;L'!$A62,'YBHN LE TB'!D:D)</f>
        <v/>
      </c>
      <c r="Q62" s="37">
        <f>SUMIF('YBHN LE TB'!$R:$R,'LE P&amp;L'!$A62,'YBHN LE TB'!E:E)</f>
        <v/>
      </c>
      <c r="R62" s="37">
        <f>SUMIF('YBHN LE TB'!$R:$R,'LE P&amp;L'!$A62,'YBHN LE TB'!F:F)</f>
        <v/>
      </c>
      <c r="S62" s="37">
        <f>SUMIF('YBHN LE TB'!$R:$R,'LE P&amp;L'!$A62,'YBHN LE TB'!G:G)</f>
        <v/>
      </c>
      <c r="T62" s="37">
        <f>SUMIF('YBHN LE TB'!$R:$R,'LE P&amp;L'!$A62,'YBHN LE TB'!H:H)</f>
        <v/>
      </c>
      <c r="U62" s="37">
        <f>SUMIF('YBHN LE TB'!$R:$R,'LE P&amp;L'!$A62,'YBHN LE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SUMIF('YBHN LE TB'!$R:$R,'LE P&amp;L'!$A63,'YBHN LE TB'!C:C)</f>
        <v/>
      </c>
      <c r="P63" s="37">
        <f>SUMIF('YBHN LE TB'!$R:$R,'LE P&amp;L'!$A63,'YBHN LE TB'!D:D)</f>
        <v/>
      </c>
      <c r="Q63" s="37">
        <f>SUMIF('YBHN LE TB'!$R:$R,'LE P&amp;L'!$A63,'YBHN LE TB'!E:E)</f>
        <v/>
      </c>
      <c r="R63" s="37">
        <f>SUMIF('YBHN LE TB'!$R:$R,'LE P&amp;L'!$A63,'YBHN LE TB'!F:F)</f>
        <v/>
      </c>
      <c r="S63" s="37">
        <f>SUMIF('YBHN LE TB'!$R:$R,'LE P&amp;L'!$A63,'YBHN LE TB'!G:G)</f>
        <v/>
      </c>
      <c r="T63" s="37">
        <f>SUMIF('YBHN LE TB'!$R:$R,'LE P&amp;L'!$A63,'YBHN LE TB'!H:H)</f>
        <v/>
      </c>
      <c r="U63" s="37">
        <f>SUMIF('YBHN LE TB'!$R:$R,'LE P&amp;L'!$A63,'YBHN LE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SUMIF('YBHN LE TB'!$R:$R,'LE P&amp;L'!$A64,'YBHN LE TB'!C:C)</f>
        <v/>
      </c>
      <c r="P64" s="37">
        <f>SUMIF('YBHN LE TB'!$R:$R,'LE P&amp;L'!$A64,'YBHN LE TB'!D:D)</f>
        <v/>
      </c>
      <c r="Q64" s="37">
        <f>SUMIF('YBHN LE TB'!$R:$R,'LE P&amp;L'!$A64,'YBHN LE TB'!E:E)</f>
        <v/>
      </c>
      <c r="R64" s="37">
        <f>SUMIF('YBHN LE TB'!$R:$R,'LE P&amp;L'!$A64,'YBHN LE TB'!F:F)</f>
        <v/>
      </c>
      <c r="S64" s="37">
        <f>SUMIF('YBHN LE TB'!$R:$R,'LE P&amp;L'!$A64,'YBHN LE TB'!G:G)</f>
        <v/>
      </c>
      <c r="T64" s="37">
        <f>SUMIF('YBHN LE TB'!$R:$R,'LE P&amp;L'!$A64,'YBHN LE TB'!H:H)</f>
        <v/>
      </c>
      <c r="U64" s="37">
        <f>SUMIF('YBHN LE TB'!$R:$R,'LE P&amp;L'!$A64,'YBHN LE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SUMIF('YBHN LE TB'!$R:$R,'LE P&amp;L'!$A65,'YBHN LE TB'!C:C)</f>
        <v/>
      </c>
      <c r="P65" s="37">
        <f>SUMIF('YBHN LE TB'!$R:$R,'LE P&amp;L'!$A65,'YBHN LE TB'!D:D)</f>
        <v/>
      </c>
      <c r="Q65" s="37">
        <f>SUMIF('YBHN LE TB'!$R:$R,'LE P&amp;L'!$A65,'YBHN LE TB'!E:E)</f>
        <v/>
      </c>
      <c r="R65" s="37">
        <f>SUMIF('YBHN LE TB'!$R:$R,'LE P&amp;L'!$A65,'YBHN LE TB'!F:F)</f>
        <v/>
      </c>
      <c r="S65" s="37">
        <f>SUMIF('YBHN LE TB'!$R:$R,'LE P&amp;L'!$A65,'YBHN LE TB'!G:G)</f>
        <v/>
      </c>
      <c r="T65" s="37">
        <f>SUMIF('YBHN LE TB'!$R:$R,'LE P&amp;L'!$A65,'YBHN LE TB'!H:H)</f>
        <v/>
      </c>
      <c r="U65" s="37">
        <f>SUMIF('YBHN LE TB'!$R:$R,'LE P&amp;L'!$A65,'YBHN LE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SUMIF('YBHN LE TB'!$R:$R,'LE P&amp;L'!$A66,'YBHN LE TB'!C:C)</f>
        <v/>
      </c>
      <c r="P66" s="37">
        <f>SUMIF('YBHN LE TB'!$R:$R,'LE P&amp;L'!$A66,'YBHN LE TB'!D:D)</f>
        <v/>
      </c>
      <c r="Q66" s="37">
        <f>SUMIF('YBHN LE TB'!$R:$R,'LE P&amp;L'!$A66,'YBHN LE TB'!E:E)</f>
        <v/>
      </c>
      <c r="R66" s="37">
        <f>SUMIF('YBHN LE TB'!$R:$R,'LE P&amp;L'!$A66,'YBHN LE TB'!F:F)</f>
        <v/>
      </c>
      <c r="S66" s="37">
        <f>SUMIF('YBHN LE TB'!$R:$R,'LE P&amp;L'!$A66,'YBHN LE TB'!G:G)</f>
        <v/>
      </c>
      <c r="T66" s="37">
        <f>SUMIF('YBHN LE TB'!$R:$R,'LE P&amp;L'!$A66,'YBHN LE TB'!H:H)</f>
        <v/>
      </c>
      <c r="U66" s="37">
        <f>SUMIF('YBHN LE TB'!$R:$R,'LE P&amp;L'!$A66,'YBHN LE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SUMIF('YBHN LE TB'!$R:$R,'LE P&amp;L'!$A67,'YBHN LE TB'!C:C)</f>
        <v/>
      </c>
      <c r="P67" s="37">
        <f>SUMIF('YBHN LE TB'!$R:$R,'LE P&amp;L'!$A67,'YBHN LE TB'!D:D)</f>
        <v/>
      </c>
      <c r="Q67" s="37">
        <f>SUMIF('YBHN LE TB'!$R:$R,'LE P&amp;L'!$A67,'YBHN LE TB'!E:E)</f>
        <v/>
      </c>
      <c r="R67" s="37">
        <f>SUMIF('YBHN LE TB'!$R:$R,'LE P&amp;L'!$A67,'YBHN LE TB'!F:F)</f>
        <v/>
      </c>
      <c r="S67" s="37">
        <f>SUMIF('YBHN LE TB'!$R:$R,'LE P&amp;L'!$A67,'YBHN LE TB'!G:G)</f>
        <v/>
      </c>
      <c r="T67" s="37">
        <f>SUMIF('YBHN LE TB'!$R:$R,'LE P&amp;L'!$A67,'YBHN LE TB'!H:H)</f>
        <v/>
      </c>
      <c r="U67" s="37">
        <f>SUMIF('YBHN LE TB'!$R:$R,'LE P&amp;L'!$A67,'YBHN LE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SUMIF('YBHN LE TB'!$R:$R,'LE P&amp;L'!$A68,'YBHN LE TB'!C:C)</f>
        <v/>
      </c>
      <c r="P68" s="37">
        <f>SUMIF('YBHN LE TB'!$R:$R,'LE P&amp;L'!$A68,'YBHN LE TB'!D:D)</f>
        <v/>
      </c>
      <c r="Q68" s="37">
        <f>SUMIF('YBHN LE TB'!$R:$R,'LE P&amp;L'!$A68,'YBHN LE TB'!E:E)</f>
        <v/>
      </c>
      <c r="R68" s="37">
        <f>SUMIF('YBHN LE TB'!$R:$R,'LE P&amp;L'!$A68,'YBHN LE TB'!F:F)</f>
        <v/>
      </c>
      <c r="S68" s="37">
        <f>SUMIF('YBHN LE TB'!$R:$R,'LE P&amp;L'!$A68,'YBHN LE TB'!G:G)</f>
        <v/>
      </c>
      <c r="T68" s="37">
        <f>SUMIF('YBHN LE TB'!$R:$R,'LE P&amp;L'!$A68,'YBHN LE TB'!H:H)</f>
        <v/>
      </c>
      <c r="U68" s="37">
        <f>SUMIF('YBHN LE TB'!$R:$R,'LE P&amp;L'!$A68,'YBHN LE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215.98</v>
      </c>
      <c r="C69" s="42" t="n">
        <v>203.78</v>
      </c>
      <c r="D69" s="42" t="n">
        <v>395.72</v>
      </c>
      <c r="E69" s="42" t="n">
        <v>732.16</v>
      </c>
      <c r="F69" s="42" t="n">
        <v>271.53</v>
      </c>
      <c r="G69" s="42" t="n">
        <v>257.77</v>
      </c>
      <c r="H69" s="42" t="n">
        <v>209.66</v>
      </c>
      <c r="I69" s="42" t="n">
        <v>203.18</v>
      </c>
      <c r="J69" s="42" t="n">
        <v>223.12</v>
      </c>
      <c r="K69" s="42" t="n">
        <v>442.33</v>
      </c>
      <c r="L69" s="42" t="n">
        <v>268.29</v>
      </c>
      <c r="M69" s="42" t="n">
        <v>764.61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14520.47</v>
      </c>
      <c r="C70" s="55" t="n">
        <v>10292.97999999999</v>
      </c>
      <c r="D70" s="55" t="n">
        <v>12239.18</v>
      </c>
      <c r="E70" s="55" t="n">
        <v>5352.079999999998</v>
      </c>
      <c r="F70" s="55" t="n">
        <v>9232.229999999998</v>
      </c>
      <c r="G70" s="55" t="n">
        <v>8388.549999999999</v>
      </c>
      <c r="H70" s="55" t="n">
        <v>25760.61999999999</v>
      </c>
      <c r="I70" s="55" t="n">
        <v>4128.369999999995</v>
      </c>
      <c r="J70" s="55" t="n">
        <v>2294.819999999999</v>
      </c>
      <c r="K70" s="55" t="n">
        <v>2105.060000000007</v>
      </c>
      <c r="L70" s="55" t="n">
        <v>8879.41</v>
      </c>
      <c r="M70" s="55" t="n">
        <v>7885.720000000009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14520.47</v>
      </c>
      <c r="C79" s="57" t="n">
        <v>10292.97999999999</v>
      </c>
      <c r="D79" s="57" t="n">
        <v>12239.18</v>
      </c>
      <c r="E79" s="57" t="n">
        <v>5352.079999999998</v>
      </c>
      <c r="F79" s="57" t="n">
        <v>9232.229999999998</v>
      </c>
      <c r="G79" s="57" t="n">
        <v>8388.549999999999</v>
      </c>
      <c r="H79" s="57" t="n">
        <v>25760.61999999999</v>
      </c>
      <c r="I79" s="57" t="n">
        <v>4128.369999999995</v>
      </c>
      <c r="J79" s="57" t="n">
        <v>2294.819999999999</v>
      </c>
      <c r="K79" s="57" t="n">
        <v>2105.060000000007</v>
      </c>
      <c r="L79" s="57" t="n">
        <v>8879.41</v>
      </c>
      <c r="M79" s="57" t="n">
        <v>7885.720000000009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42028.76</v>
      </c>
      <c r="C87" s="60" t="n">
        <v>38087.19</v>
      </c>
      <c r="D87" s="60" t="n">
        <v>44291</v>
      </c>
      <c r="E87" s="60" t="n">
        <v>40257.56</v>
      </c>
      <c r="F87" s="60" t="n">
        <v>39371.6</v>
      </c>
      <c r="G87" s="60" t="n">
        <v>38658.29</v>
      </c>
      <c r="H87" s="60" t="n">
        <v>56461.77999999999</v>
      </c>
      <c r="I87" s="60" t="n">
        <v>31272.14</v>
      </c>
      <c r="J87" s="60" t="n">
        <v>28523.65</v>
      </c>
      <c r="K87" s="60" t="n">
        <v>31383.66</v>
      </c>
      <c r="L87" s="60" t="n">
        <v>36707.85000000001</v>
      </c>
      <c r="M87" s="8" t="n"/>
      <c r="N87" s="8" t="n"/>
      <c r="O87" s="60">
        <f>-SUMIF('YBHN LE TB'!$T:$T,'LE P&amp;L'!$A87,'YBHN LE TB'!C:C)</f>
        <v/>
      </c>
      <c r="P87" s="60">
        <f>-SUMIF('YBHN LE TB'!$T:$T,'LE P&amp;L'!$A87,'YBHN LE TB'!D:D)</f>
        <v/>
      </c>
      <c r="Q87" s="60">
        <f>-SUMIF('YBHN LE TB'!$T:$T,'LE P&amp;L'!$A87,'YBHN LE TB'!E:E)</f>
        <v/>
      </c>
      <c r="R87" s="60">
        <f>-SUMIF('YBHN LE TB'!$T:$T,'LE P&amp;L'!$A87,'YBHN LE TB'!F:F)</f>
        <v/>
      </c>
      <c r="S87" s="60">
        <f>-SUMIF('YBHN LE TB'!$T:$T,'LE P&amp;L'!$A87,'YBHN LE TB'!G:G)</f>
        <v/>
      </c>
      <c r="T87" s="60">
        <f>-SUMIF('YBHN LE TB'!$T:$T,'LE P&amp;L'!$A87,'YBHN LE TB'!H:H)</f>
        <v/>
      </c>
      <c r="U87" s="60">
        <f>-SUMIF('YBHN LE TB'!$T:$T,'LE P&amp;L'!$A87,'YBHN LE TB'!I:I)</f>
        <v/>
      </c>
      <c r="V87" s="60">
        <f>-SUMIF('YBHN LE TB'!$T:$T,'LE P&amp;L'!$A87,'YBHN LE TB'!J:J)</f>
        <v/>
      </c>
      <c r="W87" s="60">
        <f>-SUMIF('YBHN LE TB'!$T:$T,'LE P&amp;L'!$A87,'YBHN LE TB'!K:K)</f>
        <v/>
      </c>
      <c r="X87" s="60">
        <f>-SUMIF('YBHN LE TB'!$T:$T,'LE P&amp;L'!$A87,'YBHN LE TB'!L:L)</f>
        <v/>
      </c>
      <c r="Y87" s="60">
        <f>-SUMIF('YBHN LE TB'!$T:$T,'LE P&amp;L'!$A87,'YBHN LE TB'!M:M)</f>
        <v/>
      </c>
      <c r="Z87" s="60">
        <f>-SUMIF('YBHN LE TB'!$T:$T,'LE P&amp;L'!$A87,'YBHN LE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34" t="inlineStr">
        <is>
          <t>Direct - Staff Cost</t>
        </is>
      </c>
      <c r="B88" s="18" t="n">
        <v>-22962.82999999999</v>
      </c>
      <c r="C88" s="18" t="n">
        <v>-22797.73</v>
      </c>
      <c r="D88" s="18" t="n">
        <v>-24093.15</v>
      </c>
      <c r="E88" s="18" t="n">
        <v>-28572.22</v>
      </c>
      <c r="F88" s="18" t="n">
        <v>-26799.23</v>
      </c>
      <c r="G88" s="18" t="n">
        <v>-26364.45</v>
      </c>
      <c r="H88" s="18" t="n">
        <v>-26967.23</v>
      </c>
      <c r="I88" s="18" t="n">
        <v>-21412.27</v>
      </c>
      <c r="J88" s="18" t="n">
        <v>-21400.54</v>
      </c>
      <c r="K88" s="18" t="n">
        <v>-22378.38</v>
      </c>
      <c r="L88" s="18" t="n">
        <v>-22109.79</v>
      </c>
      <c r="M88" s="18" t="n"/>
      <c r="N88" s="8" t="n"/>
      <c r="O88" s="60">
        <f>-SUMIF('YBHN LE TB'!$T:$T,'LE P&amp;L'!$A88,'YBHN LE TB'!C:C)</f>
        <v/>
      </c>
      <c r="P88" s="60">
        <f>-SUMIF('YBHN LE TB'!$T:$T,'LE P&amp;L'!$A88,'YBHN LE TB'!D:D)</f>
        <v/>
      </c>
      <c r="Q88" s="60">
        <f>-SUMIF('YBHN LE TB'!$T:$T,'LE P&amp;L'!$A88,'YBHN LE TB'!E:E)</f>
        <v/>
      </c>
      <c r="R88" s="60">
        <f>-SUMIF('YBHN LE TB'!$T:$T,'LE P&amp;L'!$A88,'YBHN LE TB'!F:F)</f>
        <v/>
      </c>
      <c r="S88" s="60">
        <f>-SUMIF('YBHN LE TB'!$T:$T,'LE P&amp;L'!$A88,'YBHN LE TB'!G:G)</f>
        <v/>
      </c>
      <c r="T88" s="60">
        <f>-SUMIF('YBHN LE TB'!$T:$T,'LE P&amp;L'!$A88,'YBHN LE TB'!H:H)</f>
        <v/>
      </c>
      <c r="U88" s="60">
        <f>-SUMIF('YBHN LE TB'!$T:$T,'LE P&amp;L'!$A88,'YBHN LE TB'!I:I)</f>
        <v/>
      </c>
      <c r="V88" s="60">
        <f>-SUMIF('YBHN LE TB'!$T:$T,'LE P&amp;L'!$A88,'YBHN LE TB'!J:J)</f>
        <v/>
      </c>
      <c r="W88" s="60">
        <f>-SUMIF('YBHN LE TB'!$T:$T,'LE P&amp;L'!$A88,'YBHN LE TB'!K:K)</f>
        <v/>
      </c>
      <c r="X88" s="60">
        <f>-SUMIF('YBHN LE TB'!$T:$T,'LE P&amp;L'!$A88,'YBHN LE TB'!L:L)</f>
        <v/>
      </c>
      <c r="Y88" s="60">
        <f>-SUMIF('YBHN LE TB'!$T:$T,'LE P&amp;L'!$A88,'YBHN LE TB'!M:M)</f>
        <v/>
      </c>
      <c r="Z88" s="60">
        <f>-SUMIF('YBHN LE TB'!$T:$T,'LE P&amp;L'!$A88,'YBHN LE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60" t="inlineStr">
        <is>
          <t>Direct - Childcare Cost</t>
        </is>
      </c>
      <c r="B89" s="18" t="n">
        <v>-1502.08</v>
      </c>
      <c r="C89" s="18" t="n">
        <v>-1356.74</v>
      </c>
      <c r="D89" s="18" t="n">
        <v>-1606.09</v>
      </c>
      <c r="E89" s="18" t="n">
        <v>-1292.17</v>
      </c>
      <c r="F89" s="18" t="n">
        <v>-1611.34</v>
      </c>
      <c r="G89" s="18" t="n">
        <v>-1322.17</v>
      </c>
      <c r="H89" s="18" t="n">
        <v>-1338.02</v>
      </c>
      <c r="I89" s="18" t="n">
        <v>-1449.97</v>
      </c>
      <c r="J89" s="18" t="n">
        <v>-1745.99</v>
      </c>
      <c r="K89" s="18" t="n">
        <v>-2055.18</v>
      </c>
      <c r="L89" s="18" t="n">
        <v>-1601.82</v>
      </c>
      <c r="M89" s="18" t="n">
        <v>-1749.6</v>
      </c>
      <c r="N89" s="8" t="n"/>
      <c r="O89" s="60">
        <f>-SUMIF('YBHN LE TB'!$T:$T,'LE P&amp;L'!$A89,'YBHN LE TB'!C:C)</f>
        <v/>
      </c>
      <c r="P89" s="60">
        <f>-SUMIF('YBHN LE TB'!$T:$T,'LE P&amp;L'!$A89,'YBHN LE TB'!D:D)</f>
        <v/>
      </c>
      <c r="Q89" s="60">
        <f>-SUMIF('YBHN LE TB'!$T:$T,'LE P&amp;L'!$A89,'YBHN LE TB'!E:E)</f>
        <v/>
      </c>
      <c r="R89" s="60">
        <f>-SUMIF('YBHN LE TB'!$T:$T,'LE P&amp;L'!$A89,'YBHN LE TB'!F:F)</f>
        <v/>
      </c>
      <c r="S89" s="60">
        <f>-SUMIF('YBHN LE TB'!$T:$T,'LE P&amp;L'!$A89,'YBHN LE TB'!G:G)</f>
        <v/>
      </c>
      <c r="T89" s="60">
        <f>-SUMIF('YBHN LE TB'!$T:$T,'LE P&amp;L'!$A89,'YBHN LE TB'!H:H)</f>
        <v/>
      </c>
      <c r="U89" s="60">
        <f>-SUMIF('YBHN LE TB'!$T:$T,'LE P&amp;L'!$A89,'YBHN LE TB'!I:I)</f>
        <v/>
      </c>
      <c r="V89" s="60">
        <f>-SUMIF('YBHN LE TB'!$T:$T,'LE P&amp;L'!$A89,'YBHN LE TB'!J:J)</f>
        <v/>
      </c>
      <c r="W89" s="60">
        <f>-SUMIF('YBHN LE TB'!$T:$T,'LE P&amp;L'!$A89,'YBHN LE TB'!K:K)</f>
        <v/>
      </c>
      <c r="X89" s="60">
        <f>-SUMIF('YBHN LE TB'!$T:$T,'LE P&amp;L'!$A89,'YBHN LE TB'!L:L)</f>
        <v/>
      </c>
      <c r="Y89" s="60">
        <f>-SUMIF('YBHN LE TB'!$T:$T,'LE P&amp;L'!$A89,'YBHN LE TB'!M:M)</f>
        <v/>
      </c>
      <c r="Z89" s="60">
        <f>-SUMIF('YBHN LE TB'!$T:$T,'LE P&amp;L'!$A89,'YBHN LE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60" t="inlineStr">
        <is>
          <t>Direct - Premises &amp; Admin</t>
        </is>
      </c>
      <c r="B90" s="18" t="n">
        <v>-2827.4</v>
      </c>
      <c r="C90" s="18" t="n">
        <v>-3435.96</v>
      </c>
      <c r="D90" s="18" t="n">
        <v>-5956.86</v>
      </c>
      <c r="E90" s="18" t="n">
        <v>-4308.93</v>
      </c>
      <c r="F90" s="18" t="n">
        <v>-1457.27</v>
      </c>
      <c r="G90" s="18" t="n">
        <v>-2325.35</v>
      </c>
      <c r="H90" s="18" t="n">
        <v>-2186.25</v>
      </c>
      <c r="I90" s="18" t="n">
        <v>-4078.35</v>
      </c>
      <c r="J90" s="18" t="n">
        <v>-2859.18</v>
      </c>
      <c r="K90" s="18" t="n">
        <v>-4402.709999999999</v>
      </c>
      <c r="L90" s="18" t="n">
        <v>-3848.54</v>
      </c>
      <c r="M90" s="18" t="n">
        <v>-4815.28</v>
      </c>
      <c r="N90" s="8" t="n"/>
      <c r="O90" s="60">
        <f>-SUMIF('YBHN LE TB'!$T:$T,'LE P&amp;L'!$A90,'YBHN LE TB'!C:C)</f>
        <v/>
      </c>
      <c r="P90" s="60">
        <f>-SUMIF('YBHN LE TB'!$T:$T,'LE P&amp;L'!$A90,'YBHN LE TB'!D:D)</f>
        <v/>
      </c>
      <c r="Q90" s="60">
        <f>-SUMIF('YBHN LE TB'!$T:$T,'LE P&amp;L'!$A90,'YBHN LE TB'!E:E)</f>
        <v/>
      </c>
      <c r="R90" s="60">
        <f>-SUMIF('YBHN LE TB'!$T:$T,'LE P&amp;L'!$A90,'YBHN LE TB'!F:F)</f>
        <v/>
      </c>
      <c r="S90" s="60">
        <f>-SUMIF('YBHN LE TB'!$T:$T,'LE P&amp;L'!$A90,'YBHN LE TB'!G:G)</f>
        <v/>
      </c>
      <c r="T90" s="60">
        <f>-SUMIF('YBHN LE TB'!$T:$T,'LE P&amp;L'!$A90,'YBHN LE TB'!H:H)</f>
        <v/>
      </c>
      <c r="U90" s="60">
        <f>-SUMIF('YBHN LE TB'!$T:$T,'LE P&amp;L'!$A90,'YBHN LE TB'!I:I)</f>
        <v/>
      </c>
      <c r="V90" s="60">
        <f>-SUMIF('YBHN LE TB'!$T:$T,'LE P&amp;L'!$A90,'YBHN LE TB'!J:J)</f>
        <v/>
      </c>
      <c r="W90" s="60">
        <f>-SUMIF('YBHN LE TB'!$T:$T,'LE P&amp;L'!$A90,'YBHN LE TB'!K:K)</f>
        <v/>
      </c>
      <c r="X90" s="60">
        <f>-SUMIF('YBHN LE TB'!$T:$T,'LE P&amp;L'!$A90,'YBHN LE TB'!L:L)</f>
        <v/>
      </c>
      <c r="Y90" s="60">
        <f>-SUMIF('YBHN LE TB'!$T:$T,'LE P&amp;L'!$A90,'YBHN LE TB'!M:M)</f>
        <v/>
      </c>
      <c r="Z90" s="60">
        <f>-SUMIF('YBHN LE TB'!$T:$T,'LE P&amp;L'!$A90,'YBHN LE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-SUMIF('YBHN LE TB'!$T:$T,'LE P&amp;L'!$A91,'YBHN LE TB'!C:C)</f>
        <v/>
      </c>
      <c r="P91" s="60">
        <f>-SUMIF('YBHN LE TB'!$T:$T,'LE P&amp;L'!$A91,'YBHN LE TB'!D:D)</f>
        <v/>
      </c>
      <c r="Q91" s="60">
        <f>-SUMIF('YBHN LE TB'!$T:$T,'LE P&amp;L'!$A91,'YBHN LE TB'!E:E)</f>
        <v/>
      </c>
      <c r="R91" s="60">
        <f>-SUMIF('YBHN LE TB'!$T:$T,'LE P&amp;L'!$A91,'YBHN LE TB'!F:F)</f>
        <v/>
      </c>
      <c r="S91" s="60">
        <f>-SUMIF('YBHN LE TB'!$T:$T,'LE P&amp;L'!$A91,'YBHN LE TB'!G:G)</f>
        <v/>
      </c>
      <c r="T91" s="60">
        <f>-SUMIF('YBHN LE TB'!$T:$T,'LE P&amp;L'!$A91,'YBHN LE TB'!H:H)</f>
        <v/>
      </c>
      <c r="U91" s="60">
        <f>-SUMIF('YBHN LE TB'!$T:$T,'LE P&amp;L'!$A91,'YBHN LE TB'!I:I)</f>
        <v/>
      </c>
      <c r="V91" s="60">
        <f>-SUMIF('YBHN LE TB'!$T:$T,'LE P&amp;L'!$A91,'YBHN LE TB'!J:J)</f>
        <v/>
      </c>
      <c r="W91" s="60">
        <f>-SUMIF('YBHN LE TB'!$T:$T,'LE P&amp;L'!$A91,'YBHN LE TB'!K:K)</f>
        <v/>
      </c>
      <c r="X91" s="60">
        <f>-SUMIF('YBHN LE TB'!$T:$T,'LE P&amp;L'!$A91,'YBHN LE TB'!L:L)</f>
        <v/>
      </c>
      <c r="Y91" s="60">
        <f>-SUMIF('YBHN LE TB'!$T:$T,'LE P&amp;L'!$A91,'YBHN LE TB'!M:M)</f>
        <v/>
      </c>
      <c r="Z91" s="60">
        <f>-SUMIF('YBHN LE TB'!$T:$T,'LE P&amp;L'!$A91,'YBHN LE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60" t="inlineStr">
        <is>
          <t>In-Direct - Overheads</t>
        </is>
      </c>
      <c r="B92" s="18" t="n">
        <v>-215.98</v>
      </c>
      <c r="C92" s="18" t="n">
        <v>-203.78</v>
      </c>
      <c r="D92" s="18" t="n">
        <v>-395.72</v>
      </c>
      <c r="E92" s="18" t="n">
        <v>-732.16</v>
      </c>
      <c r="F92" s="18" t="n">
        <v>-271.53</v>
      </c>
      <c r="G92" s="18" t="n">
        <v>-257.77</v>
      </c>
      <c r="H92" s="18" t="n">
        <v>-209.66</v>
      </c>
      <c r="I92" s="18" t="n">
        <v>-203.18</v>
      </c>
      <c r="J92" s="18" t="n">
        <v>-223.12</v>
      </c>
      <c r="K92" s="18" t="n">
        <v>-442.33</v>
      </c>
      <c r="L92" s="18" t="n">
        <v>-268.29</v>
      </c>
      <c r="M92" s="18" t="n">
        <v>-764.61</v>
      </c>
      <c r="N92" s="8" t="n"/>
      <c r="O92" s="60">
        <f>-SUMIF('YBHN LE TB'!$T:$T,'LE P&amp;L'!$A92,'YBHN LE TB'!C:C)</f>
        <v/>
      </c>
      <c r="P92" s="60">
        <f>-SUMIF('YBHN LE TB'!$T:$T,'LE P&amp;L'!$A92,'YBHN LE TB'!D:D)</f>
        <v/>
      </c>
      <c r="Q92" s="60">
        <f>-SUMIF('YBHN LE TB'!$T:$T,'LE P&amp;L'!$A92,'YBHN LE TB'!E:E)</f>
        <v/>
      </c>
      <c r="R92" s="60">
        <f>-SUMIF('YBHN LE TB'!$T:$T,'LE P&amp;L'!$A92,'YBHN LE TB'!F:F)</f>
        <v/>
      </c>
      <c r="S92" s="60">
        <f>-SUMIF('YBHN LE TB'!$T:$T,'LE P&amp;L'!$A92,'YBHN LE TB'!G:G)</f>
        <v/>
      </c>
      <c r="T92" s="60">
        <f>-SUMIF('YBHN LE TB'!$T:$T,'LE P&amp;L'!$A92,'YBHN LE TB'!H:H)</f>
        <v/>
      </c>
      <c r="U92" s="60">
        <f>-SUMIF('YBHN LE TB'!$T:$T,'LE P&amp;L'!$A92,'YBHN LE TB'!I:I)</f>
        <v/>
      </c>
      <c r="V92" s="60">
        <f>-SUMIF('YBHN LE TB'!$T:$T,'LE P&amp;L'!$A92,'YBHN LE TB'!J:J)</f>
        <v/>
      </c>
      <c r="W92" s="60">
        <f>-SUMIF('YBHN LE TB'!$T:$T,'LE P&amp;L'!$A92,'YBHN LE TB'!K:K)</f>
        <v/>
      </c>
      <c r="X92" s="60">
        <f>-SUMIF('YBHN LE TB'!$T:$T,'LE P&amp;L'!$A92,'YBHN LE TB'!L:L)</f>
        <v/>
      </c>
      <c r="Y92" s="60">
        <f>-SUMIF('YBHN LE TB'!$T:$T,'LE P&amp;L'!$A92,'YBHN LE TB'!M:M)</f>
        <v/>
      </c>
      <c r="Z92" s="60">
        <f>-SUMIF('YBHN LE TB'!$T:$T,'LE P&amp;L'!$A92,'YBHN LE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 ht="15.75" customHeight="1">
      <c r="A93" s="8" t="n"/>
      <c r="B93" s="67" t="n">
        <v>14520.47000000001</v>
      </c>
      <c r="C93" s="67" t="n">
        <v>10292.97999999999</v>
      </c>
      <c r="D93" s="67" t="n">
        <v>12239.18</v>
      </c>
      <c r="E93" s="67" t="n">
        <v>5352.079999999996</v>
      </c>
      <c r="F93" s="67" t="n">
        <v>9232.229999999998</v>
      </c>
      <c r="G93" s="67" t="n">
        <v>8388.549999999999</v>
      </c>
      <c r="H93" s="67" t="n">
        <v>25760.61999999999</v>
      </c>
      <c r="I93" s="67" t="n">
        <v>4128.369999999999</v>
      </c>
      <c r="J93" s="67" t="n">
        <v>2294.820000000001</v>
      </c>
      <c r="K93" s="67" t="n">
        <v>2105.060000000007</v>
      </c>
      <c r="L93" s="67" t="n">
        <v>8879.41</v>
      </c>
      <c r="M93" s="67" t="n">
        <v>-7329.489999999999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15215.21000000001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0</v>
      </c>
      <c r="L96" s="18" t="n">
        <v>0</v>
      </c>
      <c r="M96" s="18" t="n">
        <v>-15215.21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>
        <v>-14520.47000000001</v>
      </c>
      <c r="C97" s="18" t="n">
        <v>-10292.98</v>
      </c>
      <c r="D97" s="18" t="n">
        <v>-12239.18</v>
      </c>
      <c r="E97" s="18" t="n">
        <v>-5352.08</v>
      </c>
      <c r="F97" s="18" t="n">
        <v>-9232.23</v>
      </c>
      <c r="G97" s="18" t="n">
        <v>-8388.550000000003</v>
      </c>
      <c r="H97" s="18" t="n">
        <v>-25760.61999999999</v>
      </c>
      <c r="I97" s="18" t="n">
        <v>-4128.37</v>
      </c>
      <c r="J97" s="18" t="n">
        <v>-2294.820000000001</v>
      </c>
      <c r="K97" s="18" t="n">
        <v>-2105.060000000004</v>
      </c>
      <c r="L97" s="18" t="n">
        <v>-8879.410000000005</v>
      </c>
      <c r="M97" s="18" t="n">
        <v>-7885.720000000005</v>
      </c>
      <c r="N97" s="8" t="n"/>
      <c r="O97" s="60">
        <f>SUM('YBHN LE TB'!C2:C42)</f>
        <v/>
      </c>
      <c r="P97" s="60">
        <f>SUM('YBHN LE TB'!D2:D42)</f>
        <v/>
      </c>
      <c r="Q97" s="60">
        <f>SUM('YBHN LE TB'!E2:E42)</f>
        <v/>
      </c>
      <c r="R97" s="60">
        <f>SUM('YBHN LE TB'!F2:F42)</f>
        <v/>
      </c>
      <c r="S97" s="60">
        <f>SUM('YBHN LE TB'!G2:G42)</f>
        <v/>
      </c>
      <c r="T97" s="60">
        <f>SUM('YBHN LE TB'!H2:H42)</f>
        <v/>
      </c>
      <c r="U97" s="60">
        <f>SUM('YBHN LE TB'!I2:I42)</f>
        <v/>
      </c>
      <c r="V97" s="60">
        <f>SUM('YBHN LE TB'!J2:J42)</f>
        <v/>
      </c>
      <c r="W97" s="60">
        <f>SUM('YBHN LE TB'!K2:K42)</f>
        <v/>
      </c>
      <c r="X97" s="60">
        <f>SUM('YBHN LE TB'!L2:L42)</f>
        <v/>
      </c>
      <c r="Y97" s="60">
        <f>SUM('YBHN LE TB'!M2:M42)</f>
        <v/>
      </c>
      <c r="Z97" s="60">
        <f>SUM('YBHN LE TB'!N2:N42)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7.28515625" customWidth="1" min="35" max="35"/>
    <col width="9.85546875" customWidth="1" min="36" max="36"/>
    <col width="5.7109375" customWidth="1" min="40" max="40"/>
    <col width="9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Merrydale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71748.46000000001</v>
      </c>
      <c r="C8" s="35" t="n">
        <v>62355.58</v>
      </c>
      <c r="D8" s="35" t="n">
        <v>73377.48</v>
      </c>
      <c r="E8" s="35" t="n">
        <v>84905.42</v>
      </c>
      <c r="F8" s="35" t="n">
        <v>78933.88</v>
      </c>
      <c r="G8" s="35" t="n">
        <v>76038.8</v>
      </c>
      <c r="H8" s="35" t="n">
        <v>94722.25999999999</v>
      </c>
      <c r="I8" s="35" t="n">
        <v>81393.89</v>
      </c>
      <c r="J8" s="35" t="n">
        <v>67283.53999999999</v>
      </c>
      <c r="K8" s="35" t="n">
        <v>63773.81</v>
      </c>
      <c r="L8" s="35" t="n">
        <v>55368.1</v>
      </c>
      <c r="M8" s="35" t="n">
        <v>74284.68999999999</v>
      </c>
      <c r="N8" s="36">
        <f>SUM(B8:M8)</f>
        <v/>
      </c>
      <c r="O8" s="37" t="n">
        <v>58533.16</v>
      </c>
      <c r="P8" s="37" t="n">
        <v>52500.16</v>
      </c>
      <c r="Q8" s="37" t="n">
        <v>60298.97000000001</v>
      </c>
      <c r="R8" s="37" t="n">
        <v>61812.59999999999</v>
      </c>
      <c r="S8" s="37" t="n">
        <v>52015.74000000001</v>
      </c>
      <c r="T8" s="37" t="n">
        <v>55797.24</v>
      </c>
      <c r="U8" s="37" t="n">
        <v>74838.92999999999</v>
      </c>
      <c r="V8" s="38" t="n">
        <v>68250</v>
      </c>
      <c r="W8" s="38" t="n">
        <v>43443</v>
      </c>
      <c r="X8" s="38" t="n">
        <v>41460</v>
      </c>
      <c r="Y8" s="38" t="n">
        <v>43425</v>
      </c>
      <c r="Z8" s="38" t="n">
        <v>61258</v>
      </c>
      <c r="AA8" s="36">
        <f>SUM(O8:U8)</f>
        <v/>
      </c>
      <c r="AB8" s="36">
        <f>SUM(O8:Z8)</f>
        <v/>
      </c>
      <c r="AC8" s="38" t="n">
        <v>79907.42999999999</v>
      </c>
      <c r="AD8" s="38" t="n">
        <v>74377.98</v>
      </c>
      <c r="AE8" s="38" t="n">
        <v>90136.03999999999</v>
      </c>
      <c r="AF8" s="38" t="n">
        <v>81715.39</v>
      </c>
      <c r="AG8" s="38" t="n">
        <v>85494.06</v>
      </c>
      <c r="AH8" s="38" t="n">
        <v>91076.72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27056.38</v>
      </c>
      <c r="C9" s="35" t="n">
        <v>27056.38</v>
      </c>
      <c r="D9" s="35" t="n">
        <v>27641.21</v>
      </c>
      <c r="E9" s="35" t="n">
        <v>20062.71</v>
      </c>
      <c r="F9" s="35" t="n">
        <v>20062.71</v>
      </c>
      <c r="G9" s="35" t="n">
        <v>20062.71</v>
      </c>
      <c r="H9" s="35" t="n">
        <v>53755.95</v>
      </c>
      <c r="I9" s="35" t="n">
        <v>0</v>
      </c>
      <c r="J9" s="35" t="n">
        <v>24868.19</v>
      </c>
      <c r="K9" s="35" t="n">
        <v>24868.19</v>
      </c>
      <c r="L9" s="35" t="n">
        <v>53954.23</v>
      </c>
      <c r="M9" s="35" t="n">
        <v>54512.01</v>
      </c>
      <c r="N9" s="36">
        <f>SUM(B9:M9)</f>
        <v/>
      </c>
      <c r="O9" s="37" t="n">
        <v>38841.31</v>
      </c>
      <c r="P9" s="37" t="n">
        <v>38841.31</v>
      </c>
      <c r="Q9" s="37" t="n">
        <v>40377.93</v>
      </c>
      <c r="R9" s="37" t="n">
        <v>32949.32</v>
      </c>
      <c r="S9" s="37" t="n">
        <v>32949.32</v>
      </c>
      <c r="T9" s="37" t="n">
        <v>33336.41</v>
      </c>
      <c r="U9" s="37" t="n">
        <v>33078.35</v>
      </c>
      <c r="V9" s="38" t="n">
        <v>0</v>
      </c>
      <c r="W9" s="38" t="n">
        <v>30009</v>
      </c>
      <c r="X9" s="38" t="n">
        <v>37283</v>
      </c>
      <c r="Y9" s="38" t="n">
        <v>35976</v>
      </c>
      <c r="Z9" s="38" t="n">
        <v>16335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250</v>
      </c>
      <c r="C10" s="35" t="n">
        <v>150</v>
      </c>
      <c r="D10" s="35" t="n">
        <v>400</v>
      </c>
      <c r="E10" s="35" t="n">
        <v>559.14</v>
      </c>
      <c r="F10" s="35" t="n">
        <v>300</v>
      </c>
      <c r="G10" s="35" t="n">
        <v>300</v>
      </c>
      <c r="H10" s="35" t="n">
        <v>150</v>
      </c>
      <c r="I10" s="35" t="n">
        <v>5287.55</v>
      </c>
      <c r="J10" s="35" t="n">
        <v>150</v>
      </c>
      <c r="K10" s="35" t="n">
        <v>150</v>
      </c>
      <c r="L10" s="35" t="n">
        <v>0</v>
      </c>
      <c r="M10" s="35" t="n">
        <v>300</v>
      </c>
      <c r="N10" s="36">
        <f>SUM(B10:M10)</f>
        <v/>
      </c>
      <c r="O10" s="37" t="n">
        <v>150</v>
      </c>
      <c r="P10" s="37" t="n">
        <v>0</v>
      </c>
      <c r="Q10" s="37" t="n">
        <v>300</v>
      </c>
      <c r="R10" s="37" t="n">
        <v>150</v>
      </c>
      <c r="S10" s="37" t="n">
        <v>0</v>
      </c>
      <c r="T10" s="37" t="n">
        <v>300</v>
      </c>
      <c r="U10" s="37" t="n">
        <v>150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99054.84000000001</v>
      </c>
      <c r="C11" s="42" t="n">
        <v>89561.96000000001</v>
      </c>
      <c r="D11" s="42" t="n">
        <v>101418.69</v>
      </c>
      <c r="E11" s="42" t="n">
        <v>105527.27</v>
      </c>
      <c r="F11" s="42" t="n">
        <v>99296.59</v>
      </c>
      <c r="G11" s="42" t="n">
        <v>96401.51000000001</v>
      </c>
      <c r="H11" s="42" t="n">
        <v>148628.21</v>
      </c>
      <c r="I11" s="42" t="n">
        <v>86681.44</v>
      </c>
      <c r="J11" s="42" t="n">
        <v>92301.73</v>
      </c>
      <c r="K11" s="42" t="n">
        <v>88792</v>
      </c>
      <c r="L11" s="42" t="n">
        <v>109322.33</v>
      </c>
      <c r="M11" s="42" t="n">
        <v>129096.7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31604.86</v>
      </c>
      <c r="C16" s="35" t="n">
        <v>32120.62</v>
      </c>
      <c r="D16" s="35" t="n">
        <v>33783.29</v>
      </c>
      <c r="E16" s="35" t="n">
        <v>39088.61</v>
      </c>
      <c r="F16" s="35" t="n">
        <v>35853.61</v>
      </c>
      <c r="G16" s="35" t="n">
        <v>32713.57</v>
      </c>
      <c r="H16" s="35" t="n">
        <v>38084.64</v>
      </c>
      <c r="I16" s="35" t="n">
        <v>39688.59</v>
      </c>
      <c r="J16" s="35" t="n">
        <v>39229.98</v>
      </c>
      <c r="K16" s="35" t="n">
        <v>38640.36</v>
      </c>
      <c r="L16" s="35" t="n">
        <v>31254.13</v>
      </c>
      <c r="M16" s="35" t="n">
        <v>33683.63</v>
      </c>
      <c r="N16" s="36">
        <f>SUM(B16:M16)</f>
        <v/>
      </c>
      <c r="O16" s="37" t="n">
        <v>31828.8</v>
      </c>
      <c r="P16" s="37" t="n">
        <v>33935.64</v>
      </c>
      <c r="Q16" s="37" t="n">
        <v>36037.77</v>
      </c>
      <c r="R16" s="37" t="n">
        <v>34623.48</v>
      </c>
      <c r="S16" s="37" t="n">
        <v>37995.21</v>
      </c>
      <c r="T16" s="37" t="n">
        <v>37118.77</v>
      </c>
      <c r="U16" s="37" t="n">
        <v>38831.14</v>
      </c>
      <c r="V16" s="38" t="n">
        <v>38831.14</v>
      </c>
      <c r="W16" s="38" t="n">
        <v>38831.14</v>
      </c>
      <c r="X16" s="38" t="n">
        <v>38831.14</v>
      </c>
      <c r="Y16" s="38" t="n">
        <v>38831.14</v>
      </c>
      <c r="Z16" s="38" t="n">
        <v>38831.14</v>
      </c>
      <c r="AA16" s="36">
        <f>SUM(O16:U16)</f>
        <v/>
      </c>
      <c r="AB16" s="36">
        <f>SUM(O16:Z16)</f>
        <v/>
      </c>
      <c r="AC16" s="38" t="n">
        <v>38831.14</v>
      </c>
      <c r="AD16" s="38" t="n">
        <v>38831.14</v>
      </c>
      <c r="AE16" s="38" t="n">
        <v>38831.14</v>
      </c>
      <c r="AF16" s="38" t="n">
        <v>38831.14</v>
      </c>
      <c r="AG16" s="38" t="n">
        <v>38831.14</v>
      </c>
      <c r="AH16" s="38" t="n">
        <v>38831.14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2507.7</v>
      </c>
      <c r="C17" s="35" t="n">
        <v>2502.98</v>
      </c>
      <c r="D17" s="35" t="n">
        <v>2767.29</v>
      </c>
      <c r="E17" s="35" t="n">
        <v>4489.64</v>
      </c>
      <c r="F17" s="35" t="n">
        <v>3897.7</v>
      </c>
      <c r="G17" s="35" t="n">
        <v>3435.72</v>
      </c>
      <c r="H17" s="35" t="n">
        <v>3882.52</v>
      </c>
      <c r="I17" s="35" t="n">
        <v>3661.25</v>
      </c>
      <c r="J17" s="35" t="n">
        <v>3574.09</v>
      </c>
      <c r="K17" s="35" t="n">
        <v>3581.38</v>
      </c>
      <c r="L17" s="35" t="n">
        <v>2779.53</v>
      </c>
      <c r="M17" s="35" t="n">
        <v>3180.07</v>
      </c>
      <c r="N17" s="36">
        <f>SUM(B17:M17)</f>
        <v/>
      </c>
      <c r="O17" s="37" t="n">
        <v>2814.7</v>
      </c>
      <c r="P17" s="37" t="n">
        <v>2809.23</v>
      </c>
      <c r="Q17" s="37" t="n">
        <v>3029.45</v>
      </c>
      <c r="R17" s="37" t="n">
        <v>2929.49</v>
      </c>
      <c r="S17" s="37" t="n">
        <v>3346.09</v>
      </c>
      <c r="T17" s="37" t="n">
        <v>3339.3</v>
      </c>
      <c r="U17" s="37" t="n">
        <v>3476.28</v>
      </c>
      <c r="V17" s="38" t="n">
        <v>3476.28</v>
      </c>
      <c r="W17" s="38" t="n">
        <v>3476.28</v>
      </c>
      <c r="X17" s="38" t="n">
        <v>3476.28</v>
      </c>
      <c r="Y17" s="38" t="n">
        <v>3476.28</v>
      </c>
      <c r="Z17" s="38" t="n">
        <v>3476.28</v>
      </c>
      <c r="AA17" s="36">
        <f>SUM(O17:U17)</f>
        <v/>
      </c>
      <c r="AB17" s="36">
        <f>SUM(O17:Z17)</f>
        <v/>
      </c>
      <c r="AC17" s="38" t="n">
        <v>3476.28</v>
      </c>
      <c r="AD17" s="38" t="n">
        <v>3476.28</v>
      </c>
      <c r="AE17" s="38" t="n">
        <v>3476.28</v>
      </c>
      <c r="AF17" s="38" t="n">
        <v>3476.28</v>
      </c>
      <c r="AG17" s="38" t="n">
        <v>3476.28</v>
      </c>
      <c r="AH17" s="38" t="n">
        <v>3476.28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578.26</v>
      </c>
      <c r="C18" s="35" t="n">
        <v>576.6</v>
      </c>
      <c r="D18" s="35" t="n">
        <v>553.41</v>
      </c>
      <c r="E18" s="35" t="n">
        <v>642.37</v>
      </c>
      <c r="F18" s="35" t="n">
        <v>614.2</v>
      </c>
      <c r="G18" s="35" t="n">
        <v>527.5599999999999</v>
      </c>
      <c r="H18" s="35" t="n">
        <v>611.47</v>
      </c>
      <c r="I18" s="35" t="n">
        <v>558.66</v>
      </c>
      <c r="J18" s="35" t="n">
        <v>482.76</v>
      </c>
      <c r="K18" s="35" t="n">
        <v>259.94</v>
      </c>
      <c r="L18" s="35" t="n">
        <v>246.15</v>
      </c>
      <c r="M18" s="35" t="n">
        <v>444.9</v>
      </c>
      <c r="N18" s="36">
        <f>SUM(B18:M18)</f>
        <v/>
      </c>
      <c r="O18" s="37" t="n">
        <v>382.29</v>
      </c>
      <c r="P18" s="37" t="n">
        <v>365.94</v>
      </c>
      <c r="Q18" s="37" t="n">
        <v>332.41</v>
      </c>
      <c r="R18" s="37" t="n">
        <v>422.05</v>
      </c>
      <c r="S18" s="37" t="n">
        <v>453.76</v>
      </c>
      <c r="T18" s="37" t="n">
        <v>473.26</v>
      </c>
      <c r="U18" s="37" t="n">
        <v>523.85</v>
      </c>
      <c r="V18" s="38" t="n">
        <v>523.85</v>
      </c>
      <c r="W18" s="38" t="n">
        <v>523.85</v>
      </c>
      <c r="X18" s="38" t="n">
        <v>523.85</v>
      </c>
      <c r="Y18" s="38" t="n">
        <v>523.85</v>
      </c>
      <c r="Z18" s="38" t="n">
        <v>523.85</v>
      </c>
      <c r="AA18" s="36">
        <f>SUM(O18:U18)</f>
        <v/>
      </c>
      <c r="AB18" s="36">
        <f>SUM(O18:Z18)</f>
        <v/>
      </c>
      <c r="AC18" s="38" t="n">
        <v>523.85</v>
      </c>
      <c r="AD18" s="38" t="n">
        <v>523.85</v>
      </c>
      <c r="AE18" s="38" t="n">
        <v>523.85</v>
      </c>
      <c r="AF18" s="38" t="n">
        <v>523.85</v>
      </c>
      <c r="AG18" s="38" t="n">
        <v>523.85</v>
      </c>
      <c r="AH18" s="38" t="n">
        <v>523.85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108.42</v>
      </c>
      <c r="C19" s="35" t="n">
        <v>232.56</v>
      </c>
      <c r="D19" s="35" t="n">
        <v>0</v>
      </c>
      <c r="E19" s="35" t="n">
        <v>98.81999999999999</v>
      </c>
      <c r="F19" s="35" t="n">
        <v>126.27</v>
      </c>
      <c r="G19" s="35" t="n">
        <v>106.73</v>
      </c>
      <c r="H19" s="35" t="n">
        <v>101.82</v>
      </c>
      <c r="I19" s="35" t="n">
        <v>0</v>
      </c>
      <c r="J19" s="35" t="n">
        <v>119.88</v>
      </c>
      <c r="K19" s="35" t="n">
        <v>408.72</v>
      </c>
      <c r="L19" s="35" t="n">
        <v>115.32</v>
      </c>
      <c r="M19" s="35" t="n">
        <v>114.6</v>
      </c>
      <c r="N19" s="36">
        <f>SUM(B19:M19)</f>
        <v/>
      </c>
      <c r="O19" s="37" t="n">
        <v>0</v>
      </c>
      <c r="P19" s="37" t="n">
        <v>148.85</v>
      </c>
      <c r="Q19" s="37" t="n">
        <v>239.4</v>
      </c>
      <c r="R19" s="37" t="n">
        <v>133.86</v>
      </c>
      <c r="S19" s="37" t="n">
        <v>0</v>
      </c>
      <c r="T19" s="37" t="n">
        <v>133.8</v>
      </c>
      <c r="U19" s="37" t="n">
        <v>34.7</v>
      </c>
      <c r="V19" s="38" t="n">
        <v>88</v>
      </c>
      <c r="W19" s="38" t="n">
        <v>88</v>
      </c>
      <c r="X19" s="38" t="n">
        <v>88</v>
      </c>
      <c r="Y19" s="38" t="n">
        <v>88</v>
      </c>
      <c r="Z19" s="38" t="n">
        <v>88</v>
      </c>
      <c r="AA19" s="36">
        <f>SUM(O19:U19)</f>
        <v/>
      </c>
      <c r="AB19" s="36">
        <f>SUM(O19:Z19)</f>
        <v/>
      </c>
      <c r="AC19" s="38" t="n">
        <v>88</v>
      </c>
      <c r="AD19" s="38" t="n">
        <v>88</v>
      </c>
      <c r="AE19" s="38" t="n">
        <v>88</v>
      </c>
      <c r="AF19" s="38" t="n">
        <v>88</v>
      </c>
      <c r="AG19" s="38" t="n">
        <v>88</v>
      </c>
      <c r="AH19" s="38" t="n">
        <v>88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68.22</v>
      </c>
      <c r="C20" s="35" t="n">
        <v>50</v>
      </c>
      <c r="D20" s="35" t="n">
        <v>0</v>
      </c>
      <c r="E20" s="35" t="n">
        <v>0</v>
      </c>
      <c r="F20" s="35" t="n">
        <v>31.2</v>
      </c>
      <c r="G20" s="35" t="n">
        <v>11.35</v>
      </c>
      <c r="H20" s="35" t="n">
        <v>37.2</v>
      </c>
      <c r="I20" s="35" t="n">
        <v>0</v>
      </c>
      <c r="J20" s="35" t="n">
        <v>114</v>
      </c>
      <c r="K20" s="35" t="n">
        <v>0</v>
      </c>
      <c r="L20" s="35" t="n">
        <v>114</v>
      </c>
      <c r="M20" s="35" t="n">
        <v>-11.28999999999996</v>
      </c>
      <c r="N20" s="36">
        <f>SUM(B20:M20)</f>
        <v/>
      </c>
      <c r="O20" s="37" t="n">
        <v>150</v>
      </c>
      <c r="P20" s="37" t="n">
        <v>0</v>
      </c>
      <c r="Q20" s="37" t="n">
        <v>0</v>
      </c>
      <c r="R20" s="37" t="n">
        <v>750</v>
      </c>
      <c r="S20" s="37" t="n">
        <v>0</v>
      </c>
      <c r="T20" s="37" t="n">
        <v>60</v>
      </c>
      <c r="U20" s="37" t="n">
        <v>361.26</v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304.95</v>
      </c>
      <c r="C21" s="35" t="n">
        <v>264.71</v>
      </c>
      <c r="D21" s="35" t="n">
        <v>188.52</v>
      </c>
      <c r="E21" s="35" t="n">
        <v>236.83</v>
      </c>
      <c r="F21" s="35" t="n">
        <v>480.61</v>
      </c>
      <c r="G21" s="35" t="n">
        <v>227.41</v>
      </c>
      <c r="H21" s="35" t="n">
        <v>311.65</v>
      </c>
      <c r="I21" s="35" t="n">
        <v>17.06</v>
      </c>
      <c r="J21" s="35" t="n">
        <v>76.78999999999999</v>
      </c>
      <c r="K21" s="35" t="n">
        <v>131.31</v>
      </c>
      <c r="L21" s="35" t="n">
        <v>263.85</v>
      </c>
      <c r="M21" s="35" t="n">
        <v>64.3</v>
      </c>
      <c r="N21" s="36">
        <f>SUM(B21:M21)</f>
        <v/>
      </c>
      <c r="O21" s="37" t="n">
        <v>364.02</v>
      </c>
      <c r="P21" s="37" t="n">
        <v>154.27</v>
      </c>
      <c r="Q21" s="37" t="n">
        <v>156.87</v>
      </c>
      <c r="R21" s="37" t="n">
        <v>236.43</v>
      </c>
      <c r="S21" s="37" t="n">
        <v>152.97</v>
      </c>
      <c r="T21" s="37" t="n">
        <v>284.9</v>
      </c>
      <c r="U21" s="37" t="n">
        <v>149.53</v>
      </c>
      <c r="V21" s="38" t="n">
        <v>180</v>
      </c>
      <c r="W21" s="38" t="n">
        <v>180</v>
      </c>
      <c r="X21" s="38" t="n">
        <v>180</v>
      </c>
      <c r="Y21" s="38" t="n">
        <v>180</v>
      </c>
      <c r="Z21" s="38" t="n">
        <v>180</v>
      </c>
      <c r="AA21" s="36">
        <f>SUM(O21:U21)</f>
        <v/>
      </c>
      <c r="AB21" s="36">
        <f>SUM(O21:Z21)</f>
        <v/>
      </c>
      <c r="AC21" s="38" t="n">
        <v>180</v>
      </c>
      <c r="AD21" s="38" t="n">
        <v>180</v>
      </c>
      <c r="AE21" s="38" t="n">
        <v>180</v>
      </c>
      <c r="AF21" s="38" t="n">
        <v>180</v>
      </c>
      <c r="AG21" s="38" t="n">
        <v>180</v>
      </c>
      <c r="AH21" s="38" t="n">
        <v>180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3352.38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 t="n">
        <v>0</v>
      </c>
      <c r="P22" s="37" t="n">
        <v>3528.1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8.109999999999999</v>
      </c>
      <c r="I23" s="35" t="n">
        <v>0</v>
      </c>
      <c r="J23" s="35" t="n">
        <v>23.49</v>
      </c>
      <c r="K23" s="35" t="n">
        <v>6.28</v>
      </c>
      <c r="L23" s="35" t="n">
        <v>0</v>
      </c>
      <c r="M23" s="35" t="n">
        <v>95.38</v>
      </c>
      <c r="N23" s="36">
        <f>SUM(B23:M23)</f>
        <v/>
      </c>
      <c r="O23" s="37" t="n">
        <v>45.76</v>
      </c>
      <c r="P23" s="37" t="n">
        <v>81.02</v>
      </c>
      <c r="Q23" s="37" t="n">
        <v>37.24</v>
      </c>
      <c r="R23" s="37" t="n">
        <v>94.41</v>
      </c>
      <c r="S23" s="37" t="n">
        <v>80.88</v>
      </c>
      <c r="T23" s="37" t="n">
        <v>56.6</v>
      </c>
      <c r="U23" s="37" t="n">
        <v>122.2</v>
      </c>
      <c r="V23" s="38" t="n">
        <v>75</v>
      </c>
      <c r="W23" s="38" t="n">
        <v>75</v>
      </c>
      <c r="X23" s="38" t="n">
        <v>75</v>
      </c>
      <c r="Y23" s="38" t="n">
        <v>75</v>
      </c>
      <c r="Z23" s="38" t="n">
        <v>75</v>
      </c>
      <c r="AA23" s="36">
        <f>SUM(O23:U23)</f>
        <v/>
      </c>
      <c r="AB23" s="36">
        <f>SUM(O23:Z23)</f>
        <v/>
      </c>
      <c r="AC23" s="38" t="n">
        <v>75</v>
      </c>
      <c r="AD23" s="38" t="n">
        <v>75</v>
      </c>
      <c r="AE23" s="38" t="n">
        <v>75</v>
      </c>
      <c r="AF23" s="38" t="n">
        <v>75</v>
      </c>
      <c r="AG23" s="38" t="n">
        <v>75</v>
      </c>
      <c r="AH23" s="38" t="n">
        <v>75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226.03</v>
      </c>
      <c r="G24" s="35" t="n">
        <v>0</v>
      </c>
      <c r="H24" s="35" t="n">
        <v>249.41</v>
      </c>
      <c r="I24" s="35" t="n">
        <v>0</v>
      </c>
      <c r="J24" s="35" t="n">
        <v>0</v>
      </c>
      <c r="K24" s="35" t="n">
        <v>4590.68</v>
      </c>
      <c r="L24" s="35" t="n">
        <v>3008.5</v>
      </c>
      <c r="M24" s="35" t="n">
        <v>0</v>
      </c>
      <c r="N24" s="36">
        <f>SUM(B24:M24)</f>
        <v/>
      </c>
      <c r="O24" s="37" t="n">
        <v>1286.01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7" t="n">
        <v>0</v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35172.41</v>
      </c>
      <c r="C25" s="42" t="n">
        <v>35747.46999999999</v>
      </c>
      <c r="D25" s="42" t="n">
        <v>37292.51</v>
      </c>
      <c r="E25" s="42" t="n">
        <v>44556.27</v>
      </c>
      <c r="F25" s="42" t="n">
        <v>44581.99999999999</v>
      </c>
      <c r="G25" s="42" t="n">
        <v>37022.34</v>
      </c>
      <c r="H25" s="42" t="n">
        <v>43286.82</v>
      </c>
      <c r="I25" s="42" t="n">
        <v>43925.56</v>
      </c>
      <c r="J25" s="42" t="n">
        <v>43620.99000000001</v>
      </c>
      <c r="K25" s="42" t="n">
        <v>47618.67</v>
      </c>
      <c r="L25" s="42" t="n">
        <v>37781.48</v>
      </c>
      <c r="M25" s="42" t="n">
        <v>37571.59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2289.58</v>
      </c>
      <c r="C27" s="35" t="n">
        <v>2546.22</v>
      </c>
      <c r="D27" s="35" t="n">
        <v>2519.94</v>
      </c>
      <c r="E27" s="35" t="n">
        <v>2197.72</v>
      </c>
      <c r="F27" s="35" t="n">
        <v>3033.92</v>
      </c>
      <c r="G27" s="35" t="n">
        <v>2423.51</v>
      </c>
      <c r="H27" s="35" t="n">
        <v>2384.5</v>
      </c>
      <c r="I27" s="35" t="n">
        <v>3214.98</v>
      </c>
      <c r="J27" s="35" t="n">
        <v>2401.27</v>
      </c>
      <c r="K27" s="35" t="n">
        <v>3123.55</v>
      </c>
      <c r="L27" s="35" t="n">
        <v>2139.83</v>
      </c>
      <c r="M27" s="35" t="n">
        <v>1819.24</v>
      </c>
      <c r="N27" s="36">
        <f>SUM(B27:M27)</f>
        <v/>
      </c>
      <c r="O27" s="37" t="n">
        <v>1461.98</v>
      </c>
      <c r="P27" s="37" t="n">
        <v>1803.02</v>
      </c>
      <c r="Q27" s="37" t="n">
        <v>1441.43</v>
      </c>
      <c r="R27" s="37" t="n">
        <v>1269.6</v>
      </c>
      <c r="S27" s="37" t="n">
        <v>1831.11</v>
      </c>
      <c r="T27" s="37" t="n">
        <v>2098.22</v>
      </c>
      <c r="U27" s="37" t="n">
        <v>2298.43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150.47</v>
      </c>
      <c r="C28" s="35" t="n">
        <v>158.38</v>
      </c>
      <c r="D28" s="35" t="n">
        <v>149.6</v>
      </c>
      <c r="E28" s="35" t="n">
        <v>525.9299999999999</v>
      </c>
      <c r="F28" s="35" t="n">
        <v>276.46</v>
      </c>
      <c r="G28" s="35" t="n">
        <v>459.8100000000001</v>
      </c>
      <c r="H28" s="35" t="n">
        <v>618.96</v>
      </c>
      <c r="I28" s="35" t="n">
        <v>0</v>
      </c>
      <c r="J28" s="35" t="n">
        <v>157.63</v>
      </c>
      <c r="K28" s="35" t="n">
        <v>157.78</v>
      </c>
      <c r="L28" s="35" t="n">
        <v>433.98</v>
      </c>
      <c r="M28" s="35" t="n">
        <v>160.93</v>
      </c>
      <c r="N28" s="36">
        <f>SUM(B28:M28)</f>
        <v/>
      </c>
      <c r="O28" s="37" t="n">
        <v>322.01</v>
      </c>
      <c r="P28" s="37" t="n">
        <v>20.41</v>
      </c>
      <c r="Q28" s="37" t="n">
        <v>909.8</v>
      </c>
      <c r="R28" s="37" t="n">
        <v>451.0299999999999</v>
      </c>
      <c r="S28" s="37" t="n">
        <v>117.11</v>
      </c>
      <c r="T28" s="37" t="n">
        <v>27.56</v>
      </c>
      <c r="U28" s="37" t="n">
        <v>155.11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265.61</v>
      </c>
      <c r="C29" s="35" t="n">
        <v>319.94</v>
      </c>
      <c r="D29" s="35" t="n">
        <v>271.53</v>
      </c>
      <c r="E29" s="35" t="n">
        <v>23.32</v>
      </c>
      <c r="F29" s="35" t="n">
        <v>4.64</v>
      </c>
      <c r="G29" s="35" t="n">
        <v>27.53</v>
      </c>
      <c r="H29" s="35" t="n">
        <v>0</v>
      </c>
      <c r="I29" s="35" t="n">
        <v>0</v>
      </c>
      <c r="J29" s="35" t="n">
        <v>6</v>
      </c>
      <c r="K29" s="35" t="n">
        <v>204.23</v>
      </c>
      <c r="L29" s="35" t="n">
        <v>22.49</v>
      </c>
      <c r="M29" s="35" t="n">
        <v>233.2</v>
      </c>
      <c r="N29" s="36">
        <f>SUM(B29:M29)</f>
        <v/>
      </c>
      <c r="O29" s="37" t="n">
        <v>13.68</v>
      </c>
      <c r="P29" s="37" t="n">
        <v>256.29</v>
      </c>
      <c r="Q29" s="37" t="n">
        <v>62.83</v>
      </c>
      <c r="R29" s="37" t="n">
        <v>37.49</v>
      </c>
      <c r="S29" s="37" t="n">
        <v>11.09</v>
      </c>
      <c r="T29" s="37" t="n">
        <v>150.56</v>
      </c>
      <c r="U29" s="37" t="n">
        <v>175.69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0.004160000000000001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28.68</v>
      </c>
      <c r="C30" s="35" t="n">
        <v>99.43000000000001</v>
      </c>
      <c r="D30" s="35" t="n">
        <v>62.8</v>
      </c>
      <c r="E30" s="35" t="n">
        <v>18.53</v>
      </c>
      <c r="F30" s="35" t="n">
        <v>58.69</v>
      </c>
      <c r="G30" s="35" t="n">
        <v>7.64</v>
      </c>
      <c r="H30" s="35" t="n">
        <v>76.06</v>
      </c>
      <c r="I30" s="35" t="n">
        <v>48.85</v>
      </c>
      <c r="J30" s="35" t="n">
        <v>0</v>
      </c>
      <c r="K30" s="35" t="n">
        <v>112.19</v>
      </c>
      <c r="L30" s="35" t="n">
        <v>108.87</v>
      </c>
      <c r="M30" s="35" t="n">
        <v>0</v>
      </c>
      <c r="N30" s="36">
        <f>SUM(B30:M30)</f>
        <v/>
      </c>
      <c r="O30" s="37" t="n">
        <v>58.06</v>
      </c>
      <c r="P30" s="37" t="n">
        <v>58.6</v>
      </c>
      <c r="Q30" s="37" t="n">
        <v>46.33</v>
      </c>
      <c r="R30" s="37" t="n">
        <v>12.97</v>
      </c>
      <c r="S30" s="37" t="n">
        <v>120.18</v>
      </c>
      <c r="T30" s="37" t="n">
        <v>22.92</v>
      </c>
      <c r="U30" s="37" t="n">
        <v>43.05</v>
      </c>
      <c r="V30" s="38" t="n">
        <v>90</v>
      </c>
      <c r="W30" s="38" t="n">
        <v>90</v>
      </c>
      <c r="X30" s="38" t="n">
        <v>90</v>
      </c>
      <c r="Y30" s="38" t="n">
        <v>90</v>
      </c>
      <c r="Z30" s="38" t="n">
        <v>90</v>
      </c>
      <c r="AA30" s="36">
        <f>SUM(O30:U30)</f>
        <v/>
      </c>
      <c r="AB30" s="36">
        <f>SUM(O30:Z30)</f>
        <v/>
      </c>
      <c r="AC30" s="38" t="n">
        <v>90</v>
      </c>
      <c r="AD30" s="38" t="n">
        <v>90</v>
      </c>
      <c r="AE30" s="38" t="n">
        <v>90</v>
      </c>
      <c r="AF30" s="38" t="n">
        <v>90</v>
      </c>
      <c r="AG30" s="38" t="n">
        <v>90</v>
      </c>
      <c r="AH30" s="38" t="n">
        <v>90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160.7</v>
      </c>
      <c r="C31" s="35" t="n">
        <v>123.84</v>
      </c>
      <c r="D31" s="35" t="n">
        <v>222.23</v>
      </c>
      <c r="E31" s="35" t="n">
        <v>28.49</v>
      </c>
      <c r="F31" s="35" t="n">
        <v>71.57000000000001</v>
      </c>
      <c r="G31" s="35" t="n">
        <v>71.31999999999999</v>
      </c>
      <c r="H31" s="35" t="n">
        <v>80.70999999999999</v>
      </c>
      <c r="I31" s="35" t="n">
        <v>3.95</v>
      </c>
      <c r="J31" s="35" t="n">
        <v>12.98</v>
      </c>
      <c r="K31" s="35" t="n">
        <v>267.22</v>
      </c>
      <c r="L31" s="35" t="n">
        <v>151.94</v>
      </c>
      <c r="M31" s="35" t="n">
        <v>10.99</v>
      </c>
      <c r="N31" s="36">
        <f>SUM(B31:M31)</f>
        <v/>
      </c>
      <c r="O31" s="37" t="n">
        <v>84.18000000000001</v>
      </c>
      <c r="P31" s="37" t="n">
        <v>56.22</v>
      </c>
      <c r="Q31" s="37" t="n">
        <v>65.83</v>
      </c>
      <c r="R31" s="37" t="n">
        <v>102.29</v>
      </c>
      <c r="S31" s="37" t="n">
        <v>259.6</v>
      </c>
      <c r="T31" s="37" t="n">
        <v>44.01</v>
      </c>
      <c r="U31" s="37" t="n">
        <v>53.56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418.32</v>
      </c>
      <c r="C32" s="35" t="n">
        <v>226.31</v>
      </c>
      <c r="D32" s="35" t="n">
        <v>105.24</v>
      </c>
      <c r="E32" s="35" t="n">
        <v>357.01</v>
      </c>
      <c r="F32" s="35" t="n">
        <v>282.85</v>
      </c>
      <c r="G32" s="35" t="n">
        <v>276.79</v>
      </c>
      <c r="H32" s="35" t="n">
        <v>241.13</v>
      </c>
      <c r="I32" s="35" t="n">
        <v>7</v>
      </c>
      <c r="J32" s="35" t="n">
        <v>251.25</v>
      </c>
      <c r="K32" s="35" t="n">
        <v>196.15</v>
      </c>
      <c r="L32" s="35" t="n">
        <v>468.95</v>
      </c>
      <c r="M32" s="35" t="n">
        <v>683.21</v>
      </c>
      <c r="N32" s="36">
        <f>SUM(B32:M32)</f>
        <v/>
      </c>
      <c r="O32" s="37" t="n">
        <v>511.53</v>
      </c>
      <c r="P32" s="37" t="n">
        <v>341.6</v>
      </c>
      <c r="Q32" s="37" t="n">
        <v>320.13</v>
      </c>
      <c r="R32" s="37" t="n">
        <v>615.91</v>
      </c>
      <c r="S32" s="37" t="n">
        <v>581.7900000000001</v>
      </c>
      <c r="T32" s="37" t="n">
        <v>474.05</v>
      </c>
      <c r="U32" s="37" t="n">
        <v>146.24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0.005200000000000001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SUMIF('MER TB'!$R:$R,'MER P&amp;L'!$A33,'MER TB'!C:C)</f>
        <v/>
      </c>
      <c r="P33" s="37">
        <f>SUMIF('MER TB'!$R:$R,'MER P&amp;L'!$A33,'MER TB'!D:D)</f>
        <v/>
      </c>
      <c r="Q33" s="37">
        <f>SUMIF('MER TB'!$R:$R,'MER P&amp;L'!$A33,'MER TB'!E:E)</f>
        <v/>
      </c>
      <c r="R33" s="37">
        <f>SUMIF('MER TB'!$R:$R,'MER P&amp;L'!$A33,'MER TB'!F:F)</f>
        <v/>
      </c>
      <c r="S33" s="37">
        <f>SUMIF('MER TB'!$R:$R,'MER P&amp;L'!$A33,'MER TB'!G:G)</f>
        <v/>
      </c>
      <c r="T33" s="37">
        <f>SUMIF('MER TB'!$R:$R,'MER P&amp;L'!$A33,'MER TB'!H:H)</f>
        <v/>
      </c>
      <c r="U33" s="37">
        <f>SUMIF('MER TB'!$R:$R,'MER P&amp;L'!$A33,'MER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3313.36</v>
      </c>
      <c r="C34" s="42" t="n">
        <v>3474.12</v>
      </c>
      <c r="D34" s="42" t="n">
        <v>3331.34</v>
      </c>
      <c r="E34" s="42" t="n">
        <v>3151</v>
      </c>
      <c r="F34" s="42" t="n">
        <v>3728.13</v>
      </c>
      <c r="G34" s="42" t="n">
        <v>3266.6</v>
      </c>
      <c r="H34" s="42" t="n">
        <v>3401.36</v>
      </c>
      <c r="I34" s="42" t="n">
        <v>3274.78</v>
      </c>
      <c r="J34" s="42" t="n">
        <v>2829.13</v>
      </c>
      <c r="K34" s="42" t="n">
        <v>4061.12</v>
      </c>
      <c r="L34" s="42" t="n">
        <v>3326.059999999999</v>
      </c>
      <c r="M34" s="42" t="n">
        <v>2907.57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SUMIF('MER TB'!$R:$R,'MER P&amp;L'!$A36,'MER TB'!C:C)</f>
        <v/>
      </c>
      <c r="P36" s="37">
        <f>SUMIF('MER TB'!$R:$R,'MER P&amp;L'!$A36,'MER TB'!D:D)</f>
        <v/>
      </c>
      <c r="Q36" s="37">
        <f>SUMIF('MER TB'!$R:$R,'MER P&amp;L'!$A36,'MER TB'!E:E)</f>
        <v/>
      </c>
      <c r="R36" s="37">
        <f>SUMIF('MER TB'!$R:$R,'MER P&amp;L'!$A36,'MER TB'!F:F)</f>
        <v/>
      </c>
      <c r="S36" s="37">
        <f>SUMIF('MER TB'!$R:$R,'MER P&amp;L'!$A36,'MER TB'!G:G)</f>
        <v/>
      </c>
      <c r="T36" s="37">
        <f>SUMIF('MER TB'!$R:$R,'MER P&amp;L'!$A36,'MER TB'!H:H)</f>
        <v/>
      </c>
      <c r="U36" s="37">
        <f>SUMIF('MER TB'!$R:$R,'MER P&amp;L'!$A36,'MER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3094</v>
      </c>
      <c r="C37" s="35" t="n">
        <v>3094</v>
      </c>
      <c r="D37" s="35" t="n">
        <v>3094</v>
      </c>
      <c r="E37" s="35" t="n">
        <v>3145</v>
      </c>
      <c r="F37" s="35" t="n">
        <v>3145</v>
      </c>
      <c r="G37" s="35" t="n">
        <v>3145</v>
      </c>
      <c r="H37" s="35" t="n">
        <v>3145</v>
      </c>
      <c r="I37" s="35" t="n">
        <v>3145</v>
      </c>
      <c r="J37" s="35" t="n">
        <v>3145</v>
      </c>
      <c r="K37" s="35" t="n">
        <v>3145</v>
      </c>
      <c r="L37" s="35" t="n">
        <v>3145</v>
      </c>
      <c r="M37" s="35" t="n">
        <v>3145</v>
      </c>
      <c r="N37" s="36">
        <f>SUM(B37:M37)</f>
        <v/>
      </c>
      <c r="O37" s="37" t="n">
        <v>3145</v>
      </c>
      <c r="P37" s="37" t="n">
        <v>3145</v>
      </c>
      <c r="Q37" s="37" t="n">
        <v>3145</v>
      </c>
      <c r="R37" s="37" t="n">
        <v>3021.67</v>
      </c>
      <c r="S37" s="37" t="n">
        <v>3021.67</v>
      </c>
      <c r="T37" s="37" t="n">
        <v>3021.67</v>
      </c>
      <c r="U37" s="37" t="n">
        <v>3021.67</v>
      </c>
      <c r="V37" s="38" t="n">
        <v>3022</v>
      </c>
      <c r="W37" s="38" t="n">
        <v>3022</v>
      </c>
      <c r="X37" s="38" t="n">
        <v>3022</v>
      </c>
      <c r="Y37" s="38" t="n">
        <v>3022</v>
      </c>
      <c r="Z37" s="38" t="n">
        <v>3022</v>
      </c>
      <c r="AA37" s="36">
        <f>SUM(O37:U37)</f>
        <v/>
      </c>
      <c r="AB37" s="36">
        <f>SUM(O37:Z37)</f>
        <v/>
      </c>
      <c r="AC37" s="38" t="n">
        <v>3022</v>
      </c>
      <c r="AD37" s="38" t="n">
        <v>3022</v>
      </c>
      <c r="AE37" s="38" t="n">
        <v>3022</v>
      </c>
      <c r="AF37" s="38" t="n">
        <v>3022</v>
      </c>
      <c r="AG37" s="38" t="n">
        <v>3022</v>
      </c>
      <c r="AH37" s="38" t="n">
        <v>3022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1090.6</v>
      </c>
      <c r="C38" s="35" t="n">
        <v>72.00000000000045</v>
      </c>
      <c r="D38" s="35" t="n">
        <v>2060.91</v>
      </c>
      <c r="E38" s="35" t="n">
        <v>1227.22</v>
      </c>
      <c r="F38" s="35" t="n">
        <v>800.8800000000001</v>
      </c>
      <c r="G38" s="35" t="n">
        <v>1086.41</v>
      </c>
      <c r="H38" s="35" t="n">
        <v>648.46</v>
      </c>
      <c r="I38" s="35" t="n">
        <v>655.5999999999999</v>
      </c>
      <c r="J38" s="35" t="n">
        <v>1518.48</v>
      </c>
      <c r="K38" s="35" t="n">
        <v>795.6700000000001</v>
      </c>
      <c r="L38" s="35" t="n">
        <v>740.5999999999999</v>
      </c>
      <c r="M38" s="35" t="n">
        <v>1205.02</v>
      </c>
      <c r="N38" s="36">
        <f>SUM(B38:M38)</f>
        <v/>
      </c>
      <c r="O38" s="37" t="n">
        <v>985.79</v>
      </c>
      <c r="P38" s="37" t="n">
        <v>1036.83</v>
      </c>
      <c r="Q38" s="37" t="n">
        <v>1302.1</v>
      </c>
      <c r="R38" s="37" t="n">
        <v>1010.56</v>
      </c>
      <c r="S38" s="37" t="n">
        <v>808.67</v>
      </c>
      <c r="T38" s="37" t="n">
        <v>470.01</v>
      </c>
      <c r="U38" s="37" t="n">
        <v>732.4000000000001</v>
      </c>
      <c r="V38" s="38" t="n">
        <v>996</v>
      </c>
      <c r="W38" s="38" t="n">
        <v>996</v>
      </c>
      <c r="X38" s="38" t="n">
        <v>996</v>
      </c>
      <c r="Y38" s="38" t="n">
        <v>996</v>
      </c>
      <c r="Z38" s="38" t="n">
        <v>996</v>
      </c>
      <c r="AA38" s="36">
        <f>SUM(O38:U38)</f>
        <v/>
      </c>
      <c r="AB38" s="36">
        <f>SUM(O38:Z38)</f>
        <v/>
      </c>
      <c r="AC38" s="38" t="n">
        <v>996</v>
      </c>
      <c r="AD38" s="38" t="n">
        <v>996</v>
      </c>
      <c r="AE38" s="38" t="n">
        <v>996</v>
      </c>
      <c r="AF38" s="38" t="n">
        <v>996</v>
      </c>
      <c r="AG38" s="38" t="n">
        <v>996</v>
      </c>
      <c r="AH38" s="38" t="n">
        <v>996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222</v>
      </c>
      <c r="C39" s="35" t="n">
        <v>0</v>
      </c>
      <c r="D39" s="35" t="n">
        <v>2295.47</v>
      </c>
      <c r="E39" s="35" t="n">
        <v>59.2</v>
      </c>
      <c r="F39" s="35" t="n">
        <v>102.84</v>
      </c>
      <c r="G39" s="35" t="n">
        <v>156.31</v>
      </c>
      <c r="H39" s="35" t="n">
        <v>269.93</v>
      </c>
      <c r="I39" s="35" t="n">
        <v>7.38</v>
      </c>
      <c r="J39" s="35" t="n">
        <v>10.62</v>
      </c>
      <c r="K39" s="35" t="n">
        <v>114.23</v>
      </c>
      <c r="L39" s="35" t="n">
        <v>36</v>
      </c>
      <c r="M39" s="35" t="n">
        <v>108</v>
      </c>
      <c r="N39" s="36">
        <f>SUM(B39:M39)</f>
        <v/>
      </c>
      <c r="O39" s="37" t="n">
        <v>0</v>
      </c>
      <c r="P39" s="37" t="n">
        <v>3635.32</v>
      </c>
      <c r="Q39" s="37" t="n">
        <v>1337.4</v>
      </c>
      <c r="R39" s="37" t="n">
        <v>110.18</v>
      </c>
      <c r="S39" s="37" t="n">
        <v>120.98</v>
      </c>
      <c r="T39" s="37" t="n">
        <v>0</v>
      </c>
      <c r="U39" s="37" t="n">
        <v>917.1200000000001</v>
      </c>
      <c r="V39" s="38" t="n"/>
      <c r="W39" s="38" t="n">
        <v>3500</v>
      </c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910.8999999999999</v>
      </c>
      <c r="C40" s="35" t="n">
        <v>436.73</v>
      </c>
      <c r="D40" s="35" t="n">
        <v>608.49</v>
      </c>
      <c r="E40" s="35" t="n">
        <v>631.55</v>
      </c>
      <c r="F40" s="35" t="n">
        <v>660.9300000000001</v>
      </c>
      <c r="G40" s="35" t="n">
        <v>1356.2</v>
      </c>
      <c r="H40" s="35" t="n">
        <v>461</v>
      </c>
      <c r="I40" s="35" t="n">
        <v>439.54</v>
      </c>
      <c r="J40" s="35" t="n">
        <v>1191.48</v>
      </c>
      <c r="K40" s="35" t="n">
        <v>462.57</v>
      </c>
      <c r="L40" s="35" t="n">
        <v>228.42</v>
      </c>
      <c r="M40" s="35" t="n">
        <v>464.64</v>
      </c>
      <c r="N40" s="36">
        <f>SUM(B40:M40)</f>
        <v/>
      </c>
      <c r="O40" s="37" t="n">
        <v>354.19</v>
      </c>
      <c r="P40" s="37" t="n">
        <v>49.12</v>
      </c>
      <c r="Q40" s="37" t="n">
        <v>456.79</v>
      </c>
      <c r="R40" s="37" t="n">
        <v>280.03</v>
      </c>
      <c r="S40" s="37" t="n">
        <v>401.15</v>
      </c>
      <c r="T40" s="37" t="n">
        <v>459.4</v>
      </c>
      <c r="U40" s="37" t="n">
        <v>5.63</v>
      </c>
      <c r="V40" s="38" t="n">
        <v>333</v>
      </c>
      <c r="W40" s="38" t="n">
        <v>333</v>
      </c>
      <c r="X40" s="38" t="n">
        <v>333</v>
      </c>
      <c r="Y40" s="38" t="n">
        <v>333</v>
      </c>
      <c r="Z40" s="38" t="n">
        <v>333</v>
      </c>
      <c r="AA40" s="36">
        <f>SUM(O40:U40)</f>
        <v/>
      </c>
      <c r="AB40" s="36">
        <f>SUM(O40:Z40)</f>
        <v/>
      </c>
      <c r="AC40" s="38" t="n">
        <v>333</v>
      </c>
      <c r="AD40" s="38" t="n">
        <v>333</v>
      </c>
      <c r="AE40" s="38" t="n">
        <v>333</v>
      </c>
      <c r="AF40" s="38" t="n">
        <v>333</v>
      </c>
      <c r="AG40" s="38" t="n">
        <v>333</v>
      </c>
      <c r="AH40" s="38" t="n">
        <v>333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377.59</v>
      </c>
      <c r="C41" s="35" t="n">
        <v>583.16</v>
      </c>
      <c r="D41" s="35" t="n">
        <v>730.2299999999999</v>
      </c>
      <c r="E41" s="35" t="n">
        <v>334.81</v>
      </c>
      <c r="F41" s="35" t="n">
        <v>283.5700000000001</v>
      </c>
      <c r="G41" s="35" t="n">
        <v>414.48</v>
      </c>
      <c r="H41" s="35" t="n">
        <v>361.07</v>
      </c>
      <c r="I41" s="35" t="n">
        <v>449.9</v>
      </c>
      <c r="J41" s="35" t="n">
        <v>780.8099999999999</v>
      </c>
      <c r="K41" s="35" t="n">
        <v>411.19</v>
      </c>
      <c r="L41" s="35" t="n">
        <v>428.31</v>
      </c>
      <c r="M41" s="35" t="n">
        <v>481.72</v>
      </c>
      <c r="N41" s="36">
        <f>SUM(B41:M41)</f>
        <v/>
      </c>
      <c r="O41" s="37" t="n">
        <v>428.3</v>
      </c>
      <c r="P41" s="37" t="n">
        <v>529.11</v>
      </c>
      <c r="Q41" s="37" t="n">
        <v>481.72</v>
      </c>
      <c r="R41" s="37" t="n">
        <v>536.35</v>
      </c>
      <c r="S41" s="37" t="n">
        <v>455.32</v>
      </c>
      <c r="T41" s="37" t="n">
        <v>346.66</v>
      </c>
      <c r="U41" s="37" t="n">
        <v>620.08</v>
      </c>
      <c r="V41" s="38" t="n">
        <v>474</v>
      </c>
      <c r="W41" s="38" t="n">
        <v>474</v>
      </c>
      <c r="X41" s="38" t="n">
        <v>474</v>
      </c>
      <c r="Y41" s="38" t="n">
        <v>474</v>
      </c>
      <c r="Z41" s="38" t="n">
        <v>474</v>
      </c>
      <c r="AA41" s="36">
        <f>SUM(O41:U41)</f>
        <v/>
      </c>
      <c r="AB41" s="36">
        <f>SUM(O41:Z41)</f>
        <v/>
      </c>
      <c r="AC41" s="38" t="n">
        <v>474</v>
      </c>
      <c r="AD41" s="38" t="n">
        <v>474</v>
      </c>
      <c r="AE41" s="38" t="n">
        <v>474</v>
      </c>
      <c r="AF41" s="38" t="n">
        <v>474</v>
      </c>
      <c r="AG41" s="38" t="n">
        <v>474</v>
      </c>
      <c r="AH41" s="38" t="n">
        <v>474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71.09999999999999</v>
      </c>
      <c r="C42" s="35" t="n">
        <v>84.2</v>
      </c>
      <c r="D42" s="35" t="n">
        <v>53.57</v>
      </c>
      <c r="E42" s="35" t="n">
        <v>40.14</v>
      </c>
      <c r="F42" s="35" t="n">
        <v>67.65000000000001</v>
      </c>
      <c r="G42" s="35" t="n">
        <v>49.08</v>
      </c>
      <c r="H42" s="35" t="n">
        <v>71.48999999999999</v>
      </c>
      <c r="I42" s="35" t="n">
        <v>270.78</v>
      </c>
      <c r="J42" s="35" t="n">
        <v>102.83</v>
      </c>
      <c r="K42" s="35" t="n">
        <v>91.92</v>
      </c>
      <c r="L42" s="35" t="n">
        <v>54.05</v>
      </c>
      <c r="M42" s="35" t="n">
        <v>43.75</v>
      </c>
      <c r="N42" s="36">
        <f>SUM(B42:M42)</f>
        <v/>
      </c>
      <c r="O42" s="37" t="n">
        <v>86.89</v>
      </c>
      <c r="P42" s="37" t="n">
        <v>86.22</v>
      </c>
      <c r="Q42" s="37" t="n">
        <v>84.04000000000001</v>
      </c>
      <c r="R42" s="37" t="n">
        <v>78.89</v>
      </c>
      <c r="S42" s="37" t="n">
        <v>111.28</v>
      </c>
      <c r="T42" s="37" t="n">
        <v>81.90000000000001</v>
      </c>
      <c r="U42" s="37" t="n">
        <v>104.47</v>
      </c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382</v>
      </c>
      <c r="P43" s="37" t="n">
        <v>485</v>
      </c>
      <c r="Q43" s="37" t="n">
        <v>290</v>
      </c>
      <c r="R43" s="37" t="n">
        <v>252</v>
      </c>
      <c r="S43" s="37" t="n">
        <v>174</v>
      </c>
      <c r="T43" s="37" t="n">
        <v>0</v>
      </c>
      <c r="U43" s="37" t="n">
        <v>0</v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SUMIF('MER TB'!$R:$R,'MER P&amp;L'!$A44,'MER TB'!C:C)</f>
        <v/>
      </c>
      <c r="P44" s="37">
        <f>SUMIF('MER TB'!$R:$R,'MER P&amp;L'!$A44,'MER TB'!D:D)</f>
        <v/>
      </c>
      <c r="Q44" s="37">
        <f>SUMIF('MER TB'!$R:$R,'MER P&amp;L'!$A44,'MER TB'!E:E)</f>
        <v/>
      </c>
      <c r="R44" s="37">
        <f>SUMIF('MER TB'!$R:$R,'MER P&amp;L'!$A44,'MER TB'!F:F)</f>
        <v/>
      </c>
      <c r="S44" s="37">
        <f>SUMIF('MER TB'!$R:$R,'MER P&amp;L'!$A44,'MER TB'!G:G)</f>
        <v/>
      </c>
      <c r="T44" s="37">
        <f>SUMIF('MER TB'!$R:$R,'MER P&amp;L'!$A44,'MER TB'!H:H)</f>
        <v/>
      </c>
      <c r="U44" s="37">
        <f>SUMIF('MER TB'!$R:$R,'MER P&amp;L'!$A44,'MER TB'!I:I)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270.44</v>
      </c>
      <c r="E45" s="35" t="n">
        <v>0</v>
      </c>
      <c r="F45" s="35" t="n">
        <v>0</v>
      </c>
      <c r="G45" s="35" t="n">
        <v>265</v>
      </c>
      <c r="H45" s="35" t="n">
        <v>0</v>
      </c>
      <c r="I45" s="35" t="n">
        <v>45</v>
      </c>
      <c r="J45" s="35" t="n">
        <v>41.25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174</v>
      </c>
      <c r="P45" s="37" t="n">
        <v>0</v>
      </c>
      <c r="Q45" s="37" t="n">
        <v>0</v>
      </c>
      <c r="R45" s="37" t="n">
        <v>171</v>
      </c>
      <c r="S45" s="37" t="n">
        <v>0</v>
      </c>
      <c r="T45" s="37" t="n">
        <v>220</v>
      </c>
      <c r="U45" s="37" t="n">
        <v>13.5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SUMIF('MER TB'!$R:$R,'MER P&amp;L'!$A46,'MER TB'!C:C)</f>
        <v/>
      </c>
      <c r="P46" s="37">
        <f>SUMIF('MER TB'!$R:$R,'MER P&amp;L'!$A46,'MER TB'!D:D)</f>
        <v/>
      </c>
      <c r="Q46" s="37">
        <f>SUMIF('MER TB'!$R:$R,'MER P&amp;L'!$A46,'MER TB'!E:E)</f>
        <v/>
      </c>
      <c r="R46" s="37">
        <f>SUMIF('MER TB'!$R:$R,'MER P&amp;L'!$A46,'MER TB'!F:F)</f>
        <v/>
      </c>
      <c r="S46" s="37">
        <f>SUMIF('MER TB'!$R:$R,'MER P&amp;L'!$A46,'MER TB'!G:G)</f>
        <v/>
      </c>
      <c r="T46" s="37">
        <f>SUMIF('MER TB'!$R:$R,'MER P&amp;L'!$A46,'MER TB'!H:H)</f>
        <v/>
      </c>
      <c r="U46" s="37">
        <f>SUMIF('MER TB'!$R:$R,'MER P&amp;L'!$A46,'MER TB'!I:I)</f>
        <v/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5766.190000000001</v>
      </c>
      <c r="C47" s="42" t="n">
        <v>4270.09</v>
      </c>
      <c r="D47" s="42" t="n">
        <v>9113.110000000001</v>
      </c>
      <c r="E47" s="42" t="n">
        <v>5437.920000000001</v>
      </c>
      <c r="F47" s="42" t="n">
        <v>5060.87</v>
      </c>
      <c r="G47" s="42" t="n">
        <v>6472.48</v>
      </c>
      <c r="H47" s="42" t="n">
        <v>4956.949999999999</v>
      </c>
      <c r="I47" s="42" t="n">
        <v>5013.2</v>
      </c>
      <c r="J47" s="42" t="n">
        <v>6790.469999999999</v>
      </c>
      <c r="K47" s="42" t="n">
        <v>5020.58</v>
      </c>
      <c r="L47" s="42" t="n">
        <v>4632.38</v>
      </c>
      <c r="M47" s="42" t="n">
        <v>5448.130000000001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44251.96</v>
      </c>
      <c r="C48" s="23" t="n">
        <v>43491.67999999999</v>
      </c>
      <c r="D48" s="23" t="n">
        <v>49736.96000000001</v>
      </c>
      <c r="E48" s="23" t="n">
        <v>53145.19</v>
      </c>
      <c r="F48" s="23" t="n">
        <v>53370.99999999999</v>
      </c>
      <c r="G48" s="23" t="n">
        <v>46761.42</v>
      </c>
      <c r="H48" s="23" t="n">
        <v>51645.13</v>
      </c>
      <c r="I48" s="23" t="n">
        <v>52213.53999999999</v>
      </c>
      <c r="J48" s="23" t="n">
        <v>53240.59</v>
      </c>
      <c r="K48" s="23" t="n">
        <v>56700.37</v>
      </c>
      <c r="L48" s="23" t="n">
        <v>45739.92</v>
      </c>
      <c r="M48" s="23" t="n">
        <v>45927.28999999999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54802.88000000001</v>
      </c>
      <c r="C50" s="55" t="n">
        <v>46070.28000000001</v>
      </c>
      <c r="D50" s="55" t="n">
        <v>51681.73</v>
      </c>
      <c r="E50" s="55" t="n">
        <v>52382.08</v>
      </c>
      <c r="F50" s="55" t="n">
        <v>45925.59000000001</v>
      </c>
      <c r="G50" s="55" t="n">
        <v>49640.09000000001</v>
      </c>
      <c r="H50" s="55" t="n">
        <v>96983.07999999999</v>
      </c>
      <c r="I50" s="55" t="n">
        <v>34467.90000000001</v>
      </c>
      <c r="J50" s="55" t="n">
        <v>39061.13999999999</v>
      </c>
      <c r="K50" s="55" t="n">
        <v>32091.63</v>
      </c>
      <c r="L50" s="55" t="n">
        <v>63582.40999999999</v>
      </c>
      <c r="M50" s="55" t="n">
        <v>83169.40999999999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SUMIF('MER TB'!$R:$R,'MER P&amp;L'!$A53,'MER TB'!C:C)</f>
        <v/>
      </c>
      <c r="P53" s="37">
        <f>SUMIF('MER TB'!$R:$R,'MER P&amp;L'!$A53,'MER TB'!D:D)</f>
        <v/>
      </c>
      <c r="Q53" s="37">
        <f>SUMIF('MER TB'!$R:$R,'MER P&amp;L'!$A53,'MER TB'!E:E)</f>
        <v/>
      </c>
      <c r="R53" s="37">
        <f>SUMIF('MER TB'!$R:$R,'MER P&amp;L'!$A53,'MER TB'!F:F)</f>
        <v/>
      </c>
      <c r="S53" s="37">
        <f>SUMIF('MER TB'!$R:$R,'MER P&amp;L'!$A53,'MER TB'!G:G)</f>
        <v/>
      </c>
      <c r="T53" s="37">
        <f>SUMIF('MER TB'!$R:$R,'MER P&amp;L'!$A53,'MER TB'!H:H)</f>
        <v/>
      </c>
      <c r="U53" s="37">
        <f>SUMIF('MER TB'!$R:$R,'MER P&amp;L'!$A53,'MER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SUMIF('MER TB'!$R:$R,'MER P&amp;L'!$A54,'MER TB'!C:C)</f>
        <v/>
      </c>
      <c r="P54" s="37">
        <f>SUMIF('MER TB'!$R:$R,'MER P&amp;L'!$A54,'MER TB'!D:D)</f>
        <v/>
      </c>
      <c r="Q54" s="37">
        <f>SUMIF('MER TB'!$R:$R,'MER P&amp;L'!$A54,'MER TB'!E:E)</f>
        <v/>
      </c>
      <c r="R54" s="37">
        <f>SUMIF('MER TB'!$R:$R,'MER P&amp;L'!$A54,'MER TB'!F:F)</f>
        <v/>
      </c>
      <c r="S54" s="37">
        <f>SUMIF('MER TB'!$R:$R,'MER P&amp;L'!$A54,'MER TB'!G:G)</f>
        <v/>
      </c>
      <c r="T54" s="37">
        <f>SUMIF('MER TB'!$R:$R,'MER P&amp;L'!$A54,'MER TB'!H:H)</f>
        <v/>
      </c>
      <c r="U54" s="37">
        <f>SUMIF('MER TB'!$R:$R,'MER P&amp;L'!$A54,'MER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SUMIF('MER TB'!$R:$R,'MER P&amp;L'!$A55,'MER TB'!C:C)</f>
        <v/>
      </c>
      <c r="P55" s="37">
        <f>SUMIF('MER TB'!$R:$R,'MER P&amp;L'!$A55,'MER TB'!D:D)</f>
        <v/>
      </c>
      <c r="Q55" s="37">
        <f>SUMIF('MER TB'!$R:$R,'MER P&amp;L'!$A55,'MER TB'!E:E)</f>
        <v/>
      </c>
      <c r="R55" s="37">
        <f>SUMIF('MER TB'!$R:$R,'MER P&amp;L'!$A55,'MER TB'!F:F)</f>
        <v/>
      </c>
      <c r="S55" s="37">
        <f>SUMIF('MER TB'!$R:$R,'MER P&amp;L'!$A55,'MER TB'!G:G)</f>
        <v/>
      </c>
      <c r="T55" s="37">
        <f>SUMIF('MER TB'!$R:$R,'MER P&amp;L'!$A55,'MER TB'!H:H)</f>
        <v/>
      </c>
      <c r="U55" s="37">
        <f>SUMIF('MER TB'!$R:$R,'MER P&amp;L'!$A55,'MER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SUMIF('MER TB'!$R:$R,'MER P&amp;L'!$A56,'MER TB'!C:C)</f>
        <v/>
      </c>
      <c r="P56" s="37">
        <f>SUMIF('MER TB'!$R:$R,'MER P&amp;L'!$A56,'MER TB'!D:D)</f>
        <v/>
      </c>
      <c r="Q56" s="37">
        <f>SUMIF('MER TB'!$R:$R,'MER P&amp;L'!$A56,'MER TB'!E:E)</f>
        <v/>
      </c>
      <c r="R56" s="37">
        <f>SUMIF('MER TB'!$R:$R,'MER P&amp;L'!$A56,'MER TB'!F:F)</f>
        <v/>
      </c>
      <c r="S56" s="37">
        <f>SUMIF('MER TB'!$R:$R,'MER P&amp;L'!$A56,'MER TB'!G:G)</f>
        <v/>
      </c>
      <c r="T56" s="37">
        <f>SUMIF('MER TB'!$R:$R,'MER P&amp;L'!$A56,'MER TB'!H:H)</f>
        <v/>
      </c>
      <c r="U56" s="37">
        <f>SUMIF('MER TB'!$R:$R,'MER P&amp;L'!$A56,'MER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450</v>
      </c>
      <c r="N57" s="36">
        <f>SUM(B57:M57)</f>
        <v/>
      </c>
      <c r="O57" s="37">
        <f>SUMIF('MER TB'!$R:$R,'MER P&amp;L'!$A57,'MER TB'!C:C)</f>
        <v/>
      </c>
      <c r="P57" s="37">
        <f>SUMIF('MER TB'!$R:$R,'MER P&amp;L'!$A57,'MER TB'!D:D)</f>
        <v/>
      </c>
      <c r="Q57" s="37">
        <f>SUMIF('MER TB'!$R:$R,'MER P&amp;L'!$A57,'MER TB'!E:E)</f>
        <v/>
      </c>
      <c r="R57" s="37">
        <f>SUMIF('MER TB'!$R:$R,'MER P&amp;L'!$A57,'MER TB'!F:F)</f>
        <v/>
      </c>
      <c r="S57" s="37">
        <f>SUMIF('MER TB'!$R:$R,'MER P&amp;L'!$A57,'MER TB'!G:G)</f>
        <v/>
      </c>
      <c r="T57" s="37">
        <f>SUMIF('MER TB'!$R:$R,'MER P&amp;L'!$A57,'MER TB'!H:H)</f>
        <v/>
      </c>
      <c r="U57" s="37">
        <f>SUMIF('MER TB'!$R:$R,'MER P&amp;L'!$A57,'MER TB'!I:I)</f>
        <v/>
      </c>
      <c r="V57" s="38" t="n"/>
      <c r="W57" s="38" t="n"/>
      <c r="X57" s="38" t="n"/>
      <c r="Y57" s="38" t="n"/>
      <c r="Z57" s="38">
        <f>30*18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SUMIF('MER TB'!$R:$R,'MER P&amp;L'!$A58,'MER TB'!C:C)</f>
        <v/>
      </c>
      <c r="P58" s="37">
        <f>SUMIF('MER TB'!$R:$R,'MER P&amp;L'!$A58,'MER TB'!D:D)</f>
        <v/>
      </c>
      <c r="Q58" s="37">
        <f>SUMIF('MER TB'!$R:$R,'MER P&amp;L'!$A58,'MER TB'!E:E)</f>
        <v/>
      </c>
      <c r="R58" s="37">
        <f>SUMIF('MER TB'!$R:$R,'MER P&amp;L'!$A58,'MER TB'!F:F)</f>
        <v/>
      </c>
      <c r="S58" s="37">
        <f>SUMIF('MER TB'!$R:$R,'MER P&amp;L'!$A58,'MER TB'!G:G)</f>
        <v/>
      </c>
      <c r="T58" s="37">
        <f>SUMIF('MER TB'!$R:$R,'MER P&amp;L'!$A58,'MER TB'!H:H)</f>
        <v/>
      </c>
      <c r="U58" s="37">
        <f>SUMIF('MER TB'!$R:$R,'MER P&amp;L'!$A58,'MER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8.4</v>
      </c>
      <c r="C60" s="35" t="n">
        <v>6.6</v>
      </c>
      <c r="D60" s="35" t="n">
        <v>6.6</v>
      </c>
      <c r="E60" s="35" t="n">
        <v>9.6</v>
      </c>
      <c r="F60" s="35" t="n">
        <v>10.8</v>
      </c>
      <c r="G60" s="35" t="n">
        <v>9.600000000000001</v>
      </c>
      <c r="H60" s="35" t="n">
        <v>9</v>
      </c>
      <c r="I60" s="35" t="n">
        <v>6</v>
      </c>
      <c r="J60" s="35" t="n">
        <v>9.599999999999998</v>
      </c>
      <c r="K60" s="35" t="n">
        <v>77.2</v>
      </c>
      <c r="L60" s="35" t="n">
        <v>6.600000000000001</v>
      </c>
      <c r="M60" s="35" t="n">
        <v>7.800000000000001</v>
      </c>
      <c r="N60" s="36">
        <f>SUM(B60:M60)</f>
        <v/>
      </c>
      <c r="O60" s="37" t="n">
        <v>7.199999999999999</v>
      </c>
      <c r="P60" s="37" t="n">
        <v>6.600000000000001</v>
      </c>
      <c r="Q60" s="37" t="n">
        <v>7.8</v>
      </c>
      <c r="R60" s="37" t="n">
        <v>6</v>
      </c>
      <c r="S60" s="37" t="n">
        <v>7.199999999999999</v>
      </c>
      <c r="T60" s="37" t="n">
        <v>8.399999999999999</v>
      </c>
      <c r="U60" s="37" t="n">
        <v>7.199999999999999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7.970000000000001</v>
      </c>
      <c r="C61" s="35" t="n">
        <v>14.98</v>
      </c>
      <c r="D61" s="35" t="n">
        <v>30.38</v>
      </c>
      <c r="E61" s="35" t="n">
        <v>0</v>
      </c>
      <c r="F61" s="35" t="n">
        <v>28.17</v>
      </c>
      <c r="G61" s="35" t="n">
        <v>48.89</v>
      </c>
      <c r="H61" s="35" t="n">
        <v>8.98</v>
      </c>
      <c r="I61" s="35" t="n">
        <v>0</v>
      </c>
      <c r="J61" s="35" t="n">
        <v>0</v>
      </c>
      <c r="K61" s="35" t="n">
        <v>0</v>
      </c>
      <c r="L61" s="35" t="n">
        <v>18.97</v>
      </c>
      <c r="M61" s="35" t="n">
        <v>0</v>
      </c>
      <c r="N61" s="36">
        <f>SUM(B61:M61)</f>
        <v/>
      </c>
      <c r="O61" s="37">
        <f>SUMIF('MER TB'!$R:$R,'MER P&amp;L'!$A61,'MER TB'!C:C)</f>
        <v/>
      </c>
      <c r="P61" s="37">
        <f>SUMIF('MER TB'!$R:$R,'MER P&amp;L'!$A61,'MER TB'!D:D)</f>
        <v/>
      </c>
      <c r="Q61" s="37">
        <f>SUMIF('MER TB'!$R:$R,'MER P&amp;L'!$A61,'MER TB'!E:E)</f>
        <v/>
      </c>
      <c r="R61" s="37">
        <f>SUMIF('MER TB'!$R:$R,'MER P&amp;L'!$A61,'MER TB'!F:F)</f>
        <v/>
      </c>
      <c r="S61" s="37">
        <f>SUMIF('MER TB'!$R:$R,'MER P&amp;L'!$A61,'MER TB'!G:G)</f>
        <v/>
      </c>
      <c r="T61" s="37">
        <f>SUMIF('MER TB'!$R:$R,'MER P&amp;L'!$A61,'MER TB'!H:H)</f>
        <v/>
      </c>
      <c r="U61" s="37">
        <f>SUMIF('MER TB'!$R:$R,'MER P&amp;L'!$A61,'MER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132</v>
      </c>
      <c r="C62" s="35" t="n">
        <v>110</v>
      </c>
      <c r="D62" s="35" t="n">
        <v>172.91</v>
      </c>
      <c r="E62" s="35" t="n">
        <v>129.17</v>
      </c>
      <c r="F62" s="35" t="n">
        <v>452.34</v>
      </c>
      <c r="G62" s="35" t="n">
        <v>186</v>
      </c>
      <c r="H62" s="35" t="n">
        <v>222.8</v>
      </c>
      <c r="I62" s="35" t="n">
        <v>301.93</v>
      </c>
      <c r="J62" s="35" t="n">
        <v>174.26</v>
      </c>
      <c r="K62" s="35" t="n">
        <v>318.6</v>
      </c>
      <c r="L62" s="35" t="n">
        <v>501</v>
      </c>
      <c r="M62" s="35" t="n">
        <v>438</v>
      </c>
      <c r="N62" s="36">
        <f>SUM(B62:M62)</f>
        <v/>
      </c>
      <c r="O62" s="37" t="n">
        <v>556</v>
      </c>
      <c r="P62" s="37" t="n">
        <v>566</v>
      </c>
      <c r="Q62" s="37" t="n">
        <v>60</v>
      </c>
      <c r="R62" s="37" t="n">
        <v>164</v>
      </c>
      <c r="S62" s="37" t="n">
        <v>195</v>
      </c>
      <c r="T62" s="37" t="n">
        <v>135</v>
      </c>
      <c r="U62" s="37" t="n">
        <v>337</v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SUMIF('MER TB'!$R:$R,'MER P&amp;L'!$A63,'MER TB'!C:C)</f>
        <v/>
      </c>
      <c r="P63" s="37">
        <f>SUMIF('MER TB'!$R:$R,'MER P&amp;L'!$A63,'MER TB'!D:D)</f>
        <v/>
      </c>
      <c r="Q63" s="37">
        <f>SUMIF('MER TB'!$R:$R,'MER P&amp;L'!$A63,'MER TB'!E:E)</f>
        <v/>
      </c>
      <c r="R63" s="37">
        <f>SUMIF('MER TB'!$R:$R,'MER P&amp;L'!$A63,'MER TB'!F:F)</f>
        <v/>
      </c>
      <c r="S63" s="37">
        <f>SUMIF('MER TB'!$R:$R,'MER P&amp;L'!$A63,'MER TB'!G:G)</f>
        <v/>
      </c>
      <c r="T63" s="37">
        <f>SUMIF('MER TB'!$R:$R,'MER P&amp;L'!$A63,'MER TB'!H:H)</f>
        <v/>
      </c>
      <c r="U63" s="37">
        <f>SUMIF('MER TB'!$R:$R,'MER P&amp;L'!$A63,'MER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SUMIF('MER TB'!$R:$R,'MER P&amp;L'!$A64,'MER TB'!C:C)</f>
        <v/>
      </c>
      <c r="P64" s="37">
        <f>SUMIF('MER TB'!$R:$R,'MER P&amp;L'!$A64,'MER TB'!D:D)</f>
        <v/>
      </c>
      <c r="Q64" s="37">
        <f>SUMIF('MER TB'!$R:$R,'MER P&amp;L'!$A64,'MER TB'!E:E)</f>
        <v/>
      </c>
      <c r="R64" s="37">
        <f>SUMIF('MER TB'!$R:$R,'MER P&amp;L'!$A64,'MER TB'!F:F)</f>
        <v/>
      </c>
      <c r="S64" s="37">
        <f>SUMIF('MER TB'!$R:$R,'MER P&amp;L'!$A64,'MER TB'!G:G)</f>
        <v/>
      </c>
      <c r="T64" s="37">
        <f>SUMIF('MER TB'!$R:$R,'MER P&amp;L'!$A64,'MER TB'!H:H)</f>
        <v/>
      </c>
      <c r="U64" s="37">
        <f>SUMIF('MER TB'!$R:$R,'MER P&amp;L'!$A64,'MER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SUMIF('MER TB'!$R:$R,'MER P&amp;L'!$A65,'MER TB'!C:C)</f>
        <v/>
      </c>
      <c r="P65" s="37">
        <f>SUMIF('MER TB'!$R:$R,'MER P&amp;L'!$A65,'MER TB'!D:D)</f>
        <v/>
      </c>
      <c r="Q65" s="37">
        <f>SUMIF('MER TB'!$R:$R,'MER P&amp;L'!$A65,'MER TB'!E:E)</f>
        <v/>
      </c>
      <c r="R65" s="37">
        <f>SUMIF('MER TB'!$R:$R,'MER P&amp;L'!$A65,'MER TB'!F:F)</f>
        <v/>
      </c>
      <c r="S65" s="37">
        <f>SUMIF('MER TB'!$R:$R,'MER P&amp;L'!$A65,'MER TB'!G:G)</f>
        <v/>
      </c>
      <c r="T65" s="37">
        <f>SUMIF('MER TB'!$R:$R,'MER P&amp;L'!$A65,'MER TB'!H:H)</f>
        <v/>
      </c>
      <c r="U65" s="37">
        <f>SUMIF('MER TB'!$R:$R,'MER P&amp;L'!$A65,'MER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SUMIF('MER TB'!$R:$R,'MER P&amp;L'!$A66,'MER TB'!C:C)</f>
        <v/>
      </c>
      <c r="P66" s="37">
        <f>SUMIF('MER TB'!$R:$R,'MER P&amp;L'!$A66,'MER TB'!D:D)</f>
        <v/>
      </c>
      <c r="Q66" s="37">
        <f>SUMIF('MER TB'!$R:$R,'MER P&amp;L'!$A66,'MER TB'!E:E)</f>
        <v/>
      </c>
      <c r="R66" s="37">
        <f>SUMIF('MER TB'!$R:$R,'MER P&amp;L'!$A66,'MER TB'!F:F)</f>
        <v/>
      </c>
      <c r="S66" s="37">
        <f>SUMIF('MER TB'!$R:$R,'MER P&amp;L'!$A66,'MER TB'!G:G)</f>
        <v/>
      </c>
      <c r="T66" s="37">
        <f>SUMIF('MER TB'!$R:$R,'MER P&amp;L'!$A66,'MER TB'!H:H)</f>
        <v/>
      </c>
      <c r="U66" s="37">
        <f>SUMIF('MER TB'!$R:$R,'MER P&amp;L'!$A66,'MER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SUMIF('MER TB'!$R:$R,'MER P&amp;L'!$A67,'MER TB'!C:C)</f>
        <v/>
      </c>
      <c r="P67" s="37">
        <f>SUMIF('MER TB'!$R:$R,'MER P&amp;L'!$A67,'MER TB'!D:D)</f>
        <v/>
      </c>
      <c r="Q67" s="37">
        <f>SUMIF('MER TB'!$R:$R,'MER P&amp;L'!$A67,'MER TB'!E:E)</f>
        <v/>
      </c>
      <c r="R67" s="37">
        <f>SUMIF('MER TB'!$R:$R,'MER P&amp;L'!$A67,'MER TB'!F:F)</f>
        <v/>
      </c>
      <c r="S67" s="37">
        <f>SUMIF('MER TB'!$R:$R,'MER P&amp;L'!$A67,'MER TB'!G:G)</f>
        <v/>
      </c>
      <c r="T67" s="37">
        <f>SUMIF('MER TB'!$R:$R,'MER P&amp;L'!$A67,'MER TB'!H:H)</f>
        <v/>
      </c>
      <c r="U67" s="37">
        <f>SUMIF('MER TB'!$R:$R,'MER P&amp;L'!$A67,'MER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SUMIF('MER TB'!$R:$R,'MER P&amp;L'!$A68,'MER TB'!C:C)</f>
        <v/>
      </c>
      <c r="P68" s="37">
        <f>SUMIF('MER TB'!$R:$R,'MER P&amp;L'!$A68,'MER TB'!D:D)</f>
        <v/>
      </c>
      <c r="Q68" s="37">
        <f>SUMIF('MER TB'!$R:$R,'MER P&amp;L'!$A68,'MER TB'!E:E)</f>
        <v/>
      </c>
      <c r="R68" s="37">
        <f>SUMIF('MER TB'!$R:$R,'MER P&amp;L'!$A68,'MER TB'!F:F)</f>
        <v/>
      </c>
      <c r="S68" s="37">
        <f>SUMIF('MER TB'!$R:$R,'MER P&amp;L'!$A68,'MER TB'!G:G)</f>
        <v/>
      </c>
      <c r="T68" s="37">
        <f>SUMIF('MER TB'!$R:$R,'MER P&amp;L'!$A68,'MER TB'!H:H)</f>
        <v/>
      </c>
      <c r="U68" s="37">
        <f>SUMIF('MER TB'!$R:$R,'MER P&amp;L'!$A68,'MER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349.75</v>
      </c>
      <c r="C69" s="42" t="n">
        <v>332.96</v>
      </c>
      <c r="D69" s="42" t="n">
        <v>411.27</v>
      </c>
      <c r="E69" s="42" t="n">
        <v>340.15</v>
      </c>
      <c r="F69" s="42" t="n">
        <v>692.6900000000001</v>
      </c>
      <c r="G69" s="42" t="n">
        <v>445.87</v>
      </c>
      <c r="H69" s="42" t="n">
        <v>442.16</v>
      </c>
      <c r="I69" s="42" t="n">
        <v>509.31</v>
      </c>
      <c r="J69" s="42" t="n">
        <v>385.24</v>
      </c>
      <c r="K69" s="42" t="n">
        <v>610.6</v>
      </c>
      <c r="L69" s="42" t="n">
        <v>741.37</v>
      </c>
      <c r="M69" s="42" t="n">
        <v>1110.6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54453.13000000001</v>
      </c>
      <c r="C70" s="55" t="n">
        <v>45737.32000000001</v>
      </c>
      <c r="D70" s="55" t="n">
        <v>51270.46</v>
      </c>
      <c r="E70" s="55" t="n">
        <v>52041.93</v>
      </c>
      <c r="F70" s="55" t="n">
        <v>45232.90000000001</v>
      </c>
      <c r="G70" s="55" t="n">
        <v>49194.22000000001</v>
      </c>
      <c r="H70" s="55" t="n">
        <v>96540.91999999998</v>
      </c>
      <c r="I70" s="55" t="n">
        <v>33958.59000000001</v>
      </c>
      <c r="J70" s="55" t="n">
        <v>38675.89999999999</v>
      </c>
      <c r="K70" s="55" t="n">
        <v>31481.03</v>
      </c>
      <c r="L70" s="55" t="n">
        <v>62841.03999999999</v>
      </c>
      <c r="M70" s="55" t="n">
        <v>82058.80999999998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60">
        <f>SUM(O71:T71)</f>
        <v/>
      </c>
      <c r="AB71" s="56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60" t="inlineStr">
        <is>
          <t>Direct - Sales</t>
        </is>
      </c>
      <c r="B74" s="60" t="n">
        <v>99054.84000000001</v>
      </c>
      <c r="C74" s="60" t="n">
        <v>89561.96000000001</v>
      </c>
      <c r="D74" s="60" t="n">
        <v>101418.69</v>
      </c>
      <c r="E74" s="60" t="n">
        <v>105527.27</v>
      </c>
      <c r="F74" s="60" t="n">
        <v>99296.59</v>
      </c>
      <c r="G74" s="60" t="n">
        <v>96401.51000000001</v>
      </c>
      <c r="H74" s="60" t="n">
        <v>148628.21</v>
      </c>
      <c r="I74" s="60" t="n">
        <v>86681.44</v>
      </c>
      <c r="J74" s="60" t="n">
        <v>92301.73</v>
      </c>
      <c r="K74" s="60" t="n">
        <v>88792</v>
      </c>
      <c r="L74" s="60" t="n">
        <v>109322.33</v>
      </c>
      <c r="M74" s="8" t="n"/>
      <c r="N74" s="8" t="n"/>
      <c r="O74" s="60">
        <f>-SUMIF('MER TB'!$T:$T,'MER P&amp;L'!$A74,'MER TB'!C:C)</f>
        <v/>
      </c>
      <c r="P74" s="60">
        <f>-SUMIF('MER TB'!$T:$T,'MER P&amp;L'!$A74,'MER TB'!D:D)</f>
        <v/>
      </c>
      <c r="Q74" s="60">
        <f>-SUMIF('MER TB'!$T:$T,'MER P&amp;L'!$A74,'MER TB'!E:E)</f>
        <v/>
      </c>
      <c r="R74" s="60">
        <f>-SUMIF('MER TB'!$T:$T,'MER P&amp;L'!$A74,'MER TB'!F:F)</f>
        <v/>
      </c>
      <c r="S74" s="60">
        <f>-SUMIF('MER TB'!$T:$T,'MER P&amp;L'!$A74,'MER TB'!G:G)</f>
        <v/>
      </c>
      <c r="T74" s="60">
        <f>-SUMIF('MER TB'!$T:$T,'MER P&amp;L'!$A74,'MER TB'!H:H)</f>
        <v/>
      </c>
      <c r="U74" s="60">
        <f>-SUMIF('MER TB'!$T:$T,'MER P&amp;L'!$A74,'MER TB'!I:I)</f>
        <v/>
      </c>
      <c r="V74" s="60">
        <f>-SUMIF('MER TB'!$T:$T,'MER P&amp;L'!$A74,'MER TB'!J:J)</f>
        <v/>
      </c>
      <c r="W74" s="60">
        <f>-SUMIF('MER TB'!$T:$T,'MER P&amp;L'!$A74,'MER TB'!K:K)</f>
        <v/>
      </c>
      <c r="X74" s="60">
        <f>-SUMIF('MER TB'!$T:$T,'MER P&amp;L'!$A74,'MER TB'!L:L)</f>
        <v/>
      </c>
      <c r="Y74" s="60">
        <f>-SUMIF('MER TB'!$T:$T,'MER P&amp;L'!$A74,'MER TB'!M:M)</f>
        <v/>
      </c>
      <c r="Z74" s="60">
        <f>-SUMIF('MER TB'!$T:$T,'MER P&amp;L'!$A74,'MER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Direct - Staff Cost</t>
        </is>
      </c>
      <c r="B75" s="18" t="n">
        <v>-35172.41</v>
      </c>
      <c r="C75" s="18" t="n">
        <v>-35747.46999999999</v>
      </c>
      <c r="D75" s="18" t="n">
        <v>-37292.51</v>
      </c>
      <c r="E75" s="18" t="n">
        <v>-44556.27</v>
      </c>
      <c r="F75" s="18" t="n">
        <v>-44581.99999999999</v>
      </c>
      <c r="G75" s="18" t="n">
        <v>-37022.34</v>
      </c>
      <c r="H75" s="18" t="n">
        <v>-43286.82</v>
      </c>
      <c r="I75" s="18" t="n">
        <v>-43925.56</v>
      </c>
      <c r="J75" s="18" t="n">
        <v>-43620.99000000001</v>
      </c>
      <c r="K75" s="18" t="n">
        <v>-47618.67</v>
      </c>
      <c r="L75" s="18" t="n">
        <v>-37781.48</v>
      </c>
      <c r="M75" s="18" t="n"/>
      <c r="N75" s="8" t="n"/>
      <c r="O75" s="60">
        <f>-SUMIF('MER TB'!$T:$T,'MER P&amp;L'!$A75,'MER TB'!C:C)</f>
        <v/>
      </c>
      <c r="P75" s="60">
        <f>-SUMIF('MER TB'!$T:$T,'MER P&amp;L'!$A75,'MER TB'!D:D)</f>
        <v/>
      </c>
      <c r="Q75" s="60">
        <f>-SUMIF('MER TB'!$T:$T,'MER P&amp;L'!$A75,'MER TB'!E:E)</f>
        <v/>
      </c>
      <c r="R75" s="60">
        <f>-SUMIF('MER TB'!$T:$T,'MER P&amp;L'!$A75,'MER TB'!F:F)</f>
        <v/>
      </c>
      <c r="S75" s="60">
        <f>-SUMIF('MER TB'!$T:$T,'MER P&amp;L'!$A75,'MER TB'!G:G)</f>
        <v/>
      </c>
      <c r="T75" s="60">
        <f>-SUMIF('MER TB'!$T:$T,'MER P&amp;L'!$A75,'MER TB'!H:H)</f>
        <v/>
      </c>
      <c r="U75" s="60">
        <f>-SUMIF('MER TB'!$T:$T,'MER P&amp;L'!$A75,'MER TB'!I:I)</f>
        <v/>
      </c>
      <c r="V75" s="60">
        <f>-SUMIF('MER TB'!$T:$T,'MER P&amp;L'!$A75,'MER TB'!J:J)</f>
        <v/>
      </c>
      <c r="W75" s="60">
        <f>-SUMIF('MER TB'!$T:$T,'MER P&amp;L'!$A75,'MER TB'!K:K)</f>
        <v/>
      </c>
      <c r="X75" s="60">
        <f>-SUMIF('MER TB'!$T:$T,'MER P&amp;L'!$A75,'MER TB'!L:L)</f>
        <v/>
      </c>
      <c r="Y75" s="60">
        <f>-SUMIF('MER TB'!$T:$T,'MER P&amp;L'!$A75,'MER TB'!M:M)</f>
        <v/>
      </c>
      <c r="Z75" s="60">
        <f>-SUMIF('MER TB'!$T:$T,'MER P&amp;L'!$A75,'MER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60" t="inlineStr">
        <is>
          <t>Direct - Childcare Cost</t>
        </is>
      </c>
      <c r="B76" s="18" t="n">
        <v>-3313.36</v>
      </c>
      <c r="C76" s="18" t="n">
        <v>-3474.12</v>
      </c>
      <c r="D76" s="18" t="n">
        <v>-3331.34</v>
      </c>
      <c r="E76" s="18" t="n">
        <v>-3151</v>
      </c>
      <c r="F76" s="18" t="n">
        <v>-3728.13</v>
      </c>
      <c r="G76" s="18" t="n">
        <v>-3266.6</v>
      </c>
      <c r="H76" s="18" t="n">
        <v>-3401.36</v>
      </c>
      <c r="I76" s="18" t="n">
        <v>-3274.78</v>
      </c>
      <c r="J76" s="18" t="n">
        <v>-2829.13</v>
      </c>
      <c r="K76" s="18" t="n">
        <v>-4061.12</v>
      </c>
      <c r="L76" s="18" t="n">
        <v>-3326.06</v>
      </c>
      <c r="M76" s="18" t="n">
        <v>-2907.57</v>
      </c>
      <c r="N76" s="8" t="n"/>
      <c r="O76" s="60">
        <f>-SUMIF('MER TB'!$T:$T,'MER P&amp;L'!$A76,'MER TB'!C:C)</f>
        <v/>
      </c>
      <c r="P76" s="60">
        <f>-SUMIF('MER TB'!$T:$T,'MER P&amp;L'!$A76,'MER TB'!D:D)</f>
        <v/>
      </c>
      <c r="Q76" s="60">
        <f>-SUMIF('MER TB'!$T:$T,'MER P&amp;L'!$A76,'MER TB'!E:E)</f>
        <v/>
      </c>
      <c r="R76" s="60">
        <f>-SUMIF('MER TB'!$T:$T,'MER P&amp;L'!$A76,'MER TB'!F:F)</f>
        <v/>
      </c>
      <c r="S76" s="60">
        <f>-SUMIF('MER TB'!$T:$T,'MER P&amp;L'!$A76,'MER TB'!G:G)</f>
        <v/>
      </c>
      <c r="T76" s="60">
        <f>-SUMIF('MER TB'!$T:$T,'MER P&amp;L'!$A76,'MER TB'!H:H)</f>
        <v/>
      </c>
      <c r="U76" s="60">
        <f>-SUMIF('MER TB'!$T:$T,'MER P&amp;L'!$A76,'MER TB'!I:I)</f>
        <v/>
      </c>
      <c r="V76" s="60">
        <f>-SUMIF('MER TB'!$T:$T,'MER P&amp;L'!$A76,'MER TB'!J:J)</f>
        <v/>
      </c>
      <c r="W76" s="60">
        <f>-SUMIF('MER TB'!$T:$T,'MER P&amp;L'!$A76,'MER TB'!K:K)</f>
        <v/>
      </c>
      <c r="X76" s="60">
        <f>-SUMIF('MER TB'!$T:$T,'MER P&amp;L'!$A76,'MER TB'!L:L)</f>
        <v/>
      </c>
      <c r="Y76" s="60">
        <f>-SUMIF('MER TB'!$T:$T,'MER P&amp;L'!$A76,'MER TB'!M:M)</f>
        <v/>
      </c>
      <c r="Z76" s="60">
        <f>-SUMIF('MER TB'!$T:$T,'MER P&amp;L'!$A76,'MER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Direct - Premises &amp; Admin</t>
        </is>
      </c>
      <c r="B77" s="18" t="n">
        <v>-5766.190000000001</v>
      </c>
      <c r="C77" s="18" t="n">
        <v>-4270.09</v>
      </c>
      <c r="D77" s="18" t="n">
        <v>-9113.110000000001</v>
      </c>
      <c r="E77" s="18" t="n">
        <v>-5437.920000000001</v>
      </c>
      <c r="F77" s="18" t="n">
        <v>-5060.87</v>
      </c>
      <c r="G77" s="18" t="n">
        <v>-6472.48</v>
      </c>
      <c r="H77" s="18" t="n">
        <v>-4956.949999999999</v>
      </c>
      <c r="I77" s="18" t="n">
        <v>-5013.2</v>
      </c>
      <c r="J77" s="18" t="n">
        <v>-6790.469999999999</v>
      </c>
      <c r="K77" s="18" t="n">
        <v>-5020.58</v>
      </c>
      <c r="L77" s="18" t="n">
        <v>-4632.38</v>
      </c>
      <c r="M77" s="18" t="n">
        <v>-5448.130000000001</v>
      </c>
      <c r="N77" s="8" t="n"/>
      <c r="O77" s="60">
        <f>-SUMIF('MER TB'!$T:$T,'MER P&amp;L'!$A77,'MER TB'!C:C)</f>
        <v/>
      </c>
      <c r="P77" s="60">
        <f>-SUMIF('MER TB'!$T:$T,'MER P&amp;L'!$A77,'MER TB'!D:D)</f>
        <v/>
      </c>
      <c r="Q77" s="60">
        <f>-SUMIF('MER TB'!$T:$T,'MER P&amp;L'!$A77,'MER TB'!E:E)</f>
        <v/>
      </c>
      <c r="R77" s="60">
        <f>-SUMIF('MER TB'!$T:$T,'MER P&amp;L'!$A77,'MER TB'!F:F)</f>
        <v/>
      </c>
      <c r="S77" s="60">
        <f>-SUMIF('MER TB'!$T:$T,'MER P&amp;L'!$A77,'MER TB'!G:G)</f>
        <v/>
      </c>
      <c r="T77" s="60">
        <f>-SUMIF('MER TB'!$T:$T,'MER P&amp;L'!$A77,'MER TB'!H:H)</f>
        <v/>
      </c>
      <c r="U77" s="60">
        <f>-SUMIF('MER TB'!$T:$T,'MER P&amp;L'!$A77,'MER TB'!I:I)</f>
        <v/>
      </c>
      <c r="V77" s="60">
        <f>-SUMIF('MER TB'!$T:$T,'MER P&amp;L'!$A77,'MER TB'!J:J)</f>
        <v/>
      </c>
      <c r="W77" s="60">
        <f>-SUMIF('MER TB'!$T:$T,'MER P&amp;L'!$A77,'MER TB'!K:K)</f>
        <v/>
      </c>
      <c r="X77" s="60">
        <f>-SUMIF('MER TB'!$T:$T,'MER P&amp;L'!$A77,'MER TB'!L:L)</f>
        <v/>
      </c>
      <c r="Y77" s="60">
        <f>-SUMIF('MER TB'!$T:$T,'MER P&amp;L'!$A77,'MER TB'!M:M)</f>
        <v/>
      </c>
      <c r="Z77" s="60">
        <f>-SUMIF('MER TB'!$T:$T,'MER P&amp;L'!$A77,'MER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-SUMIF('MER TB'!$T:$T,'MER P&amp;L'!$A78,'MER TB'!C:C)</f>
        <v/>
      </c>
      <c r="P78" s="60">
        <f>-SUMIF('MER TB'!$T:$T,'MER P&amp;L'!$A78,'MER TB'!D:D)</f>
        <v/>
      </c>
      <c r="Q78" s="60">
        <f>-SUMIF('MER TB'!$T:$T,'MER P&amp;L'!$A78,'MER TB'!E:E)</f>
        <v/>
      </c>
      <c r="R78" s="60">
        <f>-SUMIF('MER TB'!$T:$T,'MER P&amp;L'!$A78,'MER TB'!F:F)</f>
        <v/>
      </c>
      <c r="S78" s="60">
        <f>-SUMIF('MER TB'!$T:$T,'MER P&amp;L'!$A78,'MER TB'!G:G)</f>
        <v/>
      </c>
      <c r="T78" s="60">
        <f>-SUMIF('MER TB'!$T:$T,'MER P&amp;L'!$A78,'MER TB'!H:H)</f>
        <v/>
      </c>
      <c r="U78" s="60">
        <f>-SUMIF('MER TB'!$T:$T,'MER P&amp;L'!$A78,'MER TB'!I:I)</f>
        <v/>
      </c>
      <c r="V78" s="60">
        <f>-SUMIF('MER TB'!$T:$T,'MER P&amp;L'!$A78,'MER TB'!J:J)</f>
        <v/>
      </c>
      <c r="W78" s="60">
        <f>-SUMIF('MER TB'!$T:$T,'MER P&amp;L'!$A78,'MER TB'!K:K)</f>
        <v/>
      </c>
      <c r="X78" s="60">
        <f>-SUMIF('MER TB'!$T:$T,'MER P&amp;L'!$A78,'MER TB'!L:L)</f>
        <v/>
      </c>
      <c r="Y78" s="60">
        <f>-SUMIF('MER TB'!$T:$T,'MER P&amp;L'!$A78,'MER TB'!M:M)</f>
        <v/>
      </c>
      <c r="Z78" s="60">
        <f>-SUMIF('MER TB'!$T:$T,'MER P&amp;L'!$A78,'MER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60" t="inlineStr">
        <is>
          <t>In-Direct - Overheads</t>
        </is>
      </c>
      <c r="B79" s="18" t="n">
        <v>-349.75</v>
      </c>
      <c r="C79" s="18" t="n">
        <v>-332.96</v>
      </c>
      <c r="D79" s="18" t="n">
        <v>-411.27</v>
      </c>
      <c r="E79" s="18" t="n">
        <v>-340.15</v>
      </c>
      <c r="F79" s="18" t="n">
        <v>-692.6900000000001</v>
      </c>
      <c r="G79" s="18" t="n">
        <v>-445.87</v>
      </c>
      <c r="H79" s="18" t="n">
        <v>-442.16</v>
      </c>
      <c r="I79" s="18" t="n">
        <v>-509.31</v>
      </c>
      <c r="J79" s="18" t="n">
        <v>-385.24</v>
      </c>
      <c r="K79" s="18" t="n">
        <v>-610.6</v>
      </c>
      <c r="L79" s="18" t="n">
        <v>-741.37</v>
      </c>
      <c r="M79" s="18" t="n">
        <v>-1110.6</v>
      </c>
      <c r="N79" s="8" t="n"/>
      <c r="O79" s="60">
        <f>-SUMIF('MER TB'!$T:$T,'MER P&amp;L'!$A79,'MER TB'!C:C)</f>
        <v/>
      </c>
      <c r="P79" s="60">
        <f>-SUMIF('MER TB'!$T:$T,'MER P&amp;L'!$A79,'MER TB'!D:D)</f>
        <v/>
      </c>
      <c r="Q79" s="60">
        <f>-SUMIF('MER TB'!$T:$T,'MER P&amp;L'!$A79,'MER TB'!E:E)</f>
        <v/>
      </c>
      <c r="R79" s="60">
        <f>-SUMIF('MER TB'!$T:$T,'MER P&amp;L'!$A79,'MER TB'!F:F)</f>
        <v/>
      </c>
      <c r="S79" s="60">
        <f>-SUMIF('MER TB'!$T:$T,'MER P&amp;L'!$A79,'MER TB'!G:G)</f>
        <v/>
      </c>
      <c r="T79" s="60">
        <f>-SUMIF('MER TB'!$T:$T,'MER P&amp;L'!$A79,'MER TB'!H:H)</f>
        <v/>
      </c>
      <c r="U79" s="60">
        <f>-SUMIF('MER TB'!$T:$T,'MER P&amp;L'!$A79,'MER TB'!I:I)</f>
        <v/>
      </c>
      <c r="V79" s="60">
        <f>-SUMIF('MER TB'!$T:$T,'MER P&amp;L'!$A79,'MER TB'!J:J)</f>
        <v/>
      </c>
      <c r="W79" s="60">
        <f>-SUMIF('MER TB'!$T:$T,'MER P&amp;L'!$A79,'MER TB'!K:K)</f>
        <v/>
      </c>
      <c r="X79" s="60">
        <f>-SUMIF('MER TB'!$T:$T,'MER P&amp;L'!$A79,'MER TB'!L:L)</f>
        <v/>
      </c>
      <c r="Y79" s="60">
        <f>-SUMIF('MER TB'!$T:$T,'MER P&amp;L'!$A79,'MER TB'!M:M)</f>
        <v/>
      </c>
      <c r="Z79" s="60">
        <f>-SUMIF('MER TB'!$T:$T,'MER P&amp;L'!$A79,'MER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67" t="n">
        <v>54453.13000000001</v>
      </c>
      <c r="C80" s="67" t="n">
        <v>45737.32000000001</v>
      </c>
      <c r="D80" s="67" t="n">
        <v>51270.46</v>
      </c>
      <c r="E80" s="67" t="n">
        <v>52041.93</v>
      </c>
      <c r="F80" s="67" t="n">
        <v>45232.90000000001</v>
      </c>
      <c r="G80" s="67" t="n">
        <v>49194.22000000001</v>
      </c>
      <c r="H80" s="67" t="n">
        <v>96540.91999999998</v>
      </c>
      <c r="I80" s="67" t="n">
        <v>33958.59000000001</v>
      </c>
      <c r="J80" s="67" t="n">
        <v>38675.89999999999</v>
      </c>
      <c r="K80" s="67" t="n">
        <v>31481.03</v>
      </c>
      <c r="L80" s="67" t="n">
        <v>62841.03999999998</v>
      </c>
      <c r="M80" s="67" t="n">
        <v>-9466.300000000001</v>
      </c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8" t="n"/>
      <c r="AJ80" s="64" t="n"/>
      <c r="AK80" s="64" t="n"/>
      <c r="AL80" s="64" t="n"/>
      <c r="AM80" s="64" t="n"/>
      <c r="AN80" s="64" t="n"/>
      <c r="AO80" s="64" t="n"/>
      <c r="AP80" s="64" t="n"/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0</v>
      </c>
      <c r="K81" s="18" t="n">
        <v>0</v>
      </c>
      <c r="L81" s="18" t="n">
        <v>0</v>
      </c>
      <c r="M81" s="18" t="n">
        <v>91525.10999999999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0</v>
      </c>
      <c r="G83" s="18" t="n">
        <v>0</v>
      </c>
      <c r="H83" s="18" t="n">
        <v>0</v>
      </c>
      <c r="I83" s="18" t="n">
        <v>0</v>
      </c>
      <c r="J83" s="18" t="n">
        <v>0</v>
      </c>
      <c r="K83" s="18" t="n">
        <v>0</v>
      </c>
      <c r="L83" s="18" t="n">
        <v>0</v>
      </c>
      <c r="M83" s="18" t="n">
        <v>-91525.10999999994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18" t="n">
        <v>-54453.13000000002</v>
      </c>
      <c r="C84" s="18" t="n">
        <v>-45737.32000000001</v>
      </c>
      <c r="D84" s="18" t="n">
        <v>-51270.45999999998</v>
      </c>
      <c r="E84" s="18" t="n">
        <v>-52041.93000000001</v>
      </c>
      <c r="F84" s="18" t="n">
        <v>-45232.90000000001</v>
      </c>
      <c r="G84" s="18" t="n">
        <v>-49194.22000000001</v>
      </c>
      <c r="H84" s="18" t="n">
        <v>-96540.91999999995</v>
      </c>
      <c r="I84" s="18" t="n">
        <v>-33958.59</v>
      </c>
      <c r="J84" s="18" t="n">
        <v>-38675.89999999999</v>
      </c>
      <c r="K84" s="18" t="n">
        <v>-31481.02999999999</v>
      </c>
      <c r="L84" s="18" t="n">
        <v>-62841.03999999997</v>
      </c>
      <c r="M84" s="18" t="n">
        <v>-82058.80999999994</v>
      </c>
      <c r="N84" s="8" t="n"/>
      <c r="O84" s="60">
        <f>SUM('MER TB'!C2:C43)</f>
        <v/>
      </c>
      <c r="P84" s="60">
        <f>SUM('MER TB'!D2:D43)</f>
        <v/>
      </c>
      <c r="Q84" s="60">
        <f>SUM('MER TB'!E2:E43)</f>
        <v/>
      </c>
      <c r="R84" s="60">
        <f>SUM('MER TB'!F2:F43)</f>
        <v/>
      </c>
      <c r="S84" s="60">
        <f>SUM('MER TB'!G2:G43)</f>
        <v/>
      </c>
      <c r="T84" s="60">
        <f>SUM('MER TB'!H2:H43)</f>
        <v/>
      </c>
      <c r="U84" s="60">
        <f>SUM('MER TB'!I2:I43)</f>
        <v/>
      </c>
      <c r="V84" s="60">
        <f>SUM('MER TB'!J2:J43)</f>
        <v/>
      </c>
      <c r="W84" s="60">
        <f>SUM('MER TB'!K2:K43)</f>
        <v/>
      </c>
      <c r="X84" s="60">
        <f>SUM('MER TB'!L2:L43)</f>
        <v/>
      </c>
      <c r="Y84" s="60">
        <f>SUM('MER TB'!M2:M43)</f>
        <v/>
      </c>
      <c r="Z84" s="60">
        <f>SUM('MER TB'!N2:N43)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57031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Northumberland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9069.939999999999</v>
      </c>
      <c r="C8" s="35" t="n">
        <v>18430.57</v>
      </c>
      <c r="D8" s="35" t="n">
        <v>17723.33</v>
      </c>
      <c r="E8" s="35" t="n">
        <v>21760.34</v>
      </c>
      <c r="F8" s="35" t="n">
        <v>17055.59</v>
      </c>
      <c r="G8" s="35" t="n">
        <v>16125.92</v>
      </c>
      <c r="H8" s="35" t="n">
        <v>23858.59</v>
      </c>
      <c r="I8" s="35" t="n">
        <v>22339.21</v>
      </c>
      <c r="J8" s="35" t="n">
        <v>12468.85</v>
      </c>
      <c r="K8" s="35" t="n">
        <v>12041.45</v>
      </c>
      <c r="L8" s="35" t="n">
        <v>10680.4</v>
      </c>
      <c r="M8" s="35" t="n">
        <v>13644.19</v>
      </c>
      <c r="N8" s="36">
        <f>SUM(B8:M8)</f>
        <v/>
      </c>
      <c r="O8" s="37" t="n">
        <v>8949.66</v>
      </c>
      <c r="P8" s="37" t="n">
        <v>9181.280000000001</v>
      </c>
      <c r="Q8" s="37" t="n">
        <v>11609.4</v>
      </c>
      <c r="R8" s="37" t="n">
        <v>13485.1</v>
      </c>
      <c r="S8" s="37" t="n">
        <v>10334.4</v>
      </c>
      <c r="T8" s="37" t="n">
        <v>12530</v>
      </c>
      <c r="U8" s="37" t="n">
        <v>18402.22</v>
      </c>
      <c r="V8" s="38" t="n">
        <v>18925.87</v>
      </c>
      <c r="W8" s="38" t="n">
        <v>13665</v>
      </c>
      <c r="X8" s="38" t="n">
        <v>13098</v>
      </c>
      <c r="Y8" s="38" t="n">
        <v>12480</v>
      </c>
      <c r="Z8" s="38" t="n">
        <v>17634</v>
      </c>
      <c r="AA8" s="36">
        <f>SUM(O8:U8)</f>
        <v/>
      </c>
      <c r="AB8" s="36">
        <f>SUM(O8:Z8)</f>
        <v/>
      </c>
      <c r="AC8" s="38" t="n">
        <v>34239.39</v>
      </c>
      <c r="AD8" s="38" t="n">
        <v>30110.59</v>
      </c>
      <c r="AE8" s="38" t="n">
        <v>36653.68</v>
      </c>
      <c r="AF8" s="38" t="n">
        <v>33019.73</v>
      </c>
      <c r="AG8" s="38" t="n">
        <v>38452</v>
      </c>
      <c r="AH8" s="38" t="n">
        <v>38834.29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8345.08</v>
      </c>
      <c r="C9" s="35" t="n">
        <v>5508.8</v>
      </c>
      <c r="D9" s="35" t="n">
        <v>18679.4</v>
      </c>
      <c r="E9" s="35" t="n">
        <v>7516.08</v>
      </c>
      <c r="F9" s="35" t="n">
        <v>7516.08</v>
      </c>
      <c r="G9" s="35" t="n">
        <v>15698.85</v>
      </c>
      <c r="H9" s="35" t="n">
        <v>15698.85</v>
      </c>
      <c r="I9" s="35" t="n">
        <v>0</v>
      </c>
      <c r="J9" s="35" t="n">
        <v>10762.08</v>
      </c>
      <c r="K9" s="35" t="n">
        <v>10762.08</v>
      </c>
      <c r="L9" s="35" t="n">
        <v>12208.56</v>
      </c>
      <c r="M9" s="35" t="n">
        <v>12628.56</v>
      </c>
      <c r="N9" s="36">
        <f>SUM(B9:M9)</f>
        <v/>
      </c>
      <c r="O9" s="37" t="n">
        <v>10719.8</v>
      </c>
      <c r="P9" s="37" t="n">
        <v>13055.3</v>
      </c>
      <c r="Q9" s="37" t="n">
        <v>13055.3</v>
      </c>
      <c r="R9" s="37" t="n">
        <v>8798.4</v>
      </c>
      <c r="S9" s="37" t="n">
        <v>8798.4</v>
      </c>
      <c r="T9" s="37" t="n">
        <v>12706.2</v>
      </c>
      <c r="U9" s="37" t="n">
        <v>10101</v>
      </c>
      <c r="V9" s="38" t="n">
        <v>0</v>
      </c>
      <c r="W9" s="38" t="n">
        <v>17966</v>
      </c>
      <c r="X9" s="38" t="n">
        <v>21983</v>
      </c>
      <c r="Y9" s="38" t="n">
        <v>20994</v>
      </c>
      <c r="Z9" s="38" t="n">
        <v>9662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1570.68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-SUMIF('XNDN TB'!$R:$R,'NDN P&amp;L'!$A10,'XNDN TB'!C:C)</f>
        <v/>
      </c>
      <c r="P10" s="37">
        <f>-SUMIF('XNDN TB'!$R:$R,'NDN P&amp;L'!$A10,'XNDN TB'!D:D)</f>
        <v/>
      </c>
      <c r="Q10" s="37">
        <f>-SUMIF('XNDN TB'!$R:$R,'NDN P&amp;L'!$A10,'XNDN TB'!E:E)</f>
        <v/>
      </c>
      <c r="R10" s="37">
        <f>-SUMIF('XNDN TB'!$R:$R,'NDN P&amp;L'!$A10,'XNDN TB'!F:F)</f>
        <v/>
      </c>
      <c r="S10" s="37">
        <f>-SUMIF('XNDN TB'!$R:$R,'NDN P&amp;L'!$A10,'XNDN TB'!G:G)</f>
        <v/>
      </c>
      <c r="T10" s="37">
        <f>-SUMIF('XNDN TB'!$R:$R,'NDN P&amp;L'!$A10,'XNDN TB'!H:H)</f>
        <v/>
      </c>
      <c r="U10" s="37">
        <f>-SUMIF('NDN TB'!$R:$R,'NDN P&amp;L'!$A10,'NDN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17415.02</v>
      </c>
      <c r="C11" s="42" t="n">
        <v>23939.37</v>
      </c>
      <c r="D11" s="42" t="n">
        <v>36402.73</v>
      </c>
      <c r="E11" s="42" t="n">
        <v>29276.42</v>
      </c>
      <c r="F11" s="42" t="n">
        <v>24571.67</v>
      </c>
      <c r="G11" s="42" t="n">
        <v>31824.77</v>
      </c>
      <c r="H11" s="42" t="n">
        <v>39557.44</v>
      </c>
      <c r="I11" s="42" t="n">
        <v>23909.89</v>
      </c>
      <c r="J11" s="42" t="n">
        <v>23230.93</v>
      </c>
      <c r="K11" s="42" t="n">
        <v>22803.53</v>
      </c>
      <c r="L11" s="42" t="n">
        <v>22888.96</v>
      </c>
      <c r="M11" s="42" t="n">
        <v>26272.75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15019.61</v>
      </c>
      <c r="C16" s="35" t="n">
        <v>16737.5</v>
      </c>
      <c r="D16" s="35" t="n">
        <v>20296.41</v>
      </c>
      <c r="E16" s="35" t="n">
        <v>19844.91</v>
      </c>
      <c r="F16" s="35" t="n">
        <v>20514.57</v>
      </c>
      <c r="G16" s="35" t="n">
        <v>18806.18</v>
      </c>
      <c r="H16" s="35" t="n">
        <v>18874.99</v>
      </c>
      <c r="I16" s="35" t="n">
        <v>15404.24</v>
      </c>
      <c r="J16" s="35" t="n">
        <v>13827.73</v>
      </c>
      <c r="K16" s="35" t="n">
        <v>12859</v>
      </c>
      <c r="L16" s="35" t="n">
        <v>12573.97</v>
      </c>
      <c r="M16" s="35" t="n">
        <v>13485.76</v>
      </c>
      <c r="N16" s="36">
        <f>SUM(B16:M16)</f>
        <v/>
      </c>
      <c r="O16" s="37" t="n">
        <v>14774.04</v>
      </c>
      <c r="P16" s="37" t="n">
        <v>13940.85</v>
      </c>
      <c r="Q16" s="37" t="n">
        <v>17482.69</v>
      </c>
      <c r="R16" s="37" t="n">
        <v>18467.07</v>
      </c>
      <c r="S16" s="37" t="n">
        <v>19414.37</v>
      </c>
      <c r="T16" s="37" t="n">
        <v>20554.86</v>
      </c>
      <c r="U16" s="37" t="n">
        <v>20507.25</v>
      </c>
      <c r="V16" s="38" t="n">
        <v>20507.25</v>
      </c>
      <c r="W16" s="38" t="n">
        <v>20507.25</v>
      </c>
      <c r="X16" s="38" t="n">
        <v>20507.25</v>
      </c>
      <c r="Y16" s="38" t="n">
        <v>20507.25</v>
      </c>
      <c r="Z16" s="38" t="n">
        <v>20507.25</v>
      </c>
      <c r="AA16" s="36">
        <f>SUM(O16:U16)</f>
        <v/>
      </c>
      <c r="AB16" s="36">
        <f>SUM(O16:Z16)</f>
        <v/>
      </c>
      <c r="AC16" s="38" t="n">
        <v>20507.25</v>
      </c>
      <c r="AD16" s="38" t="n">
        <v>20507.25</v>
      </c>
      <c r="AE16" s="38" t="n">
        <v>20507.25</v>
      </c>
      <c r="AF16" s="38" t="n">
        <v>20507.25</v>
      </c>
      <c r="AG16" s="38" t="n">
        <v>20507.25</v>
      </c>
      <c r="AH16" s="38" t="n">
        <v>20507.25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1126.07</v>
      </c>
      <c r="C17" s="35" t="n">
        <v>1360.14</v>
      </c>
      <c r="D17" s="35" t="n">
        <v>1404.5</v>
      </c>
      <c r="E17" s="35" t="n">
        <v>1975.71</v>
      </c>
      <c r="F17" s="35" t="n">
        <v>2049.66</v>
      </c>
      <c r="G17" s="35" t="n">
        <v>1811.17</v>
      </c>
      <c r="H17" s="35" t="n">
        <v>1985.01</v>
      </c>
      <c r="I17" s="35" t="n">
        <v>1552.22</v>
      </c>
      <c r="J17" s="35" t="n">
        <v>1459.53</v>
      </c>
      <c r="K17" s="35" t="n">
        <v>1396.13</v>
      </c>
      <c r="L17" s="35" t="n">
        <v>1362.29</v>
      </c>
      <c r="M17" s="35" t="n">
        <v>1508.86</v>
      </c>
      <c r="N17" s="36">
        <f>SUM(B17:M17)</f>
        <v/>
      </c>
      <c r="O17" s="37" t="n">
        <v>1686</v>
      </c>
      <c r="P17" s="37" t="n">
        <v>1501.44</v>
      </c>
      <c r="Q17" s="37" t="n">
        <v>1885.63</v>
      </c>
      <c r="R17" s="37" t="n">
        <v>1894.36</v>
      </c>
      <c r="S17" s="37" t="n">
        <v>1931.05</v>
      </c>
      <c r="T17" s="37" t="n">
        <v>1993.72</v>
      </c>
      <c r="U17" s="37" t="n">
        <v>2095.05</v>
      </c>
      <c r="V17" s="38" t="n">
        <v>2095.05</v>
      </c>
      <c r="W17" s="38" t="n">
        <v>2095.05</v>
      </c>
      <c r="X17" s="38" t="n">
        <v>2095.05</v>
      </c>
      <c r="Y17" s="38" t="n">
        <v>2095.05</v>
      </c>
      <c r="Z17" s="38" t="n">
        <v>2095.05</v>
      </c>
      <c r="AA17" s="36">
        <f>SUM(O17:U17)</f>
        <v/>
      </c>
      <c r="AB17" s="36">
        <f>SUM(O17:Z17)</f>
        <v/>
      </c>
      <c r="AC17" s="38" t="n">
        <v>2095.05</v>
      </c>
      <c r="AD17" s="38" t="n">
        <v>2095.05</v>
      </c>
      <c r="AE17" s="38" t="n">
        <v>2095.05</v>
      </c>
      <c r="AF17" s="38" t="n">
        <v>2095.05</v>
      </c>
      <c r="AG17" s="38" t="n">
        <v>2095.05</v>
      </c>
      <c r="AH17" s="38" t="n">
        <v>2095.05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301.87</v>
      </c>
      <c r="C18" s="35" t="n">
        <v>352.12</v>
      </c>
      <c r="D18" s="35" t="n">
        <v>362.42</v>
      </c>
      <c r="E18" s="35" t="n">
        <v>373.48</v>
      </c>
      <c r="F18" s="35" t="n">
        <v>388.28</v>
      </c>
      <c r="G18" s="35" t="n">
        <v>340.58</v>
      </c>
      <c r="H18" s="35" t="n">
        <v>375.35</v>
      </c>
      <c r="I18" s="35" t="n">
        <v>275.05</v>
      </c>
      <c r="J18" s="35" t="n">
        <v>234.69</v>
      </c>
      <c r="K18" s="35" t="n">
        <v>230.34</v>
      </c>
      <c r="L18" s="35" t="n">
        <v>251.05</v>
      </c>
      <c r="M18" s="35" t="n">
        <v>230.68</v>
      </c>
      <c r="N18" s="36">
        <f>SUM(B18:M18)</f>
        <v/>
      </c>
      <c r="O18" s="37" t="n">
        <v>318.63</v>
      </c>
      <c r="P18" s="37" t="n">
        <v>261.27</v>
      </c>
      <c r="Q18" s="37" t="n">
        <v>299.64</v>
      </c>
      <c r="R18" s="37" t="n">
        <v>303.21</v>
      </c>
      <c r="S18" s="37" t="n">
        <v>364.56</v>
      </c>
      <c r="T18" s="37" t="n">
        <v>361.3</v>
      </c>
      <c r="U18" s="37" t="n">
        <v>345.35</v>
      </c>
      <c r="V18" s="38" t="n">
        <v>345.35</v>
      </c>
      <c r="W18" s="38" t="n">
        <v>345.35</v>
      </c>
      <c r="X18" s="38" t="n">
        <v>345.35</v>
      </c>
      <c r="Y18" s="38" t="n">
        <v>345.35</v>
      </c>
      <c r="Z18" s="38" t="n">
        <v>345.35</v>
      </c>
      <c r="AA18" s="36">
        <f>SUM(O18:U18)</f>
        <v/>
      </c>
      <c r="AB18" s="36">
        <f>SUM(O18:Z18)</f>
        <v/>
      </c>
      <c r="AC18" s="38" t="n">
        <v>345.35</v>
      </c>
      <c r="AD18" s="38" t="n">
        <v>345.35</v>
      </c>
      <c r="AE18" s="38" t="n">
        <v>345.35</v>
      </c>
      <c r="AF18" s="38" t="n">
        <v>345.35</v>
      </c>
      <c r="AG18" s="38" t="n">
        <v>345.35</v>
      </c>
      <c r="AH18" s="38" t="n">
        <v>345.35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244.02</v>
      </c>
      <c r="D19" s="35" t="n">
        <v>69.48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128.12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49.74</v>
      </c>
      <c r="P19" s="37" t="n">
        <v>0</v>
      </c>
      <c r="Q19" s="37" t="n">
        <v>8.99</v>
      </c>
      <c r="R19" s="37" t="n">
        <v>118.56</v>
      </c>
      <c r="S19" s="37" t="n">
        <v>0</v>
      </c>
      <c r="T19" s="37" t="n">
        <v>0</v>
      </c>
      <c r="U19" s="37" t="n">
        <v>0</v>
      </c>
      <c r="V19" s="38" t="n">
        <v>34</v>
      </c>
      <c r="W19" s="38" t="n">
        <v>34</v>
      </c>
      <c r="X19" s="38" t="n">
        <v>34</v>
      </c>
      <c r="Y19" s="38" t="n">
        <v>34</v>
      </c>
      <c r="Z19" s="38" t="n">
        <v>34</v>
      </c>
      <c r="AA19" s="36">
        <f>SUM(O19:U19)</f>
        <v/>
      </c>
      <c r="AB19" s="36">
        <f>SUM(O19:Z19)</f>
        <v/>
      </c>
      <c r="AC19" s="38" t="n">
        <v>34</v>
      </c>
      <c r="AD19" s="38" t="n">
        <v>34</v>
      </c>
      <c r="AE19" s="38" t="n">
        <v>34</v>
      </c>
      <c r="AF19" s="38" t="n">
        <v>34</v>
      </c>
      <c r="AG19" s="38" t="n">
        <v>34</v>
      </c>
      <c r="AH19" s="38" t="n">
        <v>34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81</v>
      </c>
      <c r="C20" s="35" t="n">
        <v>0</v>
      </c>
      <c r="D20" s="35" t="n">
        <v>0</v>
      </c>
      <c r="E20" s="35" t="n">
        <v>0</v>
      </c>
      <c r="F20" s="35" t="n">
        <v>40</v>
      </c>
      <c r="G20" s="35" t="n">
        <v>0</v>
      </c>
      <c r="H20" s="35" t="n">
        <v>0</v>
      </c>
      <c r="I20" s="35" t="n">
        <v>120.3</v>
      </c>
      <c r="J20" s="35" t="n">
        <v>0</v>
      </c>
      <c r="K20" s="35" t="n">
        <v>0</v>
      </c>
      <c r="L20" s="35" t="n">
        <v>0</v>
      </c>
      <c r="M20" s="35" t="n">
        <v>0</v>
      </c>
      <c r="N20" s="36">
        <f>SUM(B20:M20)</f>
        <v/>
      </c>
      <c r="O20" s="37" t="n">
        <v>29.97</v>
      </c>
      <c r="P20" s="37" t="n">
        <v>0</v>
      </c>
      <c r="Q20" s="37" t="n">
        <v>59</v>
      </c>
      <c r="R20" s="37" t="n">
        <v>780</v>
      </c>
      <c r="S20" s="37" t="n">
        <v>546</v>
      </c>
      <c r="T20" s="37" t="n">
        <v>0</v>
      </c>
      <c r="U20" s="37" t="n">
        <v>125.82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277.83</v>
      </c>
      <c r="C21" s="35" t="n">
        <v>334.72</v>
      </c>
      <c r="D21" s="35" t="n">
        <v>322.62</v>
      </c>
      <c r="E21" s="35" t="n">
        <v>420.75</v>
      </c>
      <c r="F21" s="35" t="n">
        <v>276.6</v>
      </c>
      <c r="G21" s="35" t="n">
        <v>178.34</v>
      </c>
      <c r="H21" s="35" t="n">
        <v>238.53</v>
      </c>
      <c r="I21" s="35" t="n">
        <v>222.62</v>
      </c>
      <c r="J21" s="35" t="n">
        <v>549.52</v>
      </c>
      <c r="K21" s="35" t="n">
        <v>451.66</v>
      </c>
      <c r="L21" s="35" t="n">
        <v>61.96</v>
      </c>
      <c r="M21" s="35" t="n">
        <v>221.31</v>
      </c>
      <c r="N21" s="36">
        <f>SUM(B21:M21)</f>
        <v/>
      </c>
      <c r="O21" s="37" t="n">
        <v>155.65</v>
      </c>
      <c r="P21" s="37" t="n">
        <v>87.29000000000001</v>
      </c>
      <c r="Q21" s="37" t="n">
        <v>19.06</v>
      </c>
      <c r="R21" s="37" t="n">
        <v>176.18</v>
      </c>
      <c r="S21" s="37" t="n">
        <v>116.69</v>
      </c>
      <c r="T21" s="37" t="n">
        <v>172.18</v>
      </c>
      <c r="U21" s="37" t="n">
        <v>283.13</v>
      </c>
      <c r="V21" s="38" t="n">
        <v>70</v>
      </c>
      <c r="W21" s="38" t="n">
        <v>70</v>
      </c>
      <c r="X21" s="38" t="n">
        <v>70</v>
      </c>
      <c r="Y21" s="38" t="n">
        <v>70</v>
      </c>
      <c r="Z21" s="38" t="n">
        <v>70</v>
      </c>
      <c r="AA21" s="36">
        <f>SUM(O21:U21)</f>
        <v/>
      </c>
      <c r="AB21" s="36">
        <f>SUM(O21:Z21)</f>
        <v/>
      </c>
      <c r="AC21" s="38" t="n">
        <v>70</v>
      </c>
      <c r="AD21" s="38" t="n">
        <v>70</v>
      </c>
      <c r="AE21" s="38" t="n">
        <v>70</v>
      </c>
      <c r="AF21" s="38" t="n">
        <v>70</v>
      </c>
      <c r="AG21" s="38" t="n">
        <v>70</v>
      </c>
      <c r="AH21" s="38" t="n">
        <v>70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SUMIF('XNDN TB'!$R:$R,'NDN P&amp;L'!$A22,'XNDN TB'!C:C)</f>
        <v/>
      </c>
      <c r="P22" s="37">
        <f>SUMIF('XNDN TB'!$R:$R,'NDN P&amp;L'!$A22,'XNDN TB'!D:D)</f>
        <v/>
      </c>
      <c r="Q22" s="37">
        <f>SUMIF('XNDN TB'!$R:$R,'NDN P&amp;L'!$A22,'XNDN TB'!E:E)</f>
        <v/>
      </c>
      <c r="R22" s="37">
        <f>SUMIF('XNDN TB'!$R:$R,'NDN P&amp;L'!$A22,'XNDN TB'!F:F)</f>
        <v/>
      </c>
      <c r="S22" s="37">
        <f>SUMIF('XNDN TB'!$R:$R,'NDN P&amp;L'!$A22,'XNDN TB'!G:G)</f>
        <v/>
      </c>
      <c r="T22" s="37">
        <f>SUMIF('XNDN TB'!$R:$R,'NDN P&amp;L'!$A22,'XNDN TB'!H:H)</f>
        <v/>
      </c>
      <c r="U22" s="37">
        <f>SUMIF('NDN TB'!$R:$R,'NDN P&amp;L'!$A22,'NDN TB'!I:I)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94.31999999999999</v>
      </c>
      <c r="I23" s="35" t="n">
        <v>111.25</v>
      </c>
      <c r="J23" s="35" t="n">
        <v>84.98999999999999</v>
      </c>
      <c r="K23" s="35" t="n">
        <v>31.36</v>
      </c>
      <c r="L23" s="35" t="n">
        <v>91.53</v>
      </c>
      <c r="M23" s="35" t="n">
        <v>71</v>
      </c>
      <c r="N23" s="36">
        <f>SUM(B23:M23)</f>
        <v/>
      </c>
      <c r="O23" s="37" t="n">
        <v>20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8" t="n">
        <v>29</v>
      </c>
      <c r="W23" s="38" t="n">
        <v>29</v>
      </c>
      <c r="X23" s="38" t="n">
        <v>29</v>
      </c>
      <c r="Y23" s="38" t="n">
        <v>29</v>
      </c>
      <c r="Z23" s="38" t="n">
        <v>29</v>
      </c>
      <c r="AA23" s="36">
        <f>SUM(O23:U23)</f>
        <v/>
      </c>
      <c r="AB23" s="36">
        <f>SUM(O23:Z23)</f>
        <v/>
      </c>
      <c r="AC23" s="38" t="n">
        <v>29</v>
      </c>
      <c r="AD23" s="38" t="n">
        <v>29</v>
      </c>
      <c r="AE23" s="38" t="n">
        <v>29</v>
      </c>
      <c r="AF23" s="38" t="n">
        <v>29</v>
      </c>
      <c r="AG23" s="38" t="n">
        <v>29</v>
      </c>
      <c r="AH23" s="38" t="n">
        <v>29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662.49</v>
      </c>
      <c r="L24" s="35" t="n">
        <v>0</v>
      </c>
      <c r="M24" s="35" t="n">
        <v>0</v>
      </c>
      <c r="N24" s="36">
        <f>SUM(B24:M24)</f>
        <v/>
      </c>
      <c r="O24" s="37">
        <f>SUMIF('XNDN TB'!$R:$R,'NDN P&amp;L'!$A24,'XNDN TB'!C:C)</f>
        <v/>
      </c>
      <c r="P24" s="37">
        <f>SUMIF('XNDN TB'!$R:$R,'NDN P&amp;L'!$A24,'XNDN TB'!D:D)</f>
        <v/>
      </c>
      <c r="Q24" s="37">
        <f>SUMIF('XNDN TB'!$R:$R,'NDN P&amp;L'!$A24,'XNDN TB'!E:E)</f>
        <v/>
      </c>
      <c r="R24" s="37">
        <f>SUMIF('XNDN TB'!$R:$R,'NDN P&amp;L'!$A24,'XNDN TB'!F:F)</f>
        <v/>
      </c>
      <c r="S24" s="37">
        <f>SUMIF('XNDN TB'!$R:$R,'NDN P&amp;L'!$A24,'XNDN TB'!G:G)</f>
        <v/>
      </c>
      <c r="T24" s="37">
        <f>SUMIF('XNDN TB'!$R:$R,'NDN P&amp;L'!$A24,'XNDN TB'!H:H)</f>
        <v/>
      </c>
      <c r="U24" s="37">
        <f>SUMIF('NDN TB'!$R:$R,'NDN P&amp;L'!$A24,'NDN TB'!I:I)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16806.38</v>
      </c>
      <c r="C25" s="42" t="n">
        <v>19028.5</v>
      </c>
      <c r="D25" s="42" t="n">
        <v>22455.43</v>
      </c>
      <c r="E25" s="42" t="n">
        <v>22614.85</v>
      </c>
      <c r="F25" s="42" t="n">
        <v>23269.11</v>
      </c>
      <c r="G25" s="42" t="n">
        <v>21136.27</v>
      </c>
      <c r="H25" s="42" t="n">
        <v>21568.2</v>
      </c>
      <c r="I25" s="42" t="n">
        <v>17685.68</v>
      </c>
      <c r="J25" s="42" t="n">
        <v>16284.58</v>
      </c>
      <c r="K25" s="42" t="n">
        <v>15630.98</v>
      </c>
      <c r="L25" s="42" t="n">
        <v>14340.8</v>
      </c>
      <c r="M25" s="42" t="n">
        <v>15517.61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938.0799999999999</v>
      </c>
      <c r="C27" s="35" t="n">
        <v>1134.85</v>
      </c>
      <c r="D27" s="35" t="n">
        <v>993.1799999999999</v>
      </c>
      <c r="E27" s="35" t="n">
        <v>999.98</v>
      </c>
      <c r="F27" s="35" t="n">
        <v>1390.12</v>
      </c>
      <c r="G27" s="35" t="n">
        <v>1082.31</v>
      </c>
      <c r="H27" s="35" t="n">
        <v>1244.9</v>
      </c>
      <c r="I27" s="35" t="n">
        <v>1523.75</v>
      </c>
      <c r="J27" s="35" t="n">
        <v>904.37</v>
      </c>
      <c r="K27" s="35" t="n">
        <v>917.85</v>
      </c>
      <c r="L27" s="35" t="n">
        <v>1201.67</v>
      </c>
      <c r="M27" s="35" t="n">
        <v>933.79</v>
      </c>
      <c r="N27" s="36">
        <f>SUM(B27:M27)</f>
        <v/>
      </c>
      <c r="O27" s="37" t="n">
        <v>894.3200000000001</v>
      </c>
      <c r="P27" s="37" t="n">
        <v>587.8</v>
      </c>
      <c r="Q27" s="37" t="n">
        <v>693.1900000000001</v>
      </c>
      <c r="R27" s="37" t="n">
        <v>726.12</v>
      </c>
      <c r="S27" s="37" t="n">
        <v>627.51</v>
      </c>
      <c r="T27" s="37" t="n">
        <v>765.63</v>
      </c>
      <c r="U27" s="37" t="n">
        <v>977.42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29.07</v>
      </c>
      <c r="C28" s="35" t="n">
        <v>176.61</v>
      </c>
      <c r="D28" s="35" t="n">
        <v>111.88</v>
      </c>
      <c r="E28" s="35" t="n">
        <v>203.06</v>
      </c>
      <c r="F28" s="35" t="n">
        <v>178.9</v>
      </c>
      <c r="G28" s="35" t="n">
        <v>67.28999999999999</v>
      </c>
      <c r="H28" s="35" t="n">
        <v>38</v>
      </c>
      <c r="I28" s="35" t="n">
        <v>105.13</v>
      </c>
      <c r="J28" s="35" t="n">
        <v>220.74</v>
      </c>
      <c r="K28" s="35" t="n">
        <v>4.23</v>
      </c>
      <c r="L28" s="35" t="n">
        <v>126.27</v>
      </c>
      <c r="M28" s="35" t="n">
        <v>48.49</v>
      </c>
      <c r="N28" s="36">
        <f>SUM(B28:M28)</f>
        <v/>
      </c>
      <c r="O28" s="37" t="n">
        <v>12.23</v>
      </c>
      <c r="P28" s="37" t="n">
        <v>0</v>
      </c>
      <c r="Q28" s="37" t="n">
        <v>65.03</v>
      </c>
      <c r="R28" s="37" t="n">
        <v>131.86</v>
      </c>
      <c r="S28" s="37" t="n">
        <v>70.84999999999999</v>
      </c>
      <c r="T28" s="37" t="n">
        <v>80.06</v>
      </c>
      <c r="U28" s="37" t="n">
        <v>12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93.71000000000001</v>
      </c>
      <c r="C29" s="35" t="n">
        <v>111.46</v>
      </c>
      <c r="D29" s="35" t="n">
        <v>79.33</v>
      </c>
      <c r="E29" s="35" t="n">
        <v>37.47</v>
      </c>
      <c r="F29" s="35" t="n">
        <v>54.27</v>
      </c>
      <c r="G29" s="35" t="n">
        <v>2.99</v>
      </c>
      <c r="H29" s="35" t="n">
        <v>0</v>
      </c>
      <c r="I29" s="35" t="n">
        <v>2.99</v>
      </c>
      <c r="J29" s="35" t="n">
        <v>0</v>
      </c>
      <c r="K29" s="35" t="n">
        <v>70.45999999999999</v>
      </c>
      <c r="L29" s="35" t="n">
        <v>14.45</v>
      </c>
      <c r="M29" s="35" t="n">
        <v>0</v>
      </c>
      <c r="N29" s="36">
        <f>SUM(B29:M29)</f>
        <v/>
      </c>
      <c r="O29" s="37" t="n">
        <v>30.16</v>
      </c>
      <c r="P29" s="37" t="n">
        <v>0</v>
      </c>
      <c r="Q29" s="37" t="n">
        <v>232.14</v>
      </c>
      <c r="R29" s="37" t="n">
        <v>15.48</v>
      </c>
      <c r="S29" s="37" t="n">
        <v>30.74</v>
      </c>
      <c r="T29" s="37" t="n">
        <v>63.52</v>
      </c>
      <c r="U29" s="37" t="n">
        <v>12.37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0.00208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 t="n">
        <v>0</v>
      </c>
      <c r="P30" s="37" t="n">
        <v>0</v>
      </c>
      <c r="Q30" s="37" t="n">
        <v>0</v>
      </c>
      <c r="R30" s="37" t="n">
        <v>0</v>
      </c>
      <c r="S30" s="37" t="n">
        <v>0</v>
      </c>
      <c r="T30" s="37" t="n">
        <v>0</v>
      </c>
      <c r="U30" s="37" t="n">
        <v>76.09</v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18.98</v>
      </c>
      <c r="C31" s="35" t="n">
        <v>117.79</v>
      </c>
      <c r="D31" s="35" t="n">
        <v>179.68</v>
      </c>
      <c r="E31" s="35" t="n">
        <v>95.60000000000001</v>
      </c>
      <c r="F31" s="35" t="n">
        <v>321.81</v>
      </c>
      <c r="G31" s="35" t="n">
        <v>0</v>
      </c>
      <c r="H31" s="35" t="n">
        <v>95.58</v>
      </c>
      <c r="I31" s="35" t="n">
        <v>134.96</v>
      </c>
      <c r="J31" s="35" t="n">
        <v>0</v>
      </c>
      <c r="K31" s="35" t="n">
        <v>81.06999999999999</v>
      </c>
      <c r="L31" s="35" t="n">
        <v>40.2</v>
      </c>
      <c r="M31" s="35" t="n">
        <v>117.6</v>
      </c>
      <c r="N31" s="36">
        <f>SUM(B31:M31)</f>
        <v/>
      </c>
      <c r="O31" s="37" t="n">
        <v>0</v>
      </c>
      <c r="P31" s="37" t="n">
        <v>258.16</v>
      </c>
      <c r="Q31" s="37" t="n">
        <v>0</v>
      </c>
      <c r="R31" s="37" t="n">
        <v>44.43</v>
      </c>
      <c r="S31" s="37" t="n">
        <v>39.47</v>
      </c>
      <c r="T31" s="37" t="n">
        <v>167.46</v>
      </c>
      <c r="U31" s="37" t="n">
        <v>0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78.04000000000001</v>
      </c>
      <c r="C32" s="35" t="n">
        <v>164.73</v>
      </c>
      <c r="D32" s="35" t="n">
        <v>79.87</v>
      </c>
      <c r="E32" s="35" t="n">
        <v>266.59</v>
      </c>
      <c r="F32" s="35" t="n">
        <v>132.46</v>
      </c>
      <c r="G32" s="35" t="n">
        <v>237.19</v>
      </c>
      <c r="H32" s="35" t="n">
        <v>188.47</v>
      </c>
      <c r="I32" s="35" t="n">
        <v>232.28</v>
      </c>
      <c r="J32" s="35" t="n">
        <v>228.68</v>
      </c>
      <c r="K32" s="35" t="n">
        <v>110.27</v>
      </c>
      <c r="L32" s="35" t="n">
        <v>16.43</v>
      </c>
      <c r="M32" s="35" t="n">
        <v>191.93</v>
      </c>
      <c r="N32" s="36">
        <f>SUM(B32:M32)</f>
        <v/>
      </c>
      <c r="O32" s="37" t="n">
        <v>109.85</v>
      </c>
      <c r="P32" s="37" t="n">
        <v>126.99</v>
      </c>
      <c r="Q32" s="37" t="n">
        <v>68.91</v>
      </c>
      <c r="R32" s="37" t="n">
        <v>188.57</v>
      </c>
      <c r="S32" s="37" t="n">
        <v>185.38</v>
      </c>
      <c r="T32" s="37" t="n">
        <v>81.98999999999999</v>
      </c>
      <c r="U32" s="37" t="n">
        <v>56.14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SUMIF('XNDN TB'!$R:$R,'NDN P&amp;L'!$A33,'XNDN TB'!C:C)</f>
        <v/>
      </c>
      <c r="P33" s="37">
        <f>SUMIF('XNDN TB'!$R:$R,'NDN P&amp;L'!$A33,'XNDN TB'!D:D)</f>
        <v/>
      </c>
      <c r="Q33" s="37">
        <f>SUMIF('XNDN TB'!$R:$R,'NDN P&amp;L'!$A33,'XNDN TB'!E:E)</f>
        <v/>
      </c>
      <c r="R33" s="37">
        <f>SUMIF('XNDN TB'!$R:$R,'NDN P&amp;L'!$A33,'XNDN TB'!F:F)</f>
        <v/>
      </c>
      <c r="S33" s="37">
        <f>SUMIF('XNDN TB'!$R:$R,'NDN P&amp;L'!$A33,'XNDN TB'!G:G)</f>
        <v/>
      </c>
      <c r="T33" s="37">
        <f>SUMIF('XNDN TB'!$R:$R,'NDN P&amp;L'!$A33,'XNDN TB'!H:H)</f>
        <v/>
      </c>
      <c r="U33" s="37">
        <f>SUMIF('NDN TB'!$R:$R,'NDN P&amp;L'!$A33,'NDN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1157.88</v>
      </c>
      <c r="C34" s="42" t="n">
        <v>1705.44</v>
      </c>
      <c r="D34" s="42" t="n">
        <v>1443.94</v>
      </c>
      <c r="E34" s="42" t="n">
        <v>1602.7</v>
      </c>
      <c r="F34" s="42" t="n">
        <v>2077.56</v>
      </c>
      <c r="G34" s="42" t="n">
        <v>1389.78</v>
      </c>
      <c r="H34" s="42" t="n">
        <v>1566.95</v>
      </c>
      <c r="I34" s="42" t="n">
        <v>1999.11</v>
      </c>
      <c r="J34" s="42" t="n">
        <v>1353.79</v>
      </c>
      <c r="K34" s="42" t="n">
        <v>1183.88</v>
      </c>
      <c r="L34" s="42" t="n">
        <v>1399.02</v>
      </c>
      <c r="M34" s="42" t="n">
        <v>1291.81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1267.25</v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1101.96</v>
      </c>
      <c r="C37" s="35" t="n">
        <v>1101.96</v>
      </c>
      <c r="D37" s="35" t="n">
        <v>1101.96</v>
      </c>
      <c r="E37" s="35" t="n">
        <v>1101.96</v>
      </c>
      <c r="F37" s="35" t="n">
        <v>1101.96</v>
      </c>
      <c r="G37" s="35" t="n">
        <v>1101.96</v>
      </c>
      <c r="H37" s="35" t="n">
        <v>1101.96</v>
      </c>
      <c r="I37" s="35" t="n">
        <v>1101.96</v>
      </c>
      <c r="J37" s="35" t="n">
        <v>1101.96</v>
      </c>
      <c r="K37" s="35" t="n">
        <v>1101.96</v>
      </c>
      <c r="L37" s="35" t="n">
        <v>1101.96</v>
      </c>
      <c r="M37" s="35" t="n">
        <v>1101.96</v>
      </c>
      <c r="N37" s="36">
        <f>SUM(B37:M37)</f>
        <v/>
      </c>
      <c r="O37" s="37" t="n">
        <v>1101.96</v>
      </c>
      <c r="P37" s="37" t="n">
        <v>1101.95</v>
      </c>
      <c r="Q37" s="37" t="n">
        <v>1101.95</v>
      </c>
      <c r="R37" s="37" t="n">
        <v>1267.25</v>
      </c>
      <c r="S37" s="37" t="n">
        <v>1267.25</v>
      </c>
      <c r="T37" s="37" t="n">
        <v>1267.25</v>
      </c>
      <c r="U37" s="37" t="n">
        <v>0</v>
      </c>
      <c r="V37" s="38" t="n">
        <v>1267</v>
      </c>
      <c r="W37" s="38" t="n">
        <v>1267</v>
      </c>
      <c r="X37" s="38" t="n">
        <v>1267</v>
      </c>
      <c r="Y37" s="38" t="n">
        <v>1267</v>
      </c>
      <c r="Z37" s="38" t="n">
        <v>1267</v>
      </c>
      <c r="AA37" s="36">
        <f>SUM(O37:U37)</f>
        <v/>
      </c>
      <c r="AB37" s="36">
        <f>SUM(O37:Z37)</f>
        <v/>
      </c>
      <c r="AC37" s="38" t="n">
        <v>1267</v>
      </c>
      <c r="AD37" s="38" t="n">
        <v>1267</v>
      </c>
      <c r="AE37" s="38" t="n">
        <v>1267</v>
      </c>
      <c r="AF37" s="38" t="n">
        <v>1267</v>
      </c>
      <c r="AG37" s="38" t="n">
        <v>1267</v>
      </c>
      <c r="AH37" s="38" t="n">
        <v>1267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3375.89</v>
      </c>
      <c r="C38" s="35" t="n">
        <v>56.38000000000182</v>
      </c>
      <c r="D38" s="35" t="n">
        <v>2478.53</v>
      </c>
      <c r="E38" s="35" t="n">
        <v>2657.12</v>
      </c>
      <c r="F38" s="35" t="n">
        <v>1738.13</v>
      </c>
      <c r="G38" s="35" t="n">
        <v>942.84</v>
      </c>
      <c r="H38" s="35" t="n">
        <v>1984.28</v>
      </c>
      <c r="I38" s="35" t="n">
        <v>159.04</v>
      </c>
      <c r="J38" s="35" t="n">
        <v>-2054.4</v>
      </c>
      <c r="K38" s="35" t="n">
        <v>2069.1</v>
      </c>
      <c r="L38" s="35" t="n">
        <v>2303.05</v>
      </c>
      <c r="M38" s="35" t="n">
        <v>1297.49</v>
      </c>
      <c r="N38" s="36">
        <f>SUM(B38:M38)</f>
        <v/>
      </c>
      <c r="O38" s="37" t="n">
        <v>1098.56</v>
      </c>
      <c r="P38" s="37" t="n">
        <v>5374.07</v>
      </c>
      <c r="Q38" s="37" t="n">
        <v>2003.16</v>
      </c>
      <c r="R38" s="37" t="n">
        <v>1949.71</v>
      </c>
      <c r="S38" s="37" t="n">
        <v>1937.06</v>
      </c>
      <c r="T38" s="37" t="n">
        <v>2017.5</v>
      </c>
      <c r="U38" s="37" t="n">
        <v>158.35</v>
      </c>
      <c r="V38" s="38" t="n">
        <v>2300</v>
      </c>
      <c r="W38" s="38" t="n">
        <v>2300</v>
      </c>
      <c r="X38" s="38" t="n">
        <v>2300</v>
      </c>
      <c r="Y38" s="38" t="n">
        <v>2300</v>
      </c>
      <c r="Z38" s="38" t="n">
        <v>2300</v>
      </c>
      <c r="AA38" s="36">
        <f>SUM(O38:U38)</f>
        <v/>
      </c>
      <c r="AB38" s="36">
        <f>SUM(O38:Z38)</f>
        <v/>
      </c>
      <c r="AC38" s="38" t="n">
        <v>2300</v>
      </c>
      <c r="AD38" s="38" t="n">
        <v>2300</v>
      </c>
      <c r="AE38" s="38" t="n">
        <v>2300</v>
      </c>
      <c r="AF38" s="38" t="n">
        <v>2300</v>
      </c>
      <c r="AG38" s="38" t="n">
        <v>2300</v>
      </c>
      <c r="AH38" s="38" t="n">
        <v>2300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17.94</v>
      </c>
      <c r="C39" s="35" t="n">
        <v>37.48</v>
      </c>
      <c r="D39" s="35" t="n">
        <v>566.99</v>
      </c>
      <c r="E39" s="35" t="n">
        <v>245.93</v>
      </c>
      <c r="F39" s="35" t="n">
        <v>270.95</v>
      </c>
      <c r="G39" s="35" t="n">
        <v>671.05</v>
      </c>
      <c r="H39" s="35" t="n">
        <v>0</v>
      </c>
      <c r="I39" s="35" t="n">
        <v>0</v>
      </c>
      <c r="J39" s="35" t="n">
        <v>22.7</v>
      </c>
      <c r="K39" s="35" t="n">
        <v>192.88</v>
      </c>
      <c r="L39" s="35" t="n">
        <v>0</v>
      </c>
      <c r="M39" s="35" t="n">
        <v>125.67</v>
      </c>
      <c r="N39" s="36">
        <f>SUM(B39:M39)</f>
        <v/>
      </c>
      <c r="O39" s="37" t="n">
        <v>0</v>
      </c>
      <c r="P39" s="37" t="n">
        <v>230.16</v>
      </c>
      <c r="Q39" s="37" t="n">
        <v>0</v>
      </c>
      <c r="R39" s="37" t="n">
        <v>0</v>
      </c>
      <c r="S39" s="37" t="n">
        <v>66.56999999999999</v>
      </c>
      <c r="T39" s="37" t="n">
        <v>0</v>
      </c>
      <c r="U39" s="37" t="n">
        <v>153.49</v>
      </c>
      <c r="V39" s="38" t="n">
        <v>2000</v>
      </c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138.22</v>
      </c>
      <c r="C40" s="35" t="n">
        <v>106.33</v>
      </c>
      <c r="D40" s="35" t="n">
        <v>113.34</v>
      </c>
      <c r="E40" s="35" t="n">
        <v>182.89</v>
      </c>
      <c r="F40" s="35" t="n">
        <v>308.21</v>
      </c>
      <c r="G40" s="35" t="n">
        <v>17.18</v>
      </c>
      <c r="H40" s="35" t="n">
        <v>311.14</v>
      </c>
      <c r="I40" s="35" t="n">
        <v>96.34999999999999</v>
      </c>
      <c r="J40" s="35" t="n">
        <v>107.78</v>
      </c>
      <c r="K40" s="35" t="n">
        <v>191.11</v>
      </c>
      <c r="L40" s="35" t="n">
        <v>142.97</v>
      </c>
      <c r="M40" s="35" t="n">
        <v>35.48</v>
      </c>
      <c r="N40" s="36">
        <f>SUM(B40:M40)</f>
        <v/>
      </c>
      <c r="O40" s="37" t="n">
        <v>36.74</v>
      </c>
      <c r="P40" s="37" t="n">
        <v>320.76</v>
      </c>
      <c r="Q40" s="37" t="n">
        <v>0</v>
      </c>
      <c r="R40" s="37" t="n">
        <v>32.27</v>
      </c>
      <c r="S40" s="37" t="n">
        <v>51.33</v>
      </c>
      <c r="T40" s="37" t="n">
        <v>239.69</v>
      </c>
      <c r="U40" s="37" t="n">
        <v>0</v>
      </c>
      <c r="V40" s="38" t="n">
        <v>165</v>
      </c>
      <c r="W40" s="38" t="n">
        <v>165</v>
      </c>
      <c r="X40" s="38" t="n">
        <v>165</v>
      </c>
      <c r="Y40" s="38" t="n">
        <v>165</v>
      </c>
      <c r="Z40" s="38" t="n">
        <v>165</v>
      </c>
      <c r="AA40" s="36">
        <f>SUM(O40:U40)</f>
        <v/>
      </c>
      <c r="AB40" s="36">
        <f>SUM(O40:Z40)</f>
        <v/>
      </c>
      <c r="AC40" s="38" t="n">
        <v>165</v>
      </c>
      <c r="AD40" s="38" t="n">
        <v>165</v>
      </c>
      <c r="AE40" s="38" t="n">
        <v>165</v>
      </c>
      <c r="AF40" s="38" t="n">
        <v>165</v>
      </c>
      <c r="AG40" s="38" t="n">
        <v>165</v>
      </c>
      <c r="AH40" s="38" t="n">
        <v>165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352.3</v>
      </c>
      <c r="C41" s="35" t="n">
        <v>253.9</v>
      </c>
      <c r="D41" s="35" t="n">
        <v>403.3</v>
      </c>
      <c r="E41" s="35" t="n">
        <v>346.77</v>
      </c>
      <c r="F41" s="35" t="n">
        <v>393.52</v>
      </c>
      <c r="G41" s="35" t="n">
        <v>424.55</v>
      </c>
      <c r="H41" s="35" t="n">
        <v>328.24</v>
      </c>
      <c r="I41" s="35" t="n">
        <v>328.24</v>
      </c>
      <c r="J41" s="35" t="n">
        <v>489.35</v>
      </c>
      <c r="K41" s="35" t="n">
        <v>438.01</v>
      </c>
      <c r="L41" s="35" t="n">
        <v>355.75</v>
      </c>
      <c r="M41" s="35" t="n">
        <v>452.0599999999999</v>
      </c>
      <c r="N41" s="36">
        <f>SUM(B41:M41)</f>
        <v/>
      </c>
      <c r="O41" s="37" t="n">
        <v>355.77</v>
      </c>
      <c r="P41" s="37" t="n">
        <v>341.44</v>
      </c>
      <c r="Q41" s="37" t="n">
        <v>488.15</v>
      </c>
      <c r="R41" s="37" t="n">
        <v>449.49</v>
      </c>
      <c r="S41" s="37" t="n">
        <v>368.45</v>
      </c>
      <c r="T41" s="37" t="n">
        <v>280.5</v>
      </c>
      <c r="U41" s="37" t="n">
        <v>419.47</v>
      </c>
      <c r="V41" s="38" t="n">
        <v>370</v>
      </c>
      <c r="W41" s="38" t="n">
        <v>370</v>
      </c>
      <c r="X41" s="38" t="n">
        <v>370</v>
      </c>
      <c r="Y41" s="38" t="n">
        <v>370</v>
      </c>
      <c r="Z41" s="38" t="n">
        <v>370</v>
      </c>
      <c r="AA41" s="36">
        <f>SUM(O41:U41)</f>
        <v/>
      </c>
      <c r="AB41" s="36">
        <f>SUM(O41:Z41)</f>
        <v/>
      </c>
      <c r="AC41" s="38" t="n">
        <v>370</v>
      </c>
      <c r="AD41" s="38" t="n">
        <v>370</v>
      </c>
      <c r="AE41" s="38" t="n">
        <v>370</v>
      </c>
      <c r="AF41" s="38" t="n">
        <v>370</v>
      </c>
      <c r="AG41" s="38" t="n">
        <v>370</v>
      </c>
      <c r="AH41" s="38" t="n">
        <v>370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132.08</v>
      </c>
      <c r="C42" s="35" t="n">
        <v>23.77</v>
      </c>
      <c r="D42" s="35" t="n">
        <v>72.49000000000001</v>
      </c>
      <c r="E42" s="35" t="n">
        <v>482.1900000000001</v>
      </c>
      <c r="F42" s="35" t="n">
        <v>465.37</v>
      </c>
      <c r="G42" s="35" t="n">
        <v>479.21</v>
      </c>
      <c r="H42" s="35" t="n">
        <v>-785.59</v>
      </c>
      <c r="I42" s="35" t="n">
        <v>463.76</v>
      </c>
      <c r="J42" s="35" t="n">
        <v>480.54</v>
      </c>
      <c r="K42" s="35" t="n">
        <v>434.84</v>
      </c>
      <c r="L42" s="35" t="n">
        <v>480.36</v>
      </c>
      <c r="M42" s="35" t="n">
        <v>476.84</v>
      </c>
      <c r="N42" s="36">
        <f>SUM(B42:M42)</f>
        <v/>
      </c>
      <c r="O42" s="37" t="n">
        <v>73.36</v>
      </c>
      <c r="P42" s="37" t="n">
        <v>58.85</v>
      </c>
      <c r="Q42" s="37" t="n">
        <v>176.11</v>
      </c>
      <c r="R42" s="37" t="n">
        <v>74.42</v>
      </c>
      <c r="S42" s="37" t="n">
        <v>63.8</v>
      </c>
      <c r="T42" s="37" t="n">
        <v>17.99</v>
      </c>
      <c r="U42" s="37" t="n">
        <v>98.47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517.8099999999999</v>
      </c>
      <c r="P43" s="37" t="n">
        <v>548.75</v>
      </c>
      <c r="Q43" s="37" t="n">
        <v>632.12</v>
      </c>
      <c r="R43" s="37" t="n">
        <v>542.3</v>
      </c>
      <c r="S43" s="37" t="n">
        <v>722.9400000000001</v>
      </c>
      <c r="T43" s="37" t="n">
        <v>485.8</v>
      </c>
      <c r="U43" s="37" t="n">
        <v>878.8</v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SUMIF('XNDN TB'!$R:$R,'NDN P&amp;L'!$A44,'XNDN TB'!C:C)</f>
        <v/>
      </c>
      <c r="P44" s="37">
        <f>SUMIF('XNDN TB'!$R:$R,'NDN P&amp;L'!$A44,'XNDN TB'!D:D)</f>
        <v/>
      </c>
      <c r="Q44" s="37">
        <f>SUMIF('XNDN TB'!$R:$R,'NDN P&amp;L'!$A44,'XNDN TB'!E:E)</f>
        <v/>
      </c>
      <c r="R44" s="37">
        <f>SUMIF('XNDN TB'!$R:$R,'NDN P&amp;L'!$A44,'XNDN TB'!F:F)</f>
        <v/>
      </c>
      <c r="S44" s="37">
        <f>SUMIF('XNDN TB'!$R:$R,'NDN P&amp;L'!$A44,'XNDN TB'!G:G)</f>
        <v/>
      </c>
      <c r="T44" s="37">
        <f>SUMIF('XNDN TB'!$R:$R,'NDN P&amp;L'!$A44,'XNDN TB'!H:H)</f>
        <v/>
      </c>
      <c r="U44" s="37">
        <f>SUMIF('NDN TB'!$R:$R,'NDN P&amp;L'!$A44,'NDN TB'!I:I)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SUMIF('XNDN TB'!$R:$R,'NDN P&amp;L'!$A45,'XNDN TB'!C:C)</f>
        <v/>
      </c>
      <c r="P45" s="37">
        <f>SUMIF('XNDN TB'!$R:$R,'NDN P&amp;L'!$A45,'XNDN TB'!D:D)</f>
        <v/>
      </c>
      <c r="Q45" s="37">
        <f>SUMIF('XNDN TB'!$R:$R,'NDN P&amp;L'!$A45,'XNDN TB'!E:E)</f>
        <v/>
      </c>
      <c r="R45" s="37">
        <f>SUMIF('XNDN TB'!$R:$R,'NDN P&amp;L'!$A45,'XNDN TB'!F:F)</f>
        <v/>
      </c>
      <c r="S45" s="37">
        <f>SUMIF('XNDN TB'!$R:$R,'NDN P&amp;L'!$A45,'XNDN TB'!G:G)</f>
        <v/>
      </c>
      <c r="T45" s="37">
        <f>SUMIF('XNDN TB'!$R:$R,'NDN P&amp;L'!$A45,'XNDN TB'!H:H)</f>
        <v/>
      </c>
      <c r="U45" s="37">
        <f>SUMIF('NDN TB'!$R:$R,'NDN P&amp;L'!$A45,'NDN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SUMIF('XNDN TB'!$R:$R,'NDN P&amp;L'!$A46,'XNDN TB'!C:C)</f>
        <v/>
      </c>
      <c r="P46" s="37">
        <f>SUMIF('XNDN TB'!$R:$R,'NDN P&amp;L'!$A46,'XNDN TB'!D:D)</f>
        <v/>
      </c>
      <c r="Q46" s="37">
        <f>SUMIF('XNDN TB'!$R:$R,'NDN P&amp;L'!$A46,'XNDN TB'!E:E)</f>
        <v/>
      </c>
      <c r="R46" s="37">
        <f>SUMIF('XNDN TB'!$R:$R,'NDN P&amp;L'!$A46,'XNDN TB'!F:F)</f>
        <v/>
      </c>
      <c r="S46" s="37">
        <f>SUMIF('XNDN TB'!$R:$R,'NDN P&amp;L'!$A46,'XNDN TB'!G:G)</f>
        <v/>
      </c>
      <c r="T46" s="37">
        <f>SUMIF('XNDN TB'!$R:$R,'NDN P&amp;L'!$A46,'XNDN TB'!H:H)</f>
        <v/>
      </c>
      <c r="U46" s="37">
        <f>SUMIF('NDN TB'!$R:$R,'NDN P&amp;L'!$A46,'NDN TB'!I:I)</f>
        <v/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5118.39</v>
      </c>
      <c r="C47" s="42" t="n">
        <v>1579.820000000002</v>
      </c>
      <c r="D47" s="42" t="n">
        <v>4736.610000000001</v>
      </c>
      <c r="E47" s="42" t="n">
        <v>5016.860000000001</v>
      </c>
      <c r="F47" s="42" t="n">
        <v>4278.14</v>
      </c>
      <c r="G47" s="42" t="n">
        <v>3636.79</v>
      </c>
      <c r="H47" s="42" t="n">
        <v>2940.03</v>
      </c>
      <c r="I47" s="42" t="n">
        <v>2149.35</v>
      </c>
      <c r="J47" s="42" t="n">
        <v>147.9299999999999</v>
      </c>
      <c r="K47" s="42" t="n">
        <v>4427.900000000001</v>
      </c>
      <c r="L47" s="42" t="n">
        <v>4384.09</v>
      </c>
      <c r="M47" s="42" t="n">
        <v>3489.5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23082.65</v>
      </c>
      <c r="C48" s="23" t="n">
        <v>22313.76</v>
      </c>
      <c r="D48" s="23" t="n">
        <v>28635.98</v>
      </c>
      <c r="E48" s="23" t="n">
        <v>29234.41</v>
      </c>
      <c r="F48" s="23" t="n">
        <v>29624.81</v>
      </c>
      <c r="G48" s="23" t="n">
        <v>26162.84</v>
      </c>
      <c r="H48" s="23" t="n">
        <v>26075.18</v>
      </c>
      <c r="I48" s="23" t="n">
        <v>21834.14</v>
      </c>
      <c r="J48" s="23" t="n">
        <v>17786.3</v>
      </c>
      <c r="K48" s="23" t="n">
        <v>21242.76</v>
      </c>
      <c r="L48" s="23" t="n">
        <v>20123.91</v>
      </c>
      <c r="M48" s="23" t="n">
        <v>20298.92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-5667.630000000005</v>
      </c>
      <c r="C50" s="55" t="n">
        <v>1625.609999999997</v>
      </c>
      <c r="D50" s="55" t="n">
        <v>7766.750000000007</v>
      </c>
      <c r="E50" s="55" t="n">
        <v>42.0099999999984</v>
      </c>
      <c r="F50" s="55" t="n">
        <v>-5053.139999999999</v>
      </c>
      <c r="G50" s="55" t="n">
        <v>5661.93</v>
      </c>
      <c r="H50" s="55" t="n">
        <v>13482.26000000001</v>
      </c>
      <c r="I50" s="55" t="n">
        <v>2075.750000000004</v>
      </c>
      <c r="J50" s="55" t="n">
        <v>5444.629999999997</v>
      </c>
      <c r="K50" s="55" t="n">
        <v>1560.769999999997</v>
      </c>
      <c r="L50" s="55" t="n">
        <v>2765.050000000003</v>
      </c>
      <c r="M50" s="55" t="n">
        <v>5973.829999999998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SUMIF('XNDN TB'!$R:$R,'NDN P&amp;L'!$A53,'XNDN TB'!C:C)</f>
        <v/>
      </c>
      <c r="P53" s="37">
        <f>SUMIF('XNDN TB'!$R:$R,'NDN P&amp;L'!$A53,'XNDN TB'!D:D)</f>
        <v/>
      </c>
      <c r="Q53" s="37">
        <f>SUMIF('XNDN TB'!$R:$R,'NDN P&amp;L'!$A53,'XNDN TB'!E:E)</f>
        <v/>
      </c>
      <c r="R53" s="37">
        <f>SUMIF('XNDN TB'!$R:$R,'NDN P&amp;L'!$A53,'XNDN TB'!F:F)</f>
        <v/>
      </c>
      <c r="S53" s="37">
        <f>SUMIF('XNDN TB'!$R:$R,'NDN P&amp;L'!$A53,'XNDN TB'!G:G)</f>
        <v/>
      </c>
      <c r="T53" s="37">
        <f>SUMIF('XNDN TB'!$R:$R,'NDN P&amp;L'!$A53,'XNDN TB'!H:H)</f>
        <v/>
      </c>
      <c r="U53" s="37">
        <f>SUMIF('NDN TB'!$R:$R,'NDN P&amp;L'!$A53,'NDN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SUMIF('XNDN TB'!$R:$R,'NDN P&amp;L'!$A54,'XNDN TB'!C:C)</f>
        <v/>
      </c>
      <c r="P54" s="37">
        <f>SUMIF('XNDN TB'!$R:$R,'NDN P&amp;L'!$A54,'XNDN TB'!D:D)</f>
        <v/>
      </c>
      <c r="Q54" s="37">
        <f>SUMIF('XNDN TB'!$R:$R,'NDN P&amp;L'!$A54,'XNDN TB'!E:E)</f>
        <v/>
      </c>
      <c r="R54" s="37">
        <f>SUMIF('XNDN TB'!$R:$R,'NDN P&amp;L'!$A54,'XNDN TB'!F:F)</f>
        <v/>
      </c>
      <c r="S54" s="37">
        <f>SUMIF('XNDN TB'!$R:$R,'NDN P&amp;L'!$A54,'XNDN TB'!G:G)</f>
        <v/>
      </c>
      <c r="T54" s="37">
        <f>SUMIF('XNDN TB'!$R:$R,'NDN P&amp;L'!$A54,'XNDN TB'!H:H)</f>
        <v/>
      </c>
      <c r="U54" s="37">
        <f>SUMIF('NDN TB'!$R:$R,'NDN P&amp;L'!$A54,'NDN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SUMIF('XNDN TB'!$R:$R,'NDN P&amp;L'!$A55,'XNDN TB'!C:C)</f>
        <v/>
      </c>
      <c r="P55" s="37">
        <f>SUMIF('XNDN TB'!$R:$R,'NDN P&amp;L'!$A55,'XNDN TB'!D:D)</f>
        <v/>
      </c>
      <c r="Q55" s="37">
        <f>SUMIF('XNDN TB'!$R:$R,'NDN P&amp;L'!$A55,'XNDN TB'!E:E)</f>
        <v/>
      </c>
      <c r="R55" s="37">
        <f>SUMIF('XNDN TB'!$R:$R,'NDN P&amp;L'!$A55,'XNDN TB'!F:F)</f>
        <v/>
      </c>
      <c r="S55" s="37">
        <f>SUMIF('XNDN TB'!$R:$R,'NDN P&amp;L'!$A55,'XNDN TB'!G:G)</f>
        <v/>
      </c>
      <c r="T55" s="37">
        <f>SUMIF('XNDN TB'!$R:$R,'NDN P&amp;L'!$A55,'XNDN TB'!H:H)</f>
        <v/>
      </c>
      <c r="U55" s="37">
        <f>SUMIF('NDN TB'!$R:$R,'NDN P&amp;L'!$A55,'NDN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SUMIF('XNDN TB'!$R:$R,'NDN P&amp;L'!$A56,'XNDN TB'!C:C)</f>
        <v/>
      </c>
      <c r="P56" s="37">
        <f>SUMIF('XNDN TB'!$R:$R,'NDN P&amp;L'!$A56,'XNDN TB'!D:D)</f>
        <v/>
      </c>
      <c r="Q56" s="37">
        <f>SUMIF('XNDN TB'!$R:$R,'NDN P&amp;L'!$A56,'XNDN TB'!E:E)</f>
        <v/>
      </c>
      <c r="R56" s="37">
        <f>SUMIF('XNDN TB'!$R:$R,'NDN P&amp;L'!$A56,'XNDN TB'!F:F)</f>
        <v/>
      </c>
      <c r="S56" s="37">
        <f>SUMIF('XNDN TB'!$R:$R,'NDN P&amp;L'!$A56,'XNDN TB'!G:G)</f>
        <v/>
      </c>
      <c r="T56" s="37">
        <f>SUMIF('XNDN TB'!$R:$R,'NDN P&amp;L'!$A56,'XNDN TB'!H:H)</f>
        <v/>
      </c>
      <c r="U56" s="37">
        <f>SUMIF('NDN TB'!$R:$R,'NDN P&amp;L'!$A56,'NDN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232.41</v>
      </c>
      <c r="M57" s="35" t="n">
        <v>89.56999999999999</v>
      </c>
      <c r="N57" s="36">
        <f>SUM(B57:M57)</f>
        <v/>
      </c>
      <c r="O57" s="37">
        <f>SUMIF('XNDN TB'!$R:$R,'NDN P&amp;L'!$A57,'XNDN TB'!C:C)</f>
        <v/>
      </c>
      <c r="P57" s="37">
        <f>SUMIF('XNDN TB'!$R:$R,'NDN P&amp;L'!$A57,'XNDN TB'!D:D)</f>
        <v/>
      </c>
      <c r="Q57" s="37">
        <f>SUMIF('XNDN TB'!$R:$R,'NDN P&amp;L'!$A57,'XNDN TB'!E:E)</f>
        <v/>
      </c>
      <c r="R57" s="37">
        <f>SUMIF('XNDN TB'!$R:$R,'NDN P&amp;L'!$A57,'XNDN TB'!F:F)</f>
        <v/>
      </c>
      <c r="S57" s="37">
        <f>SUMIF('XNDN TB'!$R:$R,'NDN P&amp;L'!$A57,'XNDN TB'!G:G)</f>
        <v/>
      </c>
      <c r="T57" s="37">
        <f>SUMIF('XNDN TB'!$R:$R,'NDN P&amp;L'!$A57,'XNDN TB'!H:H)</f>
        <v/>
      </c>
      <c r="U57" s="37">
        <f>SUMIF('NDN TB'!$R:$R,'NDN P&amp;L'!$A57,'NDN TB'!I:I)</f>
        <v/>
      </c>
      <c r="V57" s="38" t="n"/>
      <c r="W57" s="38" t="n"/>
      <c r="X57" s="38" t="n"/>
      <c r="Y57" s="38" t="n"/>
      <c r="Z57" s="38">
        <f>7*30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SUMIF('XNDN TB'!$R:$R,'NDN P&amp;L'!$A58,'XNDN TB'!C:C)</f>
        <v/>
      </c>
      <c r="P58" s="37">
        <f>SUMIF('XNDN TB'!$R:$R,'NDN P&amp;L'!$A58,'XNDN TB'!D:D)</f>
        <v/>
      </c>
      <c r="Q58" s="37">
        <f>SUMIF('XNDN TB'!$R:$R,'NDN P&amp;L'!$A58,'XNDN TB'!E:E)</f>
        <v/>
      </c>
      <c r="R58" s="37">
        <f>SUMIF('XNDN TB'!$R:$R,'NDN P&amp;L'!$A58,'XNDN TB'!F:F)</f>
        <v/>
      </c>
      <c r="S58" s="37">
        <f>SUMIF('XNDN TB'!$R:$R,'NDN P&amp;L'!$A58,'XNDN TB'!G:G)</f>
        <v/>
      </c>
      <c r="T58" s="37">
        <f>SUMIF('XNDN TB'!$R:$R,'NDN P&amp;L'!$A58,'XNDN TB'!H:H)</f>
        <v/>
      </c>
      <c r="U58" s="37">
        <f>SUMIF('NDN TB'!$R:$R,'NDN P&amp;L'!$A58,'NDN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201.37</v>
      </c>
      <c r="D59" s="35" t="n">
        <v>201.37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201.37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263.0500000000001</v>
      </c>
      <c r="C60" s="35" t="n">
        <v>10.5</v>
      </c>
      <c r="D60" s="35" t="n">
        <v>145.2</v>
      </c>
      <c r="E60" s="35" t="n">
        <v>3.6</v>
      </c>
      <c r="F60" s="35" t="n">
        <v>3.6</v>
      </c>
      <c r="G60" s="35" t="n">
        <v>45</v>
      </c>
      <c r="H60" s="35" t="n">
        <v>3</v>
      </c>
      <c r="I60" s="35" t="n">
        <v>3</v>
      </c>
      <c r="J60" s="35" t="n">
        <v>3</v>
      </c>
      <c r="K60" s="35" t="n">
        <v>69.39999999999999</v>
      </c>
      <c r="L60" s="35" t="n">
        <v>1.8</v>
      </c>
      <c r="M60" s="35" t="n">
        <v>267.4</v>
      </c>
      <c r="N60" s="36">
        <f>SUM(B60:M60)</f>
        <v/>
      </c>
      <c r="O60" s="37" t="n">
        <v>45</v>
      </c>
      <c r="P60" s="37" t="n">
        <v>0</v>
      </c>
      <c r="Q60" s="37" t="n">
        <v>3</v>
      </c>
      <c r="R60" s="37" t="n">
        <v>50.4</v>
      </c>
      <c r="S60" s="37" t="n">
        <v>2.4</v>
      </c>
      <c r="T60" s="37" t="n">
        <v>-12.43</v>
      </c>
      <c r="U60" s="37" t="n">
        <v>2.4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92.59999999999999</v>
      </c>
      <c r="C61" s="35" t="n">
        <v>29.62</v>
      </c>
      <c r="D61" s="35" t="n">
        <v>5.39</v>
      </c>
      <c r="E61" s="35" t="n">
        <v>0</v>
      </c>
      <c r="F61" s="35" t="n">
        <v>2.79</v>
      </c>
      <c r="G61" s="35" t="n">
        <v>84.48</v>
      </c>
      <c r="H61" s="35" t="n">
        <v>0</v>
      </c>
      <c r="I61" s="35" t="n">
        <v>0</v>
      </c>
      <c r="J61" s="35" t="n">
        <v>0</v>
      </c>
      <c r="K61" s="35" t="n">
        <v>33.48</v>
      </c>
      <c r="L61" s="35" t="n">
        <v>14.56</v>
      </c>
      <c r="M61" s="35" t="n">
        <v>0</v>
      </c>
      <c r="N61" s="36">
        <f>SUM(B61:M61)</f>
        <v/>
      </c>
      <c r="O61" s="37">
        <f>SUMIF('XNDN TB'!$R:$R,'NDN P&amp;L'!$A61,'XNDN TB'!C:C)</f>
        <v/>
      </c>
      <c r="P61" s="37">
        <f>SUMIF('XNDN TB'!$R:$R,'NDN P&amp;L'!$A61,'XNDN TB'!D:D)</f>
        <v/>
      </c>
      <c r="Q61" s="37">
        <f>SUMIF('XNDN TB'!$R:$R,'NDN P&amp;L'!$A61,'XNDN TB'!E:E)</f>
        <v/>
      </c>
      <c r="R61" s="37">
        <f>SUMIF('XNDN TB'!$R:$R,'NDN P&amp;L'!$A61,'XNDN TB'!F:F)</f>
        <v/>
      </c>
      <c r="S61" s="37">
        <f>SUMIF('XNDN TB'!$R:$R,'NDN P&amp;L'!$A61,'XNDN TB'!G:G)</f>
        <v/>
      </c>
      <c r="T61" s="37">
        <f>SUMIF('XNDN TB'!$R:$R,'NDN P&amp;L'!$A61,'XNDN TB'!H:H)</f>
        <v/>
      </c>
      <c r="U61" s="37">
        <f>SUMIF('NDN TB'!$R:$R,'NDN P&amp;L'!$A61,'NDN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15</v>
      </c>
      <c r="C62" s="35" t="n">
        <v>30</v>
      </c>
      <c r="D62" s="35" t="n">
        <v>151</v>
      </c>
      <c r="E62" s="35" t="n">
        <v>0</v>
      </c>
      <c r="F62" s="35" t="n">
        <v>105</v>
      </c>
      <c r="G62" s="35" t="n">
        <v>33</v>
      </c>
      <c r="H62" s="35" t="n">
        <v>0</v>
      </c>
      <c r="I62" s="35" t="n">
        <v>0</v>
      </c>
      <c r="J62" s="35" t="n">
        <v>0</v>
      </c>
      <c r="K62" s="35" t="n">
        <v>90</v>
      </c>
      <c r="L62" s="35" t="n">
        <v>131</v>
      </c>
      <c r="M62" s="35" t="n">
        <v>-14.55</v>
      </c>
      <c r="N62" s="36">
        <f>SUM(B62:M62)</f>
        <v/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35</v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SUMIF('XNDN TB'!$R:$R,'NDN P&amp;L'!$A63,'XNDN TB'!C:C)</f>
        <v/>
      </c>
      <c r="P63" s="37">
        <f>SUMIF('XNDN TB'!$R:$R,'NDN P&amp;L'!$A63,'XNDN TB'!D:D)</f>
        <v/>
      </c>
      <c r="Q63" s="37">
        <f>SUMIF('XNDN TB'!$R:$R,'NDN P&amp;L'!$A63,'XNDN TB'!E:E)</f>
        <v/>
      </c>
      <c r="R63" s="37">
        <f>SUMIF('XNDN TB'!$R:$R,'NDN P&amp;L'!$A63,'XNDN TB'!F:F)</f>
        <v/>
      </c>
      <c r="S63" s="37">
        <f>SUMIF('XNDN TB'!$R:$R,'NDN P&amp;L'!$A63,'XNDN TB'!G:G)</f>
        <v/>
      </c>
      <c r="T63" s="37">
        <f>SUMIF('XNDN TB'!$R:$R,'NDN P&amp;L'!$A63,'XNDN TB'!H:H)</f>
        <v/>
      </c>
      <c r="U63" s="37">
        <f>SUMIF('NDN TB'!$R:$R,'NDN P&amp;L'!$A63,'NDN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SUMIF('XNDN TB'!$R:$R,'NDN P&amp;L'!$A64,'XNDN TB'!C:C)</f>
        <v/>
      </c>
      <c r="P64" s="37">
        <f>SUMIF('XNDN TB'!$R:$R,'NDN P&amp;L'!$A64,'XNDN TB'!D:D)</f>
        <v/>
      </c>
      <c r="Q64" s="37">
        <f>SUMIF('XNDN TB'!$R:$R,'NDN P&amp;L'!$A64,'XNDN TB'!E:E)</f>
        <v/>
      </c>
      <c r="R64" s="37">
        <f>SUMIF('XNDN TB'!$R:$R,'NDN P&amp;L'!$A64,'XNDN TB'!F:F)</f>
        <v/>
      </c>
      <c r="S64" s="37">
        <f>SUMIF('XNDN TB'!$R:$R,'NDN P&amp;L'!$A64,'XNDN TB'!G:G)</f>
        <v/>
      </c>
      <c r="T64" s="37">
        <f>SUMIF('XNDN TB'!$R:$R,'NDN P&amp;L'!$A64,'XNDN TB'!H:H)</f>
        <v/>
      </c>
      <c r="U64" s="37">
        <f>SUMIF('NDN TB'!$R:$R,'NDN P&amp;L'!$A64,'NDN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SUMIF('XNDN TB'!$R:$R,'NDN P&amp;L'!$A65,'XNDN TB'!C:C)</f>
        <v/>
      </c>
      <c r="P65" s="37">
        <f>SUMIF('XNDN TB'!$R:$R,'NDN P&amp;L'!$A65,'XNDN TB'!D:D)</f>
        <v/>
      </c>
      <c r="Q65" s="37">
        <f>SUMIF('XNDN TB'!$R:$R,'NDN P&amp;L'!$A65,'XNDN TB'!E:E)</f>
        <v/>
      </c>
      <c r="R65" s="37">
        <f>SUMIF('XNDN TB'!$R:$R,'NDN P&amp;L'!$A65,'XNDN TB'!F:F)</f>
        <v/>
      </c>
      <c r="S65" s="37">
        <f>SUMIF('XNDN TB'!$R:$R,'NDN P&amp;L'!$A65,'XNDN TB'!G:G)</f>
        <v/>
      </c>
      <c r="T65" s="37">
        <f>SUMIF('XNDN TB'!$R:$R,'NDN P&amp;L'!$A65,'XNDN TB'!H:H)</f>
        <v/>
      </c>
      <c r="U65" s="37">
        <f>SUMIF('NDN TB'!$R:$R,'NDN P&amp;L'!$A65,'NDN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SUMIF('XNDN TB'!$R:$R,'NDN P&amp;L'!$A66,'XNDN TB'!C:C)</f>
        <v/>
      </c>
      <c r="P66" s="37">
        <f>SUMIF('XNDN TB'!$R:$R,'NDN P&amp;L'!$A66,'XNDN TB'!D:D)</f>
        <v/>
      </c>
      <c r="Q66" s="37">
        <f>SUMIF('XNDN TB'!$R:$R,'NDN P&amp;L'!$A66,'XNDN TB'!E:E)</f>
        <v/>
      </c>
      <c r="R66" s="37">
        <f>SUMIF('XNDN TB'!$R:$R,'NDN P&amp;L'!$A66,'XNDN TB'!F:F)</f>
        <v/>
      </c>
      <c r="S66" s="37">
        <f>SUMIF('XNDN TB'!$R:$R,'NDN P&amp;L'!$A66,'XNDN TB'!G:G)</f>
        <v/>
      </c>
      <c r="T66" s="37">
        <f>SUMIF('XNDN TB'!$R:$R,'NDN P&amp;L'!$A66,'XNDN TB'!H:H)</f>
        <v/>
      </c>
      <c r="U66" s="37">
        <f>SUMIF('NDN TB'!$R:$R,'NDN P&amp;L'!$A66,'NDN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SUMIF('XNDN TB'!$R:$R,'NDN P&amp;L'!$A67,'XNDN TB'!C:C)</f>
        <v/>
      </c>
      <c r="P67" s="37">
        <f>SUMIF('XNDN TB'!$R:$R,'NDN P&amp;L'!$A67,'XNDN TB'!D:D)</f>
        <v/>
      </c>
      <c r="Q67" s="37">
        <f>SUMIF('XNDN TB'!$R:$R,'NDN P&amp;L'!$A67,'XNDN TB'!E:E)</f>
        <v/>
      </c>
      <c r="R67" s="37">
        <f>SUMIF('XNDN TB'!$R:$R,'NDN P&amp;L'!$A67,'XNDN TB'!F:F)</f>
        <v/>
      </c>
      <c r="S67" s="37">
        <f>SUMIF('XNDN TB'!$R:$R,'NDN P&amp;L'!$A67,'XNDN TB'!G:G)</f>
        <v/>
      </c>
      <c r="T67" s="37">
        <f>SUMIF('XNDN TB'!$R:$R,'NDN P&amp;L'!$A67,'XNDN TB'!H:H)</f>
        <v/>
      </c>
      <c r="U67" s="37">
        <f>SUMIF('NDN TB'!$R:$R,'NDN P&amp;L'!$A67,'NDN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SUMIF('XNDN TB'!$R:$R,'NDN P&amp;L'!$A68,'XNDN TB'!C:C)</f>
        <v/>
      </c>
      <c r="P68" s="37">
        <f>SUMIF('XNDN TB'!$R:$R,'NDN P&amp;L'!$A68,'XNDN TB'!D:D)</f>
        <v/>
      </c>
      <c r="Q68" s="37">
        <f>SUMIF('XNDN TB'!$R:$R,'NDN P&amp;L'!$A68,'XNDN TB'!E:E)</f>
        <v/>
      </c>
      <c r="R68" s="37">
        <f>SUMIF('XNDN TB'!$R:$R,'NDN P&amp;L'!$A68,'XNDN TB'!F:F)</f>
        <v/>
      </c>
      <c r="S68" s="37">
        <f>SUMIF('XNDN TB'!$R:$R,'NDN P&amp;L'!$A68,'XNDN TB'!G:G)</f>
        <v/>
      </c>
      <c r="T68" s="37">
        <f>SUMIF('XNDN TB'!$R:$R,'NDN P&amp;L'!$A68,'XNDN TB'!H:H)</f>
        <v/>
      </c>
      <c r="U68" s="37">
        <f>SUMIF('NDN TB'!$R:$R,'NDN P&amp;L'!$A68,'NDN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572.0300000000001</v>
      </c>
      <c r="C69" s="42" t="n">
        <v>271.49</v>
      </c>
      <c r="D69" s="42" t="n">
        <v>502.96</v>
      </c>
      <c r="E69" s="42" t="n">
        <v>204.98</v>
      </c>
      <c r="F69" s="42" t="n">
        <v>312.77</v>
      </c>
      <c r="G69" s="42" t="n">
        <v>363.86</v>
      </c>
      <c r="H69" s="42" t="n">
        <v>204.38</v>
      </c>
      <c r="I69" s="42" t="n">
        <v>204.38</v>
      </c>
      <c r="J69" s="42" t="n">
        <v>204.37</v>
      </c>
      <c r="K69" s="42" t="n">
        <v>407.68</v>
      </c>
      <c r="L69" s="42" t="n">
        <v>594.5700000000001</v>
      </c>
      <c r="M69" s="42" t="n">
        <v>557.22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-6239.660000000004</v>
      </c>
      <c r="C70" s="55" t="n">
        <v>1354.119999999997</v>
      </c>
      <c r="D70" s="55" t="n">
        <v>7263.790000000007</v>
      </c>
      <c r="E70" s="55" t="n">
        <v>-162.9700000000016</v>
      </c>
      <c r="F70" s="55" t="n">
        <v>-5365.91</v>
      </c>
      <c r="G70" s="55" t="n">
        <v>5298.070000000001</v>
      </c>
      <c r="H70" s="55" t="n">
        <v>13277.88000000001</v>
      </c>
      <c r="I70" s="55" t="n">
        <v>1871.370000000004</v>
      </c>
      <c r="J70" s="55" t="n">
        <v>5240.259999999997</v>
      </c>
      <c r="K70" s="55" t="n">
        <v>1153.089999999997</v>
      </c>
      <c r="L70" s="55" t="n">
        <v>2170.480000000003</v>
      </c>
      <c r="M70" s="55" t="n">
        <v>5416.609999999998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-6239.660000000004</v>
      </c>
      <c r="C79" s="57" t="n">
        <v>1354.119999999997</v>
      </c>
      <c r="D79" s="57" t="n">
        <v>7263.790000000007</v>
      </c>
      <c r="E79" s="57" t="n">
        <v>-162.9700000000016</v>
      </c>
      <c r="F79" s="57" t="n">
        <v>-5365.91</v>
      </c>
      <c r="G79" s="57" t="n">
        <v>5298.070000000001</v>
      </c>
      <c r="H79" s="57" t="n">
        <v>13277.88000000001</v>
      </c>
      <c r="I79" s="57" t="n">
        <v>1871.370000000004</v>
      </c>
      <c r="J79" s="57" t="n">
        <v>5240.259999999997</v>
      </c>
      <c r="K79" s="57" t="n">
        <v>1153.089999999997</v>
      </c>
      <c r="L79" s="57" t="n">
        <v>2170.480000000003</v>
      </c>
      <c r="M79" s="57" t="n">
        <v>5416.609999999998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6" t="n"/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17415.02</v>
      </c>
      <c r="C87" s="60" t="n">
        <v>23939.37</v>
      </c>
      <c r="D87" s="60" t="n">
        <v>36402.73</v>
      </c>
      <c r="E87" s="60" t="n">
        <v>29276.42</v>
      </c>
      <c r="F87" s="60" t="n">
        <v>24571.67</v>
      </c>
      <c r="G87" s="60" t="n">
        <v>31824.77</v>
      </c>
      <c r="H87" s="60" t="n">
        <v>39557.44</v>
      </c>
      <c r="I87" s="60" t="n">
        <v>23909.89</v>
      </c>
      <c r="J87" s="60" t="n">
        <v>23230.93</v>
      </c>
      <c r="K87" s="60" t="n">
        <v>22803.53</v>
      </c>
      <c r="L87" s="60" t="n">
        <v>22888.96</v>
      </c>
      <c r="M87" s="8" t="n"/>
      <c r="N87" s="8" t="n"/>
      <c r="O87" s="60">
        <f>-SUMIF('XNDN TB'!$T:$T,'NDN P&amp;L'!$A87,'XNDN TB'!C:C)</f>
        <v/>
      </c>
      <c r="P87" s="60">
        <f>-SUMIF('XNDN TB'!$T:$T,'NDN P&amp;L'!$A87,'XNDN TB'!D:D)</f>
        <v/>
      </c>
      <c r="Q87" s="60">
        <f>-SUMIF('XNDN TB'!$T:$T,'NDN P&amp;L'!$A87,'XNDN TB'!E:E)</f>
        <v/>
      </c>
      <c r="R87" s="60">
        <f>-SUMIF('XNDN TB'!$T:$T,'NDN P&amp;L'!$A87,'XNDN TB'!F:F)</f>
        <v/>
      </c>
      <c r="S87" s="60">
        <f>-SUMIF('XNDN TB'!$T:$T,'NDN P&amp;L'!$A87,'XNDN TB'!G:G)</f>
        <v/>
      </c>
      <c r="T87" s="60">
        <f>-SUMIF('XNDN TB'!$T:$T,'NDN P&amp;L'!$A87,'XNDN TB'!H:H)</f>
        <v/>
      </c>
      <c r="U87" s="60">
        <f>-SUMIF('XNDN TB'!$T:$T,'NDN P&amp;L'!$A87,'XNDN TB'!I:I)</f>
        <v/>
      </c>
      <c r="V87" s="60">
        <f>-SUMIF('XNDN TB'!$T:$T,'NDN P&amp;L'!$A87,'XNDN TB'!J:J)</f>
        <v/>
      </c>
      <c r="W87" s="60">
        <f>-SUMIF('XNDN TB'!$T:$T,'NDN P&amp;L'!$A87,'XNDN TB'!K:K)</f>
        <v/>
      </c>
      <c r="X87" s="60">
        <f>-SUMIF('XNDN TB'!$T:$T,'NDN P&amp;L'!$A87,'XNDN TB'!L:L)</f>
        <v/>
      </c>
      <c r="Y87" s="60">
        <f>-SUMIF('XNDN TB'!$T:$T,'NDN P&amp;L'!$A87,'XNDN TB'!M:M)</f>
        <v/>
      </c>
      <c r="Z87" s="60">
        <f>-SUMIF('XNDN TB'!$T:$T,'NDN P&amp;L'!$A87,'XNDN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34" t="inlineStr">
        <is>
          <t>Direct - Staff Cost</t>
        </is>
      </c>
      <c r="B88" s="18" t="n">
        <v>-16806.38</v>
      </c>
      <c r="C88" s="18" t="n">
        <v>-19028.5</v>
      </c>
      <c r="D88" s="18" t="n">
        <v>-22455.43</v>
      </c>
      <c r="E88" s="18" t="n">
        <v>-22614.85</v>
      </c>
      <c r="F88" s="18" t="n">
        <v>-23269.11</v>
      </c>
      <c r="G88" s="18" t="n">
        <v>-21136.27</v>
      </c>
      <c r="H88" s="18" t="n">
        <v>-21568.2</v>
      </c>
      <c r="I88" s="18" t="n">
        <v>-17685.68</v>
      </c>
      <c r="J88" s="18" t="n">
        <v>-16284.58</v>
      </c>
      <c r="K88" s="18" t="n">
        <v>-15630.98</v>
      </c>
      <c r="L88" s="18" t="n">
        <v>-14340.8</v>
      </c>
      <c r="M88" s="18" t="n"/>
      <c r="N88" s="8" t="n"/>
      <c r="O88" s="60">
        <f>-SUMIF('XNDN TB'!$T:$T,'NDN P&amp;L'!$A88,'XNDN TB'!C:C)</f>
        <v/>
      </c>
      <c r="P88" s="60">
        <f>-SUMIF('XNDN TB'!$T:$T,'NDN P&amp;L'!$A88,'XNDN TB'!D:D)</f>
        <v/>
      </c>
      <c r="Q88" s="60">
        <f>-SUMIF('XNDN TB'!$T:$T,'NDN P&amp;L'!$A88,'XNDN TB'!E:E)</f>
        <v/>
      </c>
      <c r="R88" s="60">
        <f>-SUMIF('XNDN TB'!$T:$T,'NDN P&amp;L'!$A88,'XNDN TB'!F:F)</f>
        <v/>
      </c>
      <c r="S88" s="60">
        <f>-SUMIF('XNDN TB'!$T:$T,'NDN P&amp;L'!$A88,'XNDN TB'!G:G)</f>
        <v/>
      </c>
      <c r="T88" s="60">
        <f>-SUMIF('XNDN TB'!$T:$T,'NDN P&amp;L'!$A88,'XNDN TB'!H:H)</f>
        <v/>
      </c>
      <c r="U88" s="60">
        <f>-SUMIF('XNDN TB'!$T:$T,'NDN P&amp;L'!$A88,'XNDN TB'!I:I)</f>
        <v/>
      </c>
      <c r="V88" s="60">
        <f>-SUMIF('XNDN TB'!$T:$T,'NDN P&amp;L'!$A88,'XNDN TB'!J:J)</f>
        <v/>
      </c>
      <c r="W88" s="60">
        <f>-SUMIF('XNDN TB'!$T:$T,'NDN P&amp;L'!$A88,'XNDN TB'!K:K)</f>
        <v/>
      </c>
      <c r="X88" s="60">
        <f>-SUMIF('XNDN TB'!$T:$T,'NDN P&amp;L'!$A88,'XNDN TB'!L:L)</f>
        <v/>
      </c>
      <c r="Y88" s="60">
        <f>-SUMIF('XNDN TB'!$T:$T,'NDN P&amp;L'!$A88,'XNDN TB'!M:M)</f>
        <v/>
      </c>
      <c r="Z88" s="60">
        <f>-SUMIF('XNDN TB'!$T:$T,'NDN P&amp;L'!$A88,'XNDN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60" t="inlineStr">
        <is>
          <t>Direct - Childcare Cost</t>
        </is>
      </c>
      <c r="B89" s="18" t="n">
        <v>-1157.88</v>
      </c>
      <c r="C89" s="18" t="n">
        <v>-1705.44</v>
      </c>
      <c r="D89" s="18" t="n">
        <v>-1443.94</v>
      </c>
      <c r="E89" s="18" t="n">
        <v>-1602.7</v>
      </c>
      <c r="F89" s="18" t="n">
        <v>-2077.56</v>
      </c>
      <c r="G89" s="18" t="n">
        <v>-1389.78</v>
      </c>
      <c r="H89" s="18" t="n">
        <v>-1566.95</v>
      </c>
      <c r="I89" s="18" t="n">
        <v>-1999.11</v>
      </c>
      <c r="J89" s="18" t="n">
        <v>-1353.79</v>
      </c>
      <c r="K89" s="18" t="n">
        <v>-1183.88</v>
      </c>
      <c r="L89" s="18" t="n">
        <v>-1399.02</v>
      </c>
      <c r="M89" s="18" t="n">
        <v>-1291.81</v>
      </c>
      <c r="N89" s="8" t="n"/>
      <c r="O89" s="60">
        <f>-SUMIF('XNDN TB'!$T:$T,'NDN P&amp;L'!$A89,'XNDN TB'!C:C)</f>
        <v/>
      </c>
      <c r="P89" s="60">
        <f>-SUMIF('XNDN TB'!$T:$T,'NDN P&amp;L'!$A89,'XNDN TB'!D:D)</f>
        <v/>
      </c>
      <c r="Q89" s="60">
        <f>-SUMIF('XNDN TB'!$T:$T,'NDN P&amp;L'!$A89,'XNDN TB'!E:E)</f>
        <v/>
      </c>
      <c r="R89" s="60">
        <f>-SUMIF('XNDN TB'!$T:$T,'NDN P&amp;L'!$A89,'XNDN TB'!F:F)</f>
        <v/>
      </c>
      <c r="S89" s="60">
        <f>-SUMIF('XNDN TB'!$T:$T,'NDN P&amp;L'!$A89,'XNDN TB'!G:G)</f>
        <v/>
      </c>
      <c r="T89" s="60">
        <f>-SUMIF('XNDN TB'!$T:$T,'NDN P&amp;L'!$A89,'XNDN TB'!H:H)</f>
        <v/>
      </c>
      <c r="U89" s="60">
        <f>-SUMIF('XNDN TB'!$T:$T,'NDN P&amp;L'!$A89,'XNDN TB'!I:I)</f>
        <v/>
      </c>
      <c r="V89" s="60">
        <f>-SUMIF('XNDN TB'!$T:$T,'NDN P&amp;L'!$A89,'XNDN TB'!J:J)</f>
        <v/>
      </c>
      <c r="W89" s="60">
        <f>-SUMIF('XNDN TB'!$T:$T,'NDN P&amp;L'!$A89,'XNDN TB'!K:K)</f>
        <v/>
      </c>
      <c r="X89" s="60">
        <f>-SUMIF('XNDN TB'!$T:$T,'NDN P&amp;L'!$A89,'XNDN TB'!L:L)</f>
        <v/>
      </c>
      <c r="Y89" s="60">
        <f>-SUMIF('XNDN TB'!$T:$T,'NDN P&amp;L'!$A89,'XNDN TB'!M:M)</f>
        <v/>
      </c>
      <c r="Z89" s="60">
        <f>-SUMIF('XNDN TB'!$T:$T,'NDN P&amp;L'!$A89,'XNDN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60" t="inlineStr">
        <is>
          <t>Direct - Premises &amp; Admin</t>
        </is>
      </c>
      <c r="B90" s="18" t="n">
        <v>-5118.39</v>
      </c>
      <c r="C90" s="18" t="n">
        <v>-1579.820000000002</v>
      </c>
      <c r="D90" s="18" t="n">
        <v>-4736.610000000001</v>
      </c>
      <c r="E90" s="18" t="n">
        <v>-5016.860000000001</v>
      </c>
      <c r="F90" s="18" t="n">
        <v>-4278.14</v>
      </c>
      <c r="G90" s="18" t="n">
        <v>-3636.79</v>
      </c>
      <c r="H90" s="18" t="n">
        <v>-2940.029999999999</v>
      </c>
      <c r="I90" s="18" t="n">
        <v>-2149.349999999999</v>
      </c>
      <c r="J90" s="18" t="n">
        <v>-147.9299999999999</v>
      </c>
      <c r="K90" s="18" t="n">
        <v>-4427.900000000001</v>
      </c>
      <c r="L90" s="18" t="n">
        <v>-4384.09</v>
      </c>
      <c r="M90" s="18" t="n">
        <v>-3489.5</v>
      </c>
      <c r="N90" s="8" t="n"/>
      <c r="O90" s="60">
        <f>-SUMIF('XNDN TB'!$T:$T,'NDN P&amp;L'!$A90,'XNDN TB'!C:C)</f>
        <v/>
      </c>
      <c r="P90" s="60">
        <f>-SUMIF('XNDN TB'!$T:$T,'NDN P&amp;L'!$A90,'XNDN TB'!D:D)</f>
        <v/>
      </c>
      <c r="Q90" s="60">
        <f>-SUMIF('XNDN TB'!$T:$T,'NDN P&amp;L'!$A90,'XNDN TB'!E:E)</f>
        <v/>
      </c>
      <c r="R90" s="60">
        <f>-SUMIF('XNDN TB'!$T:$T,'NDN P&amp;L'!$A90,'XNDN TB'!F:F)</f>
        <v/>
      </c>
      <c r="S90" s="60">
        <f>-SUMIF('XNDN TB'!$T:$T,'NDN P&amp;L'!$A90,'XNDN TB'!G:G)</f>
        <v/>
      </c>
      <c r="T90" s="60">
        <f>-SUMIF('XNDN TB'!$T:$T,'NDN P&amp;L'!$A90,'XNDN TB'!H:H)</f>
        <v/>
      </c>
      <c r="U90" s="60">
        <f>-SUMIF('XNDN TB'!$T:$T,'NDN P&amp;L'!$A90,'XNDN TB'!I:I)</f>
        <v/>
      </c>
      <c r="V90" s="60">
        <f>-SUMIF('XNDN TB'!$T:$T,'NDN P&amp;L'!$A90,'XNDN TB'!J:J)</f>
        <v/>
      </c>
      <c r="W90" s="60">
        <f>-SUMIF('XNDN TB'!$T:$T,'NDN P&amp;L'!$A90,'XNDN TB'!K:K)</f>
        <v/>
      </c>
      <c r="X90" s="60">
        <f>-SUMIF('XNDN TB'!$T:$T,'NDN P&amp;L'!$A90,'XNDN TB'!L:L)</f>
        <v/>
      </c>
      <c r="Y90" s="60">
        <f>-SUMIF('XNDN TB'!$T:$T,'NDN P&amp;L'!$A90,'XNDN TB'!M:M)</f>
        <v/>
      </c>
      <c r="Z90" s="60">
        <f>-SUMIF('XNDN TB'!$T:$T,'NDN P&amp;L'!$A90,'XNDN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-SUMIF('XNDN TB'!$T:$T,'NDN P&amp;L'!$A91,'XNDN TB'!C:C)</f>
        <v/>
      </c>
      <c r="P91" s="60">
        <f>-SUMIF('XNDN TB'!$T:$T,'NDN P&amp;L'!$A91,'XNDN TB'!D:D)</f>
        <v/>
      </c>
      <c r="Q91" s="60">
        <f>-SUMIF('XNDN TB'!$T:$T,'NDN P&amp;L'!$A91,'XNDN TB'!E:E)</f>
        <v/>
      </c>
      <c r="R91" s="60">
        <f>-SUMIF('XNDN TB'!$T:$T,'NDN P&amp;L'!$A91,'XNDN TB'!F:F)</f>
        <v/>
      </c>
      <c r="S91" s="60">
        <f>-SUMIF('XNDN TB'!$T:$T,'NDN P&amp;L'!$A91,'XNDN TB'!G:G)</f>
        <v/>
      </c>
      <c r="T91" s="60">
        <f>-SUMIF('XNDN TB'!$T:$T,'NDN P&amp;L'!$A91,'XNDN TB'!H:H)</f>
        <v/>
      </c>
      <c r="U91" s="60">
        <f>-SUMIF('XNDN TB'!$T:$T,'NDN P&amp;L'!$A91,'XNDN TB'!I:I)</f>
        <v/>
      </c>
      <c r="V91" s="60">
        <f>-SUMIF('XNDN TB'!$T:$T,'NDN P&amp;L'!$A91,'XNDN TB'!J:J)</f>
        <v/>
      </c>
      <c r="W91" s="60">
        <f>-SUMIF('XNDN TB'!$T:$T,'NDN P&amp;L'!$A91,'XNDN TB'!K:K)</f>
        <v/>
      </c>
      <c r="X91" s="60">
        <f>-SUMIF('XNDN TB'!$T:$T,'NDN P&amp;L'!$A91,'XNDN TB'!L:L)</f>
        <v/>
      </c>
      <c r="Y91" s="60">
        <f>-SUMIF('XNDN TB'!$T:$T,'NDN P&amp;L'!$A91,'XNDN TB'!M:M)</f>
        <v/>
      </c>
      <c r="Z91" s="60">
        <f>-SUMIF('XNDN TB'!$T:$T,'NDN P&amp;L'!$A91,'XNDN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60" t="inlineStr">
        <is>
          <t>In-Direct - Overheads</t>
        </is>
      </c>
      <c r="B92" s="18" t="n">
        <v>-572.0300000000001</v>
      </c>
      <c r="C92" s="18" t="n">
        <v>-271.49</v>
      </c>
      <c r="D92" s="18" t="n">
        <v>-502.96</v>
      </c>
      <c r="E92" s="18" t="n">
        <v>-204.98</v>
      </c>
      <c r="F92" s="18" t="n">
        <v>-312.77</v>
      </c>
      <c r="G92" s="18" t="n">
        <v>-363.86</v>
      </c>
      <c r="H92" s="18" t="n">
        <v>-204.38</v>
      </c>
      <c r="I92" s="18" t="n">
        <v>-204.38</v>
      </c>
      <c r="J92" s="18" t="n">
        <v>-204.37</v>
      </c>
      <c r="K92" s="18" t="n">
        <v>-407.68</v>
      </c>
      <c r="L92" s="18" t="n">
        <v>-594.5700000000001</v>
      </c>
      <c r="M92" s="18" t="n">
        <v>-557.22</v>
      </c>
      <c r="N92" s="8" t="n"/>
      <c r="O92" s="60">
        <f>-SUMIF('XNDN TB'!$T:$T,'NDN P&amp;L'!$A92,'XNDN TB'!C:C)</f>
        <v/>
      </c>
      <c r="P92" s="60">
        <f>-SUMIF('XNDN TB'!$T:$T,'NDN P&amp;L'!$A92,'XNDN TB'!D:D)</f>
        <v/>
      </c>
      <c r="Q92" s="60">
        <f>-SUMIF('XNDN TB'!$T:$T,'NDN P&amp;L'!$A92,'XNDN TB'!E:E)</f>
        <v/>
      </c>
      <c r="R92" s="60">
        <f>-SUMIF('XNDN TB'!$T:$T,'NDN P&amp;L'!$A92,'XNDN TB'!F:F)</f>
        <v/>
      </c>
      <c r="S92" s="60">
        <f>-SUMIF('XNDN TB'!$T:$T,'NDN P&amp;L'!$A92,'XNDN TB'!G:G)</f>
        <v/>
      </c>
      <c r="T92" s="60">
        <f>-SUMIF('XNDN TB'!$T:$T,'NDN P&amp;L'!$A92,'XNDN TB'!H:H)</f>
        <v/>
      </c>
      <c r="U92" s="60">
        <f>-SUMIF('XNDN TB'!$T:$T,'NDN P&amp;L'!$A92,'XNDN TB'!I:I)</f>
        <v/>
      </c>
      <c r="V92" s="60">
        <f>-SUMIF('XNDN TB'!$T:$T,'NDN P&amp;L'!$A92,'XNDN TB'!J:J)</f>
        <v/>
      </c>
      <c r="W92" s="60">
        <f>-SUMIF('XNDN TB'!$T:$T,'NDN P&amp;L'!$A92,'XNDN TB'!K:K)</f>
        <v/>
      </c>
      <c r="X92" s="60">
        <f>-SUMIF('XNDN TB'!$T:$T,'NDN P&amp;L'!$A92,'XNDN TB'!L:L)</f>
        <v/>
      </c>
      <c r="Y92" s="60">
        <f>-SUMIF('XNDN TB'!$T:$T,'NDN P&amp;L'!$A92,'XNDN TB'!M:M)</f>
        <v/>
      </c>
      <c r="Z92" s="60">
        <f>-SUMIF('XNDN TB'!$T:$T,'NDN P&amp;L'!$A92,'XNDN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 ht="15.75" customHeight="1">
      <c r="A93" s="8" t="n"/>
      <c r="B93" s="67" t="n">
        <v>-6239.660000000004</v>
      </c>
      <c r="C93" s="67" t="n">
        <v>1354.119999999997</v>
      </c>
      <c r="D93" s="67" t="n">
        <v>7263.790000000005</v>
      </c>
      <c r="E93" s="67" t="n">
        <v>-162.9700000000007</v>
      </c>
      <c r="F93" s="67" t="n">
        <v>-5365.91</v>
      </c>
      <c r="G93" s="67" t="n">
        <v>5298.07</v>
      </c>
      <c r="H93" s="67" t="n">
        <v>13277.88000000001</v>
      </c>
      <c r="I93" s="67" t="n">
        <v>1871.370000000003</v>
      </c>
      <c r="J93" s="67" t="n">
        <v>5240.259999999998</v>
      </c>
      <c r="K93" s="67" t="n">
        <v>1153.089999999997</v>
      </c>
      <c r="L93" s="67" t="n">
        <v>2170.480000000001</v>
      </c>
      <c r="M93" s="67" t="n">
        <v>-5338.53</v>
      </c>
      <c r="N93" s="64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64" t="n"/>
      <c r="AB93" s="8" t="n"/>
      <c r="AC93" s="64" t="n"/>
      <c r="AD93" s="64" t="n"/>
      <c r="AE93" s="64" t="n"/>
      <c r="AF93" s="64" t="n"/>
      <c r="AG93" s="64" t="n"/>
      <c r="AH93" s="64" t="n"/>
      <c r="AI93" s="8" t="n"/>
      <c r="AJ93" s="64" t="n"/>
      <c r="AK93" s="64" t="n"/>
      <c r="AL93" s="64" t="n"/>
      <c r="AM93" s="64" t="n"/>
      <c r="AN93" s="64" t="n"/>
      <c r="AO93" s="64" t="n"/>
      <c r="AP93" s="64" t="n"/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-9.094947017729282e-13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10755.14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2.131628207280301e-12</v>
      </c>
      <c r="F96" s="18" t="n">
        <v>0</v>
      </c>
      <c r="G96" s="18" t="n">
        <v>0</v>
      </c>
      <c r="H96" s="18" t="n">
        <v>0</v>
      </c>
      <c r="I96" s="18" t="n">
        <v>3.183231456205249e-12</v>
      </c>
      <c r="J96" s="18" t="n">
        <v>0</v>
      </c>
      <c r="K96" s="18" t="n">
        <v>0</v>
      </c>
      <c r="L96" s="18" t="n">
        <v>0</v>
      </c>
      <c r="M96" s="18" t="n">
        <v>-10755.14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>
        <v>6239.660000000004</v>
      </c>
      <c r="C97" s="18" t="n">
        <v>-1354.119999999996</v>
      </c>
      <c r="D97" s="18" t="n">
        <v>-7263.790000000001</v>
      </c>
      <c r="E97" s="18" t="n">
        <v>162.9700000000028</v>
      </c>
      <c r="F97" s="18" t="n">
        <v>5365.910000000003</v>
      </c>
      <c r="G97" s="18" t="n">
        <v>-5298.069999999999</v>
      </c>
      <c r="H97" s="18" t="n">
        <v>-13277.88</v>
      </c>
      <c r="I97" s="18" t="n">
        <v>-1871.369999999999</v>
      </c>
      <c r="J97" s="18" t="n">
        <v>-5240.260000000001</v>
      </c>
      <c r="K97" s="18" t="n">
        <v>-1153.089999999998</v>
      </c>
      <c r="L97" s="18" t="n">
        <v>-2170.480000000001</v>
      </c>
      <c r="M97" s="18" t="n">
        <v>-5416.610000000001</v>
      </c>
      <c r="N97" s="8" t="n"/>
      <c r="O97" s="60">
        <f>SUM('XNDN TB'!C2:C41)</f>
        <v/>
      </c>
      <c r="P97" s="60">
        <f>SUM('XNDN TB'!D2:D41)</f>
        <v/>
      </c>
      <c r="Q97" s="60">
        <f>SUM('XNDN TB'!E2:E41)</f>
        <v/>
      </c>
      <c r="R97" s="60">
        <f>SUM('XNDN TB'!F2:F41)</f>
        <v/>
      </c>
      <c r="S97" s="60">
        <f>SUM('XNDN TB'!G2:G41)</f>
        <v/>
      </c>
      <c r="T97" s="60">
        <f>SUM('XNDN TB'!H2:H41)</f>
        <v/>
      </c>
      <c r="U97" s="60">
        <f>SUM('XNDN TB'!I2:I41)</f>
        <v/>
      </c>
      <c r="V97" s="60">
        <f>SUM('XNDN TB'!J2:J41)</f>
        <v/>
      </c>
      <c r="W97" s="60">
        <f>SUM('XNDN TB'!K2:K41)</f>
        <v/>
      </c>
      <c r="X97" s="60">
        <f>SUM('XNDN TB'!L2:L41)</f>
        <v/>
      </c>
      <c r="Y97" s="60">
        <f>SUM('XNDN TB'!M2:M41)</f>
        <v/>
      </c>
      <c r="Z97" s="60">
        <f>SUM('XNDN TB'!N2:N41)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P9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9.28515625" customWidth="1" min="27" max="27"/>
    <col width="10.85546875" customWidth="1" min="28" max="28"/>
    <col width="13.28515625" customWidth="1" min="29" max="29"/>
    <col width="7.28515625" customWidth="1" min="35" max="35"/>
    <col width="9.42578125" customWidth="1" min="36" max="36"/>
    <col width="10.85546875" customWidth="1" min="38" max="38"/>
    <col width="5.7109375" customWidth="1" min="40" max="40"/>
    <col width="9.42578125" customWidth="1" min="41" max="41"/>
    <col width="9.85546875" customWidth="1" min="42" max="42"/>
    <col width="9.140625" customWidth="1" min="43" max="43"/>
    <col width="9.140625" customWidth="1" min="44" max="44"/>
  </cols>
  <sheetData>
    <row r="1" ht="18.75" customHeight="1">
      <c r="A1" s="1" t="inlineStr">
        <is>
          <t>Saltway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37257.07</v>
      </c>
      <c r="C8" s="35" t="n">
        <v>33298.19</v>
      </c>
      <c r="D8" s="35" t="n">
        <v>43477.73</v>
      </c>
      <c r="E8" s="35" t="n">
        <v>53897.15</v>
      </c>
      <c r="F8" s="35" t="n">
        <v>40493.17</v>
      </c>
      <c r="G8" s="35" t="n">
        <v>40450.55</v>
      </c>
      <c r="H8" s="35" t="n">
        <v>59564.03999999999</v>
      </c>
      <c r="I8" s="35" t="n">
        <v>50501.36</v>
      </c>
      <c r="J8" s="35" t="n">
        <v>44919.97</v>
      </c>
      <c r="K8" s="35" t="n">
        <v>44608.71</v>
      </c>
      <c r="L8" s="35" t="n">
        <v>39750.3</v>
      </c>
      <c r="M8" s="35" t="n">
        <v>59286.95</v>
      </c>
      <c r="N8" s="36">
        <f>SUM(B8:M8)</f>
        <v/>
      </c>
      <c r="O8" s="37" t="n">
        <v>46983.8</v>
      </c>
      <c r="P8" s="37" t="n">
        <v>43534</v>
      </c>
      <c r="Q8" s="37" t="n">
        <v>51104.3</v>
      </c>
      <c r="R8" s="37" t="n">
        <v>61399.7</v>
      </c>
      <c r="S8" s="37" t="n">
        <v>49854.8</v>
      </c>
      <c r="T8" s="37" t="n">
        <v>53894.5</v>
      </c>
      <c r="U8" s="37" t="n">
        <v>69614.89000000001</v>
      </c>
      <c r="V8" s="38" t="n">
        <v>62099</v>
      </c>
      <c r="W8" s="38" t="n">
        <v>44227</v>
      </c>
      <c r="X8" s="38" t="n">
        <v>40783</v>
      </c>
      <c r="Y8" s="38" t="n">
        <v>44536</v>
      </c>
      <c r="Z8" s="38" t="n">
        <v>67750</v>
      </c>
      <c r="AA8" s="36">
        <f>SUM(O8:U8)</f>
        <v/>
      </c>
      <c r="AB8" s="36">
        <f>SUM(O8:Z8)</f>
        <v/>
      </c>
      <c r="AC8" s="38" t="n">
        <v>96606.42999999999</v>
      </c>
      <c r="AD8" s="38" t="n">
        <v>91623.52</v>
      </c>
      <c r="AE8" s="38" t="n">
        <v>110145.66</v>
      </c>
      <c r="AF8" s="38" t="n">
        <v>82870.42</v>
      </c>
      <c r="AG8" s="38" t="n">
        <v>74081.52</v>
      </c>
      <c r="AH8" s="38" t="n">
        <v>83711.62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15786.38</v>
      </c>
      <c r="C9" s="35" t="n">
        <v>31418.47</v>
      </c>
      <c r="D9" s="35" t="n">
        <v>31418.47</v>
      </c>
      <c r="E9" s="35" t="n">
        <v>11706.01</v>
      </c>
      <c r="F9" s="35" t="n">
        <v>11706.01</v>
      </c>
      <c r="G9" s="35" t="n">
        <v>25742.42</v>
      </c>
      <c r="H9" s="35" t="n">
        <v>26902.67</v>
      </c>
      <c r="I9" s="35" t="n">
        <v>0</v>
      </c>
      <c r="J9" s="35" t="n">
        <v>17420.26</v>
      </c>
      <c r="K9" s="35" t="n">
        <v>17420.26</v>
      </c>
      <c r="L9" s="35" t="n">
        <v>37807.82</v>
      </c>
      <c r="M9" s="35" t="n">
        <v>39399.03</v>
      </c>
      <c r="N9" s="36">
        <f>SUM(B9:M9)</f>
        <v/>
      </c>
      <c r="O9" s="37" t="n">
        <v>20404</v>
      </c>
      <c r="P9" s="37" t="n">
        <v>43307</v>
      </c>
      <c r="Q9" s="37" t="n">
        <v>43307</v>
      </c>
      <c r="R9" s="37" t="n">
        <v>36141.9</v>
      </c>
      <c r="S9" s="37" t="n">
        <v>36141.9</v>
      </c>
      <c r="T9" s="37" t="n">
        <v>36341.5</v>
      </c>
      <c r="U9" s="37" t="n">
        <v>36208.44</v>
      </c>
      <c r="V9" s="38" t="n">
        <v>0</v>
      </c>
      <c r="W9" s="38" t="n">
        <v>35410</v>
      </c>
      <c r="X9" s="38" t="n">
        <v>42553</v>
      </c>
      <c r="Y9" s="38" t="n">
        <v>42177</v>
      </c>
      <c r="Z9" s="38" t="n">
        <v>19507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63</v>
      </c>
      <c r="C10" s="35" t="n">
        <v>0</v>
      </c>
      <c r="D10" s="35" t="n">
        <v>45</v>
      </c>
      <c r="E10" s="35" t="n">
        <v>424.2</v>
      </c>
      <c r="F10" s="35" t="n">
        <v>0</v>
      </c>
      <c r="G10" s="35" t="n">
        <v>-334.2</v>
      </c>
      <c r="H10" s="35" t="n">
        <v>0</v>
      </c>
      <c r="I10" s="35" t="n">
        <v>3954.91</v>
      </c>
      <c r="J10" s="35" t="n">
        <v>0</v>
      </c>
      <c r="K10" s="35" t="n">
        <v>15</v>
      </c>
      <c r="L10" s="35" t="n">
        <v>0</v>
      </c>
      <c r="M10" s="35" t="n">
        <v>4184.13</v>
      </c>
      <c r="N10" s="36">
        <f>SUM(B10:M10)</f>
        <v/>
      </c>
      <c r="O10" s="37" t="n">
        <v>88.5</v>
      </c>
      <c r="P10" s="37" t="n">
        <v>0</v>
      </c>
      <c r="Q10" s="37" t="n">
        <v>15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53106.45</v>
      </c>
      <c r="C11" s="42" t="n">
        <v>64716.66</v>
      </c>
      <c r="D11" s="42" t="n">
        <v>74941.20000000001</v>
      </c>
      <c r="E11" s="42" t="n">
        <v>66027.36</v>
      </c>
      <c r="F11" s="42" t="n">
        <v>52199.18</v>
      </c>
      <c r="G11" s="42" t="n">
        <v>65858.77</v>
      </c>
      <c r="H11" s="42" t="n">
        <v>86466.70999999999</v>
      </c>
      <c r="I11" s="42" t="n">
        <v>54456.27</v>
      </c>
      <c r="J11" s="42" t="n">
        <v>62340.23</v>
      </c>
      <c r="K11" s="42" t="n">
        <v>62043.97</v>
      </c>
      <c r="L11" s="42" t="n">
        <v>77558.12</v>
      </c>
      <c r="M11" s="42" t="n">
        <v>102870.11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SUM(O11:U11)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SUM(O12:U12)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79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SUM(O13:U13)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>
        <f>SUM(O14:U14)</f>
        <v/>
      </c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SUM(O15:U15)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30393.27</v>
      </c>
      <c r="C16" s="35" t="n">
        <v>35155.93</v>
      </c>
      <c r="D16" s="35" t="n">
        <v>30489.76</v>
      </c>
      <c r="E16" s="35" t="n">
        <v>31240.36</v>
      </c>
      <c r="F16" s="35" t="n">
        <v>32288.24</v>
      </c>
      <c r="G16" s="35" t="n">
        <v>31815.08</v>
      </c>
      <c r="H16" s="35" t="n">
        <v>35596.24</v>
      </c>
      <c r="I16" s="35" t="n">
        <v>35686.29</v>
      </c>
      <c r="J16" s="35" t="n">
        <v>38903.68</v>
      </c>
      <c r="K16" s="35" t="n">
        <v>41384.71</v>
      </c>
      <c r="L16" s="35" t="n">
        <v>36944.71</v>
      </c>
      <c r="M16" s="35" t="n">
        <v>35884.94</v>
      </c>
      <c r="N16" s="36">
        <f>SUM(B16:M16)</f>
        <v/>
      </c>
      <c r="O16" s="37" t="n">
        <v>37848.53</v>
      </c>
      <c r="P16" s="37" t="n">
        <v>36916.12</v>
      </c>
      <c r="Q16" s="37" t="n">
        <v>41103.48</v>
      </c>
      <c r="R16" s="37" t="n">
        <v>44693.53</v>
      </c>
      <c r="S16" s="37" t="n">
        <v>43482.05</v>
      </c>
      <c r="T16" s="37" t="n">
        <v>45096.24</v>
      </c>
      <c r="U16" s="37" t="n">
        <v>47153.07</v>
      </c>
      <c r="V16" s="38" t="n">
        <v>47153.07</v>
      </c>
      <c r="W16" s="38" t="n">
        <v>47153.07</v>
      </c>
      <c r="X16" s="38" t="n">
        <v>47153.07</v>
      </c>
      <c r="Y16" s="38" t="n">
        <v>47153.07</v>
      </c>
      <c r="Z16" s="38" t="n">
        <v>47153.07</v>
      </c>
      <c r="AA16" s="36">
        <f>SUM(O16:U16)</f>
        <v/>
      </c>
      <c r="AB16" s="36">
        <f>SUM(O16:Z16)</f>
        <v/>
      </c>
      <c r="AC16" s="38" t="n">
        <v>47153.07</v>
      </c>
      <c r="AD16" s="38" t="n">
        <v>47153.07</v>
      </c>
      <c r="AE16" s="38" t="n">
        <v>47153.07</v>
      </c>
      <c r="AF16" s="38" t="n">
        <v>47153.07</v>
      </c>
      <c r="AG16" s="38" t="n">
        <v>47153.07</v>
      </c>
      <c r="AH16" s="38" t="n">
        <v>47153.07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2487.86</v>
      </c>
      <c r="C17" s="35" t="n">
        <v>2930.63</v>
      </c>
      <c r="D17" s="35" t="n">
        <v>2468.52</v>
      </c>
      <c r="E17" s="35" t="n">
        <v>3548.23</v>
      </c>
      <c r="F17" s="35" t="n">
        <v>3707.05</v>
      </c>
      <c r="G17" s="35" t="n">
        <v>3481.19</v>
      </c>
      <c r="H17" s="35" t="n">
        <v>3778.98</v>
      </c>
      <c r="I17" s="35" t="n">
        <v>3691.12</v>
      </c>
      <c r="J17" s="35" t="n">
        <v>4117.66</v>
      </c>
      <c r="K17" s="35" t="n">
        <v>4459.07</v>
      </c>
      <c r="L17" s="35" t="n">
        <v>3885.32</v>
      </c>
      <c r="M17" s="35" t="n">
        <v>3732.95</v>
      </c>
      <c r="N17" s="36">
        <f>SUM(B17:M17)</f>
        <v/>
      </c>
      <c r="O17" s="37" t="n">
        <v>4003.51</v>
      </c>
      <c r="P17" s="37" t="n">
        <v>3825.11</v>
      </c>
      <c r="Q17" s="37" t="n">
        <v>4276.89</v>
      </c>
      <c r="R17" s="37" t="n">
        <v>4740.72</v>
      </c>
      <c r="S17" s="37" t="n">
        <v>4313</v>
      </c>
      <c r="T17" s="37" t="n">
        <v>4550.82</v>
      </c>
      <c r="U17" s="37" t="n">
        <v>4813.83</v>
      </c>
      <c r="V17" s="38" t="n">
        <v>4813.83</v>
      </c>
      <c r="W17" s="38" t="n">
        <v>4813.83</v>
      </c>
      <c r="X17" s="38" t="n">
        <v>4813.83</v>
      </c>
      <c r="Y17" s="38" t="n">
        <v>4813.83</v>
      </c>
      <c r="Z17" s="38" t="n">
        <v>4813.83</v>
      </c>
      <c r="AA17" s="36">
        <f>SUM(O17:U17)</f>
        <v/>
      </c>
      <c r="AB17" s="36">
        <f>SUM(O17:Z17)</f>
        <v/>
      </c>
      <c r="AC17" s="38" t="n">
        <v>4813.83</v>
      </c>
      <c r="AD17" s="38" t="n">
        <v>4813.83</v>
      </c>
      <c r="AE17" s="38" t="n">
        <v>4813.83</v>
      </c>
      <c r="AF17" s="38" t="n">
        <v>4813.83</v>
      </c>
      <c r="AG17" s="38" t="n">
        <v>4813.83</v>
      </c>
      <c r="AH17" s="38" t="n">
        <v>4813.83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640.72</v>
      </c>
      <c r="C18" s="35" t="n">
        <v>686.54</v>
      </c>
      <c r="D18" s="35" t="n">
        <v>573.96</v>
      </c>
      <c r="E18" s="35" t="n">
        <v>601.96</v>
      </c>
      <c r="F18" s="35" t="n">
        <v>635.53</v>
      </c>
      <c r="G18" s="35" t="n">
        <v>557.1799999999999</v>
      </c>
      <c r="H18" s="35" t="n">
        <v>710.87</v>
      </c>
      <c r="I18" s="35" t="n">
        <v>676.8</v>
      </c>
      <c r="J18" s="35" t="n">
        <v>643.28</v>
      </c>
      <c r="K18" s="35" t="n">
        <v>675.99</v>
      </c>
      <c r="L18" s="35" t="n">
        <v>679.1799999999999</v>
      </c>
      <c r="M18" s="35" t="n">
        <v>701.47</v>
      </c>
      <c r="N18" s="36">
        <f>SUM(B18:M18)</f>
        <v/>
      </c>
      <c r="O18" s="37" t="n">
        <v>740.2</v>
      </c>
      <c r="P18" s="37" t="n">
        <v>688.26</v>
      </c>
      <c r="Q18" s="37" t="n">
        <v>682.22</v>
      </c>
      <c r="R18" s="37" t="n">
        <v>784.1799999999999</v>
      </c>
      <c r="S18" s="37" t="n">
        <v>758.1</v>
      </c>
      <c r="T18" s="37" t="n">
        <v>767.1</v>
      </c>
      <c r="U18" s="37" t="n">
        <v>843.4</v>
      </c>
      <c r="V18" s="38" t="n">
        <v>843.4</v>
      </c>
      <c r="W18" s="38" t="n">
        <v>843.4</v>
      </c>
      <c r="X18" s="38" t="n">
        <v>843.4</v>
      </c>
      <c r="Y18" s="38" t="n">
        <v>843.4</v>
      </c>
      <c r="Z18" s="38" t="n">
        <v>843.4</v>
      </c>
      <c r="AA18" s="36">
        <f>SUM(O18:U18)</f>
        <v/>
      </c>
      <c r="AB18" s="36">
        <f>SUM(O18:Z18)</f>
        <v/>
      </c>
      <c r="AC18" s="38" t="n">
        <v>843.4</v>
      </c>
      <c r="AD18" s="38" t="n">
        <v>843.4</v>
      </c>
      <c r="AE18" s="38" t="n">
        <v>843.4</v>
      </c>
      <c r="AF18" s="38" t="n">
        <v>843.4</v>
      </c>
      <c r="AG18" s="38" t="n">
        <v>843.4</v>
      </c>
      <c r="AH18" s="38" t="n">
        <v>843.4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231.36</v>
      </c>
      <c r="C19" s="35" t="n">
        <v>161.76</v>
      </c>
      <c r="D19" s="35" t="n">
        <v>0</v>
      </c>
      <c r="E19" s="35" t="n">
        <v>0</v>
      </c>
      <c r="F19" s="35" t="n">
        <v>187.5</v>
      </c>
      <c r="G19" s="35" t="n">
        <v>0</v>
      </c>
      <c r="H19" s="35" t="n">
        <v>0</v>
      </c>
      <c r="I19" s="35" t="n">
        <v>0</v>
      </c>
      <c r="J19" s="35" t="n">
        <v>187.2</v>
      </c>
      <c r="K19" s="35" t="n">
        <v>276.84</v>
      </c>
      <c r="L19" s="35" t="n">
        <v>0</v>
      </c>
      <c r="M19" s="35" t="n">
        <v>0</v>
      </c>
      <c r="N19" s="36">
        <f>SUM(B19:M19)</f>
        <v/>
      </c>
      <c r="O19" s="37" t="n">
        <v>0</v>
      </c>
      <c r="P19" s="37" t="n">
        <v>466.8</v>
      </c>
      <c r="Q19" s="37" t="n">
        <v>12.72</v>
      </c>
      <c r="R19" s="37" t="n">
        <v>0</v>
      </c>
      <c r="S19" s="37" t="n">
        <v>0</v>
      </c>
      <c r="T19" s="37" t="n">
        <v>201.96</v>
      </c>
      <c r="U19" s="37" t="n">
        <v>0</v>
      </c>
      <c r="V19" s="38" t="n">
        <v>49</v>
      </c>
      <c r="W19" s="38" t="n">
        <v>49</v>
      </c>
      <c r="X19" s="38" t="n">
        <v>49</v>
      </c>
      <c r="Y19" s="38" t="n">
        <v>49</v>
      </c>
      <c r="Z19" s="38" t="n">
        <v>49</v>
      </c>
      <c r="AA19" s="36">
        <f>SUM(O19:U19)</f>
        <v/>
      </c>
      <c r="AB19" s="36">
        <f>SUM(O19:Z19)</f>
        <v/>
      </c>
      <c r="AC19" s="38" t="n">
        <v>49</v>
      </c>
      <c r="AD19" s="38" t="n">
        <v>49</v>
      </c>
      <c r="AE19" s="38" t="n">
        <v>49</v>
      </c>
      <c r="AF19" s="38" t="n">
        <v>49</v>
      </c>
      <c r="AG19" s="38" t="n">
        <v>49</v>
      </c>
      <c r="AH19" s="38" t="n">
        <v>49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50</v>
      </c>
      <c r="D20" s="35" t="n">
        <v>50</v>
      </c>
      <c r="E20" s="35" t="n">
        <v>0</v>
      </c>
      <c r="F20" s="35" t="n">
        <v>50</v>
      </c>
      <c r="G20" s="35" t="n">
        <v>0</v>
      </c>
      <c r="H20" s="35" t="n">
        <v>37.2</v>
      </c>
      <c r="I20" s="35" t="n">
        <v>0</v>
      </c>
      <c r="J20" s="35" t="n">
        <v>175</v>
      </c>
      <c r="K20" s="35" t="n">
        <v>35</v>
      </c>
      <c r="L20" s="35" t="n">
        <v>0</v>
      </c>
      <c r="M20" s="35" t="n">
        <v>0</v>
      </c>
      <c r="N20" s="36">
        <f>SUM(B20:M20)</f>
        <v/>
      </c>
      <c r="O20" s="37" t="n">
        <v>35</v>
      </c>
      <c r="P20" s="37" t="n">
        <v>816</v>
      </c>
      <c r="Q20" s="37" t="n">
        <v>336</v>
      </c>
      <c r="R20" s="37" t="n">
        <v>228</v>
      </c>
      <c r="S20" s="37" t="n">
        <v>0</v>
      </c>
      <c r="T20" s="37" t="n">
        <v>0</v>
      </c>
      <c r="U20" s="37" t="n">
        <v>0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0</v>
      </c>
      <c r="C21" s="35" t="n">
        <v>97.42</v>
      </c>
      <c r="D21" s="35" t="n">
        <v>124.67</v>
      </c>
      <c r="E21" s="35" t="n">
        <v>125.05</v>
      </c>
      <c r="F21" s="35" t="n">
        <v>146.5</v>
      </c>
      <c r="G21" s="35" t="n">
        <v>256.75</v>
      </c>
      <c r="H21" s="35" t="n">
        <v>208.36</v>
      </c>
      <c r="I21" s="35" t="n">
        <v>258.4</v>
      </c>
      <c r="J21" s="35" t="n">
        <v>178.56</v>
      </c>
      <c r="K21" s="35" t="n">
        <v>385.43</v>
      </c>
      <c r="L21" s="35" t="n">
        <v>183.22</v>
      </c>
      <c r="M21" s="35" t="n">
        <v>207.28</v>
      </c>
      <c r="N21" s="36">
        <f>SUM(B21:M21)</f>
        <v/>
      </c>
      <c r="O21" s="37" t="n">
        <v>294.86</v>
      </c>
      <c r="P21" s="37" t="n">
        <v>200.98</v>
      </c>
      <c r="Q21" s="37" t="n">
        <v>428.89</v>
      </c>
      <c r="R21" s="37" t="n">
        <v>243.11</v>
      </c>
      <c r="S21" s="37" t="n">
        <v>306.62</v>
      </c>
      <c r="T21" s="37" t="n">
        <v>577.88</v>
      </c>
      <c r="U21" s="37" t="n">
        <v>375.37</v>
      </c>
      <c r="V21" s="38" t="n">
        <v>100</v>
      </c>
      <c r="W21" s="38" t="n">
        <v>100</v>
      </c>
      <c r="X21" s="38" t="n">
        <v>100</v>
      </c>
      <c r="Y21" s="38" t="n">
        <v>100</v>
      </c>
      <c r="Z21" s="38" t="n">
        <v>100</v>
      </c>
      <c r="AA21" s="36">
        <f>SUM(O21:U21)</f>
        <v/>
      </c>
      <c r="AB21" s="36">
        <f>SUM(O21:Z21)</f>
        <v/>
      </c>
      <c r="AC21" s="38" t="n">
        <v>100</v>
      </c>
      <c r="AD21" s="38" t="n">
        <v>100</v>
      </c>
      <c r="AE21" s="38" t="n">
        <v>100</v>
      </c>
      <c r="AF21" s="38" t="n">
        <v>100</v>
      </c>
      <c r="AG21" s="38" t="n">
        <v>100</v>
      </c>
      <c r="AH21" s="38" t="n">
        <v>100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SUMIF('XSALT TB'!$R:$R,'SALT P&amp;L'!$A22,'XSALT TB'!C:C)</f>
        <v/>
      </c>
      <c r="P22" s="37">
        <f>SUMIF('XSALT TB'!$R:$R,'SALT P&amp;L'!$A22,'XSALT TB'!D:D)</f>
        <v/>
      </c>
      <c r="Q22" s="37">
        <f>SUMIF('XSALT TB'!$R:$R,'SALT P&amp;L'!$A22,'XSALT TB'!E:E)</f>
        <v/>
      </c>
      <c r="R22" s="37">
        <f>SUMIF('XSALT TB'!$R:$R,'SALT P&amp;L'!$A22,'XSALT TB'!F:F)</f>
        <v/>
      </c>
      <c r="S22" s="37">
        <f>SUMIF('XSALT TB'!$R:$R,'SALT P&amp;L'!$A22,'XSALT TB'!G:G)</f>
        <v/>
      </c>
      <c r="T22" s="37">
        <f>SUMIF('XSALT TB'!$R:$R,'SALT P&amp;L'!$A22,'XSALT TB'!H:H)</f>
        <v/>
      </c>
      <c r="U22" s="37">
        <f>SUMIF('SALT TB'!$R:$R,'SALT P&amp;L'!$A22,'SALT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81.26000000000001</v>
      </c>
      <c r="N23" s="36">
        <f>SUM(B23:M23)</f>
        <v/>
      </c>
      <c r="O23" s="37" t="n">
        <v>0</v>
      </c>
      <c r="P23" s="37" t="n">
        <v>0</v>
      </c>
      <c r="Q23" s="37" t="n">
        <v>105</v>
      </c>
      <c r="R23" s="37" t="n">
        <v>11.89</v>
      </c>
      <c r="S23" s="37" t="n">
        <v>56.95</v>
      </c>
      <c r="T23" s="37" t="n">
        <v>0</v>
      </c>
      <c r="U23" s="37" t="n">
        <v>10.98</v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SUMIF('XSALT TB'!$R:$R,'SALT P&amp;L'!$A24,'XSALT TB'!C:C)</f>
        <v/>
      </c>
      <c r="P24" s="37">
        <f>SUMIF('XSALT TB'!$R:$R,'SALT P&amp;L'!$A24,'XSALT TB'!D:D)</f>
        <v/>
      </c>
      <c r="Q24" s="37">
        <f>SUMIF('XSALT TB'!$R:$R,'SALT P&amp;L'!$A24,'XSALT TB'!E:E)</f>
        <v/>
      </c>
      <c r="R24" s="37">
        <f>SUMIF('XSALT TB'!$R:$R,'SALT P&amp;L'!$A24,'XSALT TB'!F:F)</f>
        <v/>
      </c>
      <c r="S24" s="37">
        <f>SUMIF('XSALT TB'!$R:$R,'SALT P&amp;L'!$A24,'XSALT TB'!G:G)</f>
        <v/>
      </c>
      <c r="T24" s="37">
        <f>SUMIF('XSALT TB'!$R:$R,'SALT P&amp;L'!$A24,'XSALT TB'!H:H)</f>
        <v/>
      </c>
      <c r="U24" s="37">
        <f>SUMIF('SALT TB'!$R:$R,'SALT P&amp;L'!$A24,'SALT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33753.21</v>
      </c>
      <c r="C25" s="42" t="n">
        <v>39082.28</v>
      </c>
      <c r="D25" s="42" t="n">
        <v>33706.91</v>
      </c>
      <c r="E25" s="42" t="n">
        <v>35515.60000000001</v>
      </c>
      <c r="F25" s="42" t="n">
        <v>37014.82</v>
      </c>
      <c r="G25" s="42" t="n">
        <v>36110.2</v>
      </c>
      <c r="H25" s="42" t="n">
        <v>40331.65</v>
      </c>
      <c r="I25" s="42" t="n">
        <v>40312.61000000001</v>
      </c>
      <c r="J25" s="42" t="n">
        <v>44205.37999999999</v>
      </c>
      <c r="K25" s="42" t="n">
        <v>47217.03999999999</v>
      </c>
      <c r="L25" s="42" t="n">
        <v>41692.43</v>
      </c>
      <c r="M25" s="42" t="n">
        <v>40607.9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SUM(O25:U25)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SUM(O26:U26)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1807.02</v>
      </c>
      <c r="C27" s="35" t="n">
        <v>2282.34</v>
      </c>
      <c r="D27" s="35" t="n">
        <v>1986.5</v>
      </c>
      <c r="E27" s="35" t="n">
        <v>1945.84</v>
      </c>
      <c r="F27" s="35" t="n">
        <v>2108.16</v>
      </c>
      <c r="G27" s="35" t="n">
        <v>2479.29</v>
      </c>
      <c r="H27" s="35" t="n">
        <v>2220.38</v>
      </c>
      <c r="I27" s="35" t="n">
        <v>1961.75</v>
      </c>
      <c r="J27" s="35" t="n">
        <v>2388.31</v>
      </c>
      <c r="K27" s="35" t="n">
        <v>2419.06</v>
      </c>
      <c r="L27" s="35" t="n">
        <v>2408.76</v>
      </c>
      <c r="M27" s="35" t="n">
        <v>1811.12</v>
      </c>
      <c r="N27" s="36">
        <f>SUM(B27:M27)</f>
        <v/>
      </c>
      <c r="O27" s="37" t="n">
        <v>1657.73</v>
      </c>
      <c r="P27" s="37" t="n">
        <v>2323.72</v>
      </c>
      <c r="Q27" s="37" t="n">
        <v>2282.6</v>
      </c>
      <c r="R27" s="37" t="n">
        <v>2212.08</v>
      </c>
      <c r="S27" s="37" t="n">
        <v>1953.08</v>
      </c>
      <c r="T27" s="37" t="n">
        <v>2585.29</v>
      </c>
      <c r="U27" s="37" t="n">
        <v>2105.23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68.40000000000001</v>
      </c>
      <c r="C28" s="35" t="n">
        <v>128.78</v>
      </c>
      <c r="D28" s="35" t="n">
        <v>85.5</v>
      </c>
      <c r="E28" s="35" t="n">
        <v>83.75</v>
      </c>
      <c r="F28" s="35" t="n">
        <v>195.42</v>
      </c>
      <c r="G28" s="35" t="n">
        <v>104.04</v>
      </c>
      <c r="H28" s="35" t="n">
        <v>328.45</v>
      </c>
      <c r="I28" s="35" t="n">
        <v>78.45</v>
      </c>
      <c r="J28" s="35" t="n">
        <v>37.86</v>
      </c>
      <c r="K28" s="35" t="n">
        <v>97.79000000000001</v>
      </c>
      <c r="L28" s="35" t="n">
        <v>65.98999999999999</v>
      </c>
      <c r="M28" s="35" t="n">
        <v>18.31</v>
      </c>
      <c r="N28" s="36">
        <f>SUM(B28:M28)</f>
        <v/>
      </c>
      <c r="O28" s="37" t="n">
        <v>101.07</v>
      </c>
      <c r="P28" s="37" t="n">
        <v>94.3</v>
      </c>
      <c r="Q28" s="37" t="n">
        <v>182.82</v>
      </c>
      <c r="R28" s="37" t="n">
        <v>199.11</v>
      </c>
      <c r="S28" s="37" t="n">
        <v>118.49</v>
      </c>
      <c r="T28" s="37" t="n">
        <v>99.12</v>
      </c>
      <c r="U28" s="37" t="n">
        <v>99.25999999999999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0</v>
      </c>
      <c r="C29" s="35" t="n">
        <v>405.96</v>
      </c>
      <c r="D29" s="35" t="n">
        <v>364.93</v>
      </c>
      <c r="E29" s="35" t="n">
        <v>434.92</v>
      </c>
      <c r="F29" s="35" t="n">
        <v>10.06</v>
      </c>
      <c r="G29" s="35" t="n">
        <v>89.75</v>
      </c>
      <c r="H29" s="35" t="n">
        <v>0</v>
      </c>
      <c r="I29" s="35" t="n">
        <v>209.61</v>
      </c>
      <c r="J29" s="35" t="n">
        <v>372.71</v>
      </c>
      <c r="K29" s="35" t="n">
        <v>227.91</v>
      </c>
      <c r="L29" s="35" t="n">
        <v>156.16</v>
      </c>
      <c r="M29" s="35" t="n">
        <v>208.44</v>
      </c>
      <c r="N29" s="36">
        <f>SUM(B29:M29)</f>
        <v/>
      </c>
      <c r="O29" s="37" t="n">
        <v>147.48</v>
      </c>
      <c r="P29" s="37" t="n">
        <v>45.11</v>
      </c>
      <c r="Q29" s="37" t="n">
        <v>228.48</v>
      </c>
      <c r="R29" s="37" t="n">
        <v>121.89</v>
      </c>
      <c r="S29" s="37" t="n">
        <v>218.45</v>
      </c>
      <c r="T29" s="37" t="n">
        <v>66.66</v>
      </c>
      <c r="U29" s="37" t="n">
        <v>63.70000000000001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0.00312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223.47</v>
      </c>
      <c r="C30" s="35" t="n">
        <v>58.78</v>
      </c>
      <c r="D30" s="35" t="n">
        <v>28</v>
      </c>
      <c r="E30" s="35" t="n">
        <v>9.1</v>
      </c>
      <c r="F30" s="35" t="n">
        <v>63.78</v>
      </c>
      <c r="G30" s="35" t="n">
        <v>4.3</v>
      </c>
      <c r="H30" s="35" t="n">
        <v>23.48</v>
      </c>
      <c r="I30" s="35" t="n">
        <v>45.41</v>
      </c>
      <c r="J30" s="35" t="n">
        <v>108.62</v>
      </c>
      <c r="K30" s="35" t="n">
        <v>20.82</v>
      </c>
      <c r="L30" s="35" t="n">
        <v>27.74</v>
      </c>
      <c r="M30" s="35" t="n">
        <v>0</v>
      </c>
      <c r="N30" s="36">
        <f>SUM(B30:M30)</f>
        <v/>
      </c>
      <c r="O30" s="37" t="n">
        <v>72.15000000000001</v>
      </c>
      <c r="P30" s="37" t="n">
        <v>35.67</v>
      </c>
      <c r="Q30" s="37" t="n">
        <v>121.22</v>
      </c>
      <c r="R30" s="37" t="n">
        <v>135.22</v>
      </c>
      <c r="S30" s="37" t="n">
        <v>98.09</v>
      </c>
      <c r="T30" s="37" t="n">
        <v>69.61</v>
      </c>
      <c r="U30" s="37" t="n">
        <v>109.3</v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33.38</v>
      </c>
      <c r="C31" s="35" t="n">
        <v>150.78</v>
      </c>
      <c r="D31" s="35" t="n">
        <v>0</v>
      </c>
      <c r="E31" s="35" t="n">
        <v>86.95</v>
      </c>
      <c r="F31" s="35" t="n">
        <v>197.12</v>
      </c>
      <c r="G31" s="35" t="n">
        <v>87</v>
      </c>
      <c r="H31" s="35" t="n">
        <v>188.42</v>
      </c>
      <c r="I31" s="35" t="n">
        <v>0</v>
      </c>
      <c r="J31" s="35" t="n">
        <v>117.09</v>
      </c>
      <c r="K31" s="35" t="n">
        <v>236.18</v>
      </c>
      <c r="L31" s="35" t="n">
        <v>112.16</v>
      </c>
      <c r="M31" s="35" t="n">
        <v>0</v>
      </c>
      <c r="N31" s="36">
        <f>SUM(B31:M31)</f>
        <v/>
      </c>
      <c r="O31" s="37" t="n">
        <v>52.34</v>
      </c>
      <c r="P31" s="37" t="n">
        <v>48.88</v>
      </c>
      <c r="Q31" s="37" t="n">
        <v>97.54000000000001</v>
      </c>
      <c r="R31" s="37" t="n">
        <v>124.88</v>
      </c>
      <c r="S31" s="37" t="n">
        <v>161.32</v>
      </c>
      <c r="T31" s="37" t="n">
        <v>25.57</v>
      </c>
      <c r="U31" s="37" t="n">
        <v>174.81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27.09</v>
      </c>
      <c r="C32" s="35" t="n">
        <v>114.5</v>
      </c>
      <c r="D32" s="35" t="n">
        <v>122.26</v>
      </c>
      <c r="E32" s="35" t="n">
        <v>110.6</v>
      </c>
      <c r="F32" s="35" t="n">
        <v>136.03</v>
      </c>
      <c r="G32" s="35" t="n">
        <v>0</v>
      </c>
      <c r="H32" s="35" t="n">
        <v>34.58</v>
      </c>
      <c r="I32" s="35" t="n">
        <v>34.26</v>
      </c>
      <c r="J32" s="35" t="n">
        <v>51.38</v>
      </c>
      <c r="K32" s="35" t="n">
        <v>184.9</v>
      </c>
      <c r="L32" s="35" t="n">
        <v>275.69</v>
      </c>
      <c r="M32" s="35" t="n">
        <v>251.97</v>
      </c>
      <c r="N32" s="36">
        <f>SUM(B32:M32)</f>
        <v/>
      </c>
      <c r="O32" s="37" t="n">
        <v>299.13</v>
      </c>
      <c r="P32" s="37" t="n">
        <v>158.76</v>
      </c>
      <c r="Q32" s="37" t="n">
        <v>414.86</v>
      </c>
      <c r="R32" s="37" t="n">
        <v>501.63</v>
      </c>
      <c r="S32" s="37" t="n">
        <v>649.63</v>
      </c>
      <c r="T32" s="37" t="n">
        <v>384.68</v>
      </c>
      <c r="U32" s="37" t="n">
        <v>435.71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0.005200000000000001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SUMIF('XSALT TB'!$R:$R,'SALT P&amp;L'!$A33,'XSALT TB'!C:C)</f>
        <v/>
      </c>
      <c r="P33" s="37">
        <f>SUMIF('XSALT TB'!$R:$R,'SALT P&amp;L'!$A33,'XSALT TB'!D:D)</f>
        <v/>
      </c>
      <c r="Q33" s="37">
        <f>SUMIF('XSALT TB'!$R:$R,'SALT P&amp;L'!$A33,'XSALT TB'!E:E)</f>
        <v/>
      </c>
      <c r="R33" s="37">
        <f>SUMIF('XSALT TB'!$R:$R,'SALT P&amp;L'!$A33,'XSALT TB'!F:F)</f>
        <v/>
      </c>
      <c r="S33" s="37">
        <f>SUMIF('XSALT TB'!$R:$R,'SALT P&amp;L'!$A33,'XSALT TB'!G:G)</f>
        <v/>
      </c>
      <c r="T33" s="37">
        <f>SUMIF('XSALT TB'!$R:$R,'SALT P&amp;L'!$A33,'XSALT TB'!H:H)</f>
        <v/>
      </c>
      <c r="U33" s="37">
        <f>SUMIF('SALT TB'!$R:$R,'SALT P&amp;L'!$A33,'SALT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2159.36</v>
      </c>
      <c r="C34" s="42" t="n">
        <v>3141.140000000001</v>
      </c>
      <c r="D34" s="42" t="n">
        <v>2587.19</v>
      </c>
      <c r="E34" s="42" t="n">
        <v>2671.159999999999</v>
      </c>
      <c r="F34" s="42" t="n">
        <v>2710.57</v>
      </c>
      <c r="G34" s="42" t="n">
        <v>2764.38</v>
      </c>
      <c r="H34" s="42" t="n">
        <v>2795.31</v>
      </c>
      <c r="I34" s="42" t="n">
        <v>2329.48</v>
      </c>
      <c r="J34" s="42" t="n">
        <v>3075.97</v>
      </c>
      <c r="K34" s="42" t="n">
        <v>3186.66</v>
      </c>
      <c r="L34" s="42" t="n">
        <v>3046.5</v>
      </c>
      <c r="M34" s="42" t="n">
        <v>2289.84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SUM(O34:U34)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SUM(O35:U35)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SUMIF('XSALT TB'!$R:$R,'SALT P&amp;L'!$A36,'XSALT TB'!C:C)</f>
        <v/>
      </c>
      <c r="P36" s="37">
        <f>SUMIF('XSALT TB'!$R:$R,'SALT P&amp;L'!$A36,'XSALT TB'!D:D)</f>
        <v/>
      </c>
      <c r="Q36" s="37">
        <f>SUMIF('XSALT TB'!$R:$R,'SALT P&amp;L'!$A36,'XSALT TB'!E:E)</f>
        <v/>
      </c>
      <c r="R36" s="37">
        <f>SUMIF('XSALT TB'!$R:$R,'SALT P&amp;L'!$A36,'XSALT TB'!F:F)</f>
        <v/>
      </c>
      <c r="S36" s="37">
        <f>SUMIF('XSALT TB'!$R:$R,'SALT P&amp;L'!$A36,'XSALT TB'!G:G)</f>
        <v/>
      </c>
      <c r="T36" s="37">
        <f>SUMIF('XSALT TB'!$R:$R,'SALT P&amp;L'!$A36,'XSALT TB'!H:H)</f>
        <v/>
      </c>
      <c r="U36" s="37" t="n"/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-2157.98</v>
      </c>
      <c r="C37" s="35" t="n">
        <v>721.59</v>
      </c>
      <c r="D37" s="35" t="n">
        <v>721.59</v>
      </c>
      <c r="E37" s="35" t="n">
        <v>4207.28</v>
      </c>
      <c r="F37" s="35" t="n">
        <v>758.9</v>
      </c>
      <c r="G37" s="35" t="n">
        <v>758.9</v>
      </c>
      <c r="H37" s="35" t="n">
        <v>758.9</v>
      </c>
      <c r="I37" s="35" t="n">
        <v>758.9</v>
      </c>
      <c r="J37" s="35" t="n">
        <v>758.9</v>
      </c>
      <c r="K37" s="35" t="n">
        <v>758.9</v>
      </c>
      <c r="L37" s="35" t="n">
        <v>758.9</v>
      </c>
      <c r="M37" s="35" t="n">
        <v>758.9</v>
      </c>
      <c r="N37" s="36">
        <f>SUM(B37:M37)</f>
        <v/>
      </c>
      <c r="O37" s="37" t="n">
        <v>758.89</v>
      </c>
      <c r="P37" s="37" t="n">
        <v>758.88</v>
      </c>
      <c r="Q37" s="37" t="n">
        <v>758.88</v>
      </c>
      <c r="R37" s="37" t="n">
        <v>872.73</v>
      </c>
      <c r="S37" s="37" t="n">
        <v>872.73</v>
      </c>
      <c r="T37" s="37" t="n">
        <v>872.73</v>
      </c>
      <c r="U37" s="37" t="n">
        <v>872.73</v>
      </c>
      <c r="V37" s="38" t="n">
        <v>873</v>
      </c>
      <c r="W37" s="38" t="n">
        <v>873</v>
      </c>
      <c r="X37" s="38" t="n">
        <v>873</v>
      </c>
      <c r="Y37" s="38" t="n">
        <v>873</v>
      </c>
      <c r="Z37" s="38" t="n">
        <v>873</v>
      </c>
      <c r="AA37" s="36">
        <f>SUM(O37:U37)</f>
        <v/>
      </c>
      <c r="AB37" s="36">
        <f>SUM(O37:Z37)</f>
        <v/>
      </c>
      <c r="AC37" s="38" t="n">
        <v>873</v>
      </c>
      <c r="AD37" s="38" t="n">
        <v>873</v>
      </c>
      <c r="AE37" s="38" t="n">
        <v>873</v>
      </c>
      <c r="AF37" s="38" t="n">
        <v>873</v>
      </c>
      <c r="AG37" s="38" t="n">
        <v>873</v>
      </c>
      <c r="AH37" s="38" t="n">
        <v>873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1211.79</v>
      </c>
      <c r="C38" s="35" t="n">
        <v>1770.42</v>
      </c>
      <c r="D38" s="35" t="n">
        <v>1942.85</v>
      </c>
      <c r="E38" s="35" t="n">
        <v>1364.31</v>
      </c>
      <c r="F38" s="35" t="n">
        <v>837.5699999999999</v>
      </c>
      <c r="G38" s="35" t="n">
        <v>573.86</v>
      </c>
      <c r="H38" s="35" t="n">
        <v>402.07</v>
      </c>
      <c r="I38" s="35" t="n">
        <v>0</v>
      </c>
      <c r="J38" s="35" t="n">
        <v>813.2</v>
      </c>
      <c r="K38" s="35" t="n">
        <v>649.55</v>
      </c>
      <c r="L38" s="35" t="n">
        <v>605.8200000000001</v>
      </c>
      <c r="M38" s="35" t="n">
        <v>1258.8</v>
      </c>
      <c r="N38" s="36">
        <f>SUM(B38:M38)</f>
        <v/>
      </c>
      <c r="O38" s="37" t="n">
        <v>1793.18</v>
      </c>
      <c r="P38" s="37" t="n">
        <v>-670.91</v>
      </c>
      <c r="Q38" s="37" t="n">
        <v>3154.63</v>
      </c>
      <c r="R38" s="37" t="n">
        <v>2930.7</v>
      </c>
      <c r="S38" s="37" t="n">
        <v>1012.99</v>
      </c>
      <c r="T38" s="37" t="n">
        <v>0</v>
      </c>
      <c r="U38" s="37" t="n">
        <v>1017.15</v>
      </c>
      <c r="V38" s="38" t="n">
        <v>950</v>
      </c>
      <c r="W38" s="38" t="n">
        <v>950</v>
      </c>
      <c r="X38" s="38" t="n">
        <v>950</v>
      </c>
      <c r="Y38" s="38" t="n">
        <v>950</v>
      </c>
      <c r="Z38" s="38" t="n">
        <v>950</v>
      </c>
      <c r="AA38" s="36">
        <f>SUM(O38:U38)</f>
        <v/>
      </c>
      <c r="AB38" s="36">
        <f>SUM(O38:Z38)</f>
        <v/>
      </c>
      <c r="AC38" s="38" t="n">
        <v>950</v>
      </c>
      <c r="AD38" s="38" t="n">
        <v>950</v>
      </c>
      <c r="AE38" s="38" t="n">
        <v>950</v>
      </c>
      <c r="AF38" s="38" t="n">
        <v>950</v>
      </c>
      <c r="AG38" s="38" t="n">
        <v>950</v>
      </c>
      <c r="AH38" s="38" t="n">
        <v>950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494.65</v>
      </c>
      <c r="C39" s="35" t="n">
        <v>0</v>
      </c>
      <c r="D39" s="35" t="n">
        <v>1927</v>
      </c>
      <c r="E39" s="35" t="n">
        <v>2375.809999999999</v>
      </c>
      <c r="F39" s="35" t="n">
        <v>1374.88</v>
      </c>
      <c r="G39" s="35" t="n">
        <v>70.98</v>
      </c>
      <c r="H39" s="35" t="n">
        <v>536.11</v>
      </c>
      <c r="I39" s="35" t="n">
        <v>185.96</v>
      </c>
      <c r="J39" s="35" t="n">
        <v>0</v>
      </c>
      <c r="K39" s="35" t="n">
        <v>37.19</v>
      </c>
      <c r="L39" s="35" t="n">
        <v>87.64</v>
      </c>
      <c r="M39" s="35" t="n">
        <v>531.6</v>
      </c>
      <c r="N39" s="36">
        <f>SUM(B39:M39)</f>
        <v/>
      </c>
      <c r="O39" s="37" t="n">
        <v>163.83</v>
      </c>
      <c r="P39" s="37" t="n">
        <v>37.95</v>
      </c>
      <c r="Q39" s="37" t="n">
        <v>866.6</v>
      </c>
      <c r="R39" s="37" t="n">
        <v>19.35</v>
      </c>
      <c r="S39" s="37" t="n">
        <v>0</v>
      </c>
      <c r="T39" s="37" t="n">
        <v>0</v>
      </c>
      <c r="U39" s="37" t="n">
        <v>170.72</v>
      </c>
      <c r="V39" s="38" t="n"/>
      <c r="W39" s="38" t="n"/>
      <c r="X39" s="38" t="n">
        <v>2000</v>
      </c>
      <c r="Y39" s="38" t="n">
        <v>2000</v>
      </c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1242.55</v>
      </c>
      <c r="C40" s="35" t="n">
        <v>908.0699999999999</v>
      </c>
      <c r="D40" s="35" t="n">
        <v>1204.23</v>
      </c>
      <c r="E40" s="35" t="n">
        <v>1580.58</v>
      </c>
      <c r="F40" s="35" t="n">
        <v>1102.14</v>
      </c>
      <c r="G40" s="35" t="n">
        <v>1077.97</v>
      </c>
      <c r="H40" s="35" t="n">
        <v>1581.4</v>
      </c>
      <c r="I40" s="35" t="n">
        <v>1021.21</v>
      </c>
      <c r="J40" s="35" t="n">
        <v>1373.97</v>
      </c>
      <c r="K40" s="35" t="n">
        <v>1218.93</v>
      </c>
      <c r="L40" s="35" t="n">
        <v>1057.79</v>
      </c>
      <c r="M40" s="35" t="n">
        <v>930.5599999999999</v>
      </c>
      <c r="N40" s="36">
        <f>SUM(B40:M40)</f>
        <v/>
      </c>
      <c r="O40" s="37" t="n">
        <v>1113.13</v>
      </c>
      <c r="P40" s="37" t="n">
        <v>917</v>
      </c>
      <c r="Q40" s="37" t="n">
        <v>1348.6</v>
      </c>
      <c r="R40" s="37" t="n">
        <v>1131.19</v>
      </c>
      <c r="S40" s="37" t="n">
        <v>942.5700000000001</v>
      </c>
      <c r="T40" s="37" t="n">
        <v>328.6</v>
      </c>
      <c r="U40" s="37" t="n">
        <v>1557.23</v>
      </c>
      <c r="V40" s="38" t="n">
        <v>1232</v>
      </c>
      <c r="W40" s="38" t="n">
        <v>1232</v>
      </c>
      <c r="X40" s="38" t="n">
        <v>1232</v>
      </c>
      <c r="Y40" s="38" t="n">
        <v>1232</v>
      </c>
      <c r="Z40" s="38" t="n">
        <v>1232</v>
      </c>
      <c r="AA40" s="36">
        <f>SUM(O40:U40)</f>
        <v/>
      </c>
      <c r="AB40" s="36">
        <f>SUM(O40:Z40)</f>
        <v/>
      </c>
      <c r="AC40" s="38" t="n">
        <v>1232</v>
      </c>
      <c r="AD40" s="38" t="n">
        <v>1232</v>
      </c>
      <c r="AE40" s="38" t="n">
        <v>1232</v>
      </c>
      <c r="AF40" s="38" t="n">
        <v>1232</v>
      </c>
      <c r="AG40" s="38" t="n">
        <v>1232</v>
      </c>
      <c r="AH40" s="38" t="n">
        <v>1232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329.95</v>
      </c>
      <c r="C41" s="35" t="n">
        <v>622.9300000000001</v>
      </c>
      <c r="D41" s="35" t="n">
        <v>236.94</v>
      </c>
      <c r="E41" s="35" t="n">
        <v>225.05</v>
      </c>
      <c r="F41" s="35" t="n">
        <v>432.79</v>
      </c>
      <c r="G41" s="35" t="n">
        <v>390.78</v>
      </c>
      <c r="H41" s="35" t="n">
        <v>429.19</v>
      </c>
      <c r="I41" s="35" t="n">
        <v>420.09</v>
      </c>
      <c r="J41" s="35" t="n">
        <v>631.8900000000001</v>
      </c>
      <c r="K41" s="35" t="n">
        <v>447.09</v>
      </c>
      <c r="L41" s="35" t="n">
        <v>405.09</v>
      </c>
      <c r="M41" s="35" t="n">
        <v>452.47</v>
      </c>
      <c r="N41" s="36">
        <f>SUM(B41:M41)</f>
        <v/>
      </c>
      <c r="O41" s="37" t="n">
        <v>513.64</v>
      </c>
      <c r="P41" s="37" t="n">
        <v>405.09</v>
      </c>
      <c r="Q41" s="37" t="n">
        <v>416.49</v>
      </c>
      <c r="R41" s="37" t="n">
        <v>660.74</v>
      </c>
      <c r="S41" s="37" t="n">
        <v>437.44</v>
      </c>
      <c r="T41" s="37" t="n">
        <v>194.51</v>
      </c>
      <c r="U41" s="37" t="n">
        <v>632.85</v>
      </c>
      <c r="V41" s="38" t="n">
        <v>413</v>
      </c>
      <c r="W41" s="38" t="n">
        <v>413</v>
      </c>
      <c r="X41" s="38" t="n">
        <v>413</v>
      </c>
      <c r="Y41" s="38" t="n">
        <v>413</v>
      </c>
      <c r="Z41" s="38" t="n">
        <v>413</v>
      </c>
      <c r="AA41" s="36">
        <f>SUM(O41:U41)</f>
        <v/>
      </c>
      <c r="AB41" s="36">
        <f>SUM(O41:Z41)</f>
        <v/>
      </c>
      <c r="AC41" s="38" t="n">
        <v>413</v>
      </c>
      <c r="AD41" s="38" t="n">
        <v>413</v>
      </c>
      <c r="AE41" s="38" t="n">
        <v>413</v>
      </c>
      <c r="AF41" s="38" t="n">
        <v>413</v>
      </c>
      <c r="AG41" s="38" t="n">
        <v>413</v>
      </c>
      <c r="AH41" s="38" t="n">
        <v>413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620.59</v>
      </c>
      <c r="D42" s="35" t="n">
        <v>0</v>
      </c>
      <c r="E42" s="35" t="n">
        <v>0</v>
      </c>
      <c r="F42" s="35" t="n">
        <v>689.9400000000001</v>
      </c>
      <c r="G42" s="35" t="n">
        <v>0</v>
      </c>
      <c r="H42" s="35" t="n">
        <v>20.99</v>
      </c>
      <c r="I42" s="35" t="n">
        <v>597.6</v>
      </c>
      <c r="J42" s="35" t="n">
        <v>41.97</v>
      </c>
      <c r="K42" s="35" t="n">
        <v>1007.99</v>
      </c>
      <c r="L42" s="35" t="n">
        <v>0</v>
      </c>
      <c r="M42" s="35" t="n">
        <v>786</v>
      </c>
      <c r="N42" s="36">
        <f>SUM(B42:M42)</f>
        <v/>
      </c>
      <c r="O42" s="37" t="n">
        <v>152.77</v>
      </c>
      <c r="P42" s="37" t="n">
        <v>823.6799999999999</v>
      </c>
      <c r="Q42" s="37" t="n">
        <v>1020.06</v>
      </c>
      <c r="R42" s="37" t="n">
        <v>157.3</v>
      </c>
      <c r="S42" s="37" t="n">
        <v>157.3</v>
      </c>
      <c r="T42" s="37" t="n">
        <v>943.3</v>
      </c>
      <c r="U42" s="37" t="n">
        <v>149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849.3399999999999</v>
      </c>
      <c r="C43" s="35" t="n">
        <v>136.41</v>
      </c>
      <c r="D43" s="35" t="n">
        <v>136.41</v>
      </c>
      <c r="E43" s="35" t="n">
        <v>140.14</v>
      </c>
      <c r="F43" s="35" t="n">
        <v>140.14</v>
      </c>
      <c r="G43" s="35" t="n">
        <v>140.14</v>
      </c>
      <c r="H43" s="35" t="n">
        <v>140.14</v>
      </c>
      <c r="I43" s="35" t="n">
        <v>152.77</v>
      </c>
      <c r="J43" s="35" t="n">
        <v>152.77</v>
      </c>
      <c r="K43" s="35" t="n">
        <v>152.77</v>
      </c>
      <c r="L43" s="35" t="n">
        <v>152.77</v>
      </c>
      <c r="M43" s="35" t="n">
        <v>152.77</v>
      </c>
      <c r="N43" s="36">
        <f>SUM(B43:M43)</f>
        <v/>
      </c>
      <c r="O43" s="37" t="n">
        <v>19.19</v>
      </c>
      <c r="P43" s="37" t="n">
        <v>0</v>
      </c>
      <c r="Q43" s="37" t="n">
        <v>0</v>
      </c>
      <c r="R43" s="37" t="n">
        <v>103.95</v>
      </c>
      <c r="S43" s="37" t="n">
        <v>0</v>
      </c>
      <c r="T43" s="37" t="n">
        <v>0</v>
      </c>
      <c r="U43" s="37" t="n">
        <v>0</v>
      </c>
      <c r="V43" s="38" t="n">
        <v>153</v>
      </c>
      <c r="W43" s="38" t="n">
        <v>153</v>
      </c>
      <c r="X43" s="38" t="n">
        <v>153</v>
      </c>
      <c r="Y43" s="38" t="n">
        <v>153</v>
      </c>
      <c r="Z43" s="38" t="n">
        <v>153</v>
      </c>
      <c r="AA43" s="36">
        <f>SUM(O43:U43)</f>
        <v/>
      </c>
      <c r="AB43" s="36">
        <f>SUM(O43:Z43)</f>
        <v/>
      </c>
      <c r="AC43" s="38" t="n">
        <v>153</v>
      </c>
      <c r="AD43" s="38" t="n">
        <v>153</v>
      </c>
      <c r="AE43" s="38" t="n">
        <v>153</v>
      </c>
      <c r="AF43" s="38" t="n">
        <v>153</v>
      </c>
      <c r="AG43" s="38" t="n">
        <v>153</v>
      </c>
      <c r="AH43" s="38" t="n">
        <v>153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SUMIF('XSALT TB'!$R:$R,'SALT P&amp;L'!$A44,'XSALT TB'!C:C)</f>
        <v/>
      </c>
      <c r="P44" s="37">
        <f>SUMIF('XSALT TB'!$R:$R,'SALT P&amp;L'!$A44,'XSALT TB'!D:D)</f>
        <v/>
      </c>
      <c r="Q44" s="37">
        <f>SUMIF('XSALT TB'!$R:$R,'SALT P&amp;L'!$A44,'XSALT TB'!E:E)</f>
        <v/>
      </c>
      <c r="R44" s="37">
        <f>SUMIF('XSALT TB'!$R:$R,'SALT P&amp;L'!$A44,'XSALT TB'!F:F)</f>
        <v/>
      </c>
      <c r="S44" s="37">
        <f>SUMIF('XSALT TB'!$R:$R,'SALT P&amp;L'!$A44,'XSALT TB'!G:G)</f>
        <v/>
      </c>
      <c r="T44" s="37">
        <f>SUMIF('XSALT TB'!$R:$R,'SALT P&amp;L'!$A44,'XSALT TB'!H:H)</f>
        <v/>
      </c>
      <c r="U44" s="37">
        <f>SUMIF('SALT TB'!$R:$R,'SALT P&amp;L'!$A44,'SALT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SUMIF('XSALT TB'!$R:$R,'SALT P&amp;L'!$A45,'XSALT TB'!C:C)</f>
        <v/>
      </c>
      <c r="P45" s="37">
        <f>SUMIF('XSALT TB'!$R:$R,'SALT P&amp;L'!$A45,'XSALT TB'!D:D)</f>
        <v/>
      </c>
      <c r="Q45" s="37">
        <f>SUMIF('XSALT TB'!$R:$R,'SALT P&amp;L'!$A45,'XSALT TB'!E:E)</f>
        <v/>
      </c>
      <c r="R45" s="37">
        <f>SUMIF('XSALT TB'!$R:$R,'SALT P&amp;L'!$A45,'XSALT TB'!F:F)</f>
        <v/>
      </c>
      <c r="S45" s="37">
        <f>SUMIF('XSALT TB'!$R:$R,'SALT P&amp;L'!$A45,'XSALT TB'!G:G)</f>
        <v/>
      </c>
      <c r="T45" s="37">
        <f>SUMIF('XSALT TB'!$R:$R,'SALT P&amp;L'!$A45,'XSALT TB'!H:H)</f>
        <v/>
      </c>
      <c r="U45" s="37">
        <f>SUMIF('SALT TB'!$R:$R,'SALT P&amp;L'!$A45,'SALT TB'!I:I)</f>
        <v/>
      </c>
      <c r="V45" s="38" t="n">
        <v>0</v>
      </c>
      <c r="W45" s="38" t="n">
        <v>0</v>
      </c>
      <c r="X45" s="38" t="n">
        <v>0</v>
      </c>
      <c r="Y45" s="38" t="n">
        <v>0</v>
      </c>
      <c r="Z45" s="38" t="n">
        <v>0</v>
      </c>
      <c r="AA45" s="36">
        <f>SUM(O45:U45)</f>
        <v/>
      </c>
      <c r="AB45" s="36">
        <f>SUM(O45:Z45)</f>
        <v/>
      </c>
      <c r="AC45" s="38" t="n">
        <v>0</v>
      </c>
      <c r="AD45" s="38" t="n">
        <v>0</v>
      </c>
      <c r="AE45" s="38" t="n">
        <v>0</v>
      </c>
      <c r="AF45" s="38" t="n">
        <v>0</v>
      </c>
      <c r="AG45" s="38" t="n">
        <v>0</v>
      </c>
      <c r="AH45" s="38" t="n">
        <v>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SUMIF('XSALT TB'!$R:$R,'SALT P&amp;L'!$A46,'XSALT TB'!C:C)</f>
        <v/>
      </c>
      <c r="P46" s="37">
        <f>SUMIF('XSALT TB'!$R:$R,'SALT P&amp;L'!$A46,'XSALT TB'!D:D)</f>
        <v/>
      </c>
      <c r="Q46" s="37">
        <f>SUMIF('XSALT TB'!$R:$R,'SALT P&amp;L'!$A46,'XSALT TB'!E:E)</f>
        <v/>
      </c>
      <c r="R46" s="37">
        <f>SUMIF('XSALT TB'!$R:$R,'SALT P&amp;L'!$A46,'XSALT TB'!F:F)</f>
        <v/>
      </c>
      <c r="S46" s="37">
        <f>SUMIF('XSALT TB'!$R:$R,'SALT P&amp;L'!$A46,'XSALT TB'!G:G)</f>
        <v/>
      </c>
      <c r="T46" s="37">
        <f>SUMIF('XSALT TB'!$R:$R,'SALT P&amp;L'!$A46,'XSALT TB'!H:H)</f>
        <v/>
      </c>
      <c r="U46" s="37">
        <f>SUMIF('SALT TB'!$R:$R,'SALT P&amp;L'!$A46,'SALT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1970.299999999999</v>
      </c>
      <c r="C47" s="42" t="n">
        <v>4780.01</v>
      </c>
      <c r="D47" s="42" t="n">
        <v>6169.02</v>
      </c>
      <c r="E47" s="42" t="n">
        <v>9893.169999999998</v>
      </c>
      <c r="F47" s="42" t="n">
        <v>5336.36</v>
      </c>
      <c r="G47" s="42" t="n">
        <v>3012.63</v>
      </c>
      <c r="H47" s="42" t="n">
        <v>3868.8</v>
      </c>
      <c r="I47" s="42" t="n">
        <v>3136.53</v>
      </c>
      <c r="J47" s="42" t="n">
        <v>3772.7</v>
      </c>
      <c r="K47" s="42" t="n">
        <v>4272.42</v>
      </c>
      <c r="L47" s="42" t="n">
        <v>3068.01</v>
      </c>
      <c r="M47" s="42" t="n">
        <v>4871.1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37882.87</v>
      </c>
      <c r="C48" s="23" t="n">
        <v>47003.43</v>
      </c>
      <c r="D48" s="23" t="n">
        <v>42463.12</v>
      </c>
      <c r="E48" s="23" t="n">
        <v>48079.93</v>
      </c>
      <c r="F48" s="23" t="n">
        <v>45061.75</v>
      </c>
      <c r="G48" s="23" t="n">
        <v>41887.21</v>
      </c>
      <c r="H48" s="23" t="n">
        <v>46995.76</v>
      </c>
      <c r="I48" s="23" t="n">
        <v>45778.62000000001</v>
      </c>
      <c r="J48" s="23" t="n">
        <v>51054.04999999999</v>
      </c>
      <c r="K48" s="23" t="n">
        <v>54676.12</v>
      </c>
      <c r="L48" s="23" t="n">
        <v>47806.94</v>
      </c>
      <c r="M48" s="23" t="n">
        <v>47768.84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>U25+U34+U47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SUM(O48:U48)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SUM(O49:U49)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15223.57999999999</v>
      </c>
      <c r="C50" s="55" t="n">
        <v>17713.23</v>
      </c>
      <c r="D50" s="55" t="n">
        <v>32478.08000000002</v>
      </c>
      <c r="E50" s="55" t="n">
        <v>17947.43</v>
      </c>
      <c r="F50" s="55" t="n">
        <v>7137.43</v>
      </c>
      <c r="G50" s="55" t="n">
        <v>23971.56</v>
      </c>
      <c r="H50" s="55" t="n">
        <v>39470.94999999999</v>
      </c>
      <c r="I50" s="55" t="n">
        <v>8677.649999999994</v>
      </c>
      <c r="J50" s="55" t="n">
        <v>11286.18000000001</v>
      </c>
      <c r="K50" s="55" t="n">
        <v>7367.850000000006</v>
      </c>
      <c r="L50" s="55" t="n">
        <v>29751.17999999999</v>
      </c>
      <c r="M50" s="55" t="n">
        <v>55101.27000000001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SUM(O51:U51)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SUM(O52:U52)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SUMIF('XSALT TB'!$R:$R,'SALT P&amp;L'!$A53,'XSALT TB'!C:C)</f>
        <v/>
      </c>
      <c r="P53" s="37">
        <f>SUMIF('XSALT TB'!$R:$R,'SALT P&amp;L'!$A53,'XSALT TB'!D:D)</f>
        <v/>
      </c>
      <c r="Q53" s="37">
        <f>SUMIF('XSALT TB'!$R:$R,'SALT P&amp;L'!$A53,'XSALT TB'!E:E)</f>
        <v/>
      </c>
      <c r="R53" s="37">
        <f>SUMIF('XSALT TB'!$R:$R,'SALT P&amp;L'!$A53,'XSALT TB'!F:F)</f>
        <v/>
      </c>
      <c r="S53" s="37">
        <f>SUMIF('XSALT TB'!$R:$R,'SALT P&amp;L'!$A53,'XSALT TB'!G:G)</f>
        <v/>
      </c>
      <c r="T53" s="37">
        <f>SUMIF('XSALT TB'!$R:$R,'SALT P&amp;L'!$A53,'XSALT TB'!H:H)</f>
        <v/>
      </c>
      <c r="U53" s="37">
        <f>SUMIF('SALT TB'!$R:$R,'SALT P&amp;L'!$A53,'SALT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SUMIF('XSALT TB'!$R:$R,'SALT P&amp;L'!$A54,'XSALT TB'!C:C)</f>
        <v/>
      </c>
      <c r="P54" s="37">
        <f>SUMIF('XSALT TB'!$R:$R,'SALT P&amp;L'!$A54,'XSALT TB'!D:D)</f>
        <v/>
      </c>
      <c r="Q54" s="37">
        <f>SUMIF('XSALT TB'!$R:$R,'SALT P&amp;L'!$A54,'XSALT TB'!E:E)</f>
        <v/>
      </c>
      <c r="R54" s="37">
        <f>SUMIF('XSALT TB'!$R:$R,'SALT P&amp;L'!$A54,'XSALT TB'!F:F)</f>
        <v/>
      </c>
      <c r="S54" s="37">
        <f>SUMIF('XSALT TB'!$R:$R,'SALT P&amp;L'!$A54,'XSALT TB'!G:G)</f>
        <v/>
      </c>
      <c r="T54" s="37">
        <f>SUMIF('XSALT TB'!$R:$R,'SALT P&amp;L'!$A54,'XSALT TB'!H:H)</f>
        <v/>
      </c>
      <c r="U54" s="37">
        <f>SUMIF('SALT TB'!$R:$R,'SALT P&amp;L'!$A54,'SALT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SUMIF('XSALT TB'!$R:$R,'SALT P&amp;L'!$A55,'XSALT TB'!C:C)</f>
        <v/>
      </c>
      <c r="P55" s="37">
        <f>SUMIF('XSALT TB'!$R:$R,'SALT P&amp;L'!$A55,'XSALT TB'!D:D)</f>
        <v/>
      </c>
      <c r="Q55" s="37">
        <f>SUMIF('XSALT TB'!$R:$R,'SALT P&amp;L'!$A55,'XSALT TB'!E:E)</f>
        <v/>
      </c>
      <c r="R55" s="37">
        <f>SUMIF('XSALT TB'!$R:$R,'SALT P&amp;L'!$A55,'XSALT TB'!F:F)</f>
        <v/>
      </c>
      <c r="S55" s="37">
        <f>SUMIF('XSALT TB'!$R:$R,'SALT P&amp;L'!$A55,'XSALT TB'!G:G)</f>
        <v/>
      </c>
      <c r="T55" s="37">
        <f>SUMIF('XSALT TB'!$R:$R,'SALT P&amp;L'!$A55,'XSALT TB'!H:H)</f>
        <v/>
      </c>
      <c r="U55" s="37">
        <f>SUMIF('SALT TB'!$R:$R,'SALT P&amp;L'!$A55,'SALT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SUMIF('XSALT TB'!$R:$R,'SALT P&amp;L'!$A56,'XSALT TB'!C:C)</f>
        <v/>
      </c>
      <c r="P56" s="37">
        <f>SUMIF('XSALT TB'!$R:$R,'SALT P&amp;L'!$A56,'XSALT TB'!D:D)</f>
        <v/>
      </c>
      <c r="Q56" s="37">
        <f>SUMIF('XSALT TB'!$R:$R,'SALT P&amp;L'!$A56,'XSALT TB'!E:E)</f>
        <v/>
      </c>
      <c r="R56" s="37">
        <f>SUMIF('XSALT TB'!$R:$R,'SALT P&amp;L'!$A56,'XSALT TB'!F:F)</f>
        <v/>
      </c>
      <c r="S56" s="37">
        <f>SUMIF('XSALT TB'!$R:$R,'SALT P&amp;L'!$A56,'XSALT TB'!G:G)</f>
        <v/>
      </c>
      <c r="T56" s="37">
        <f>SUMIF('XSALT TB'!$R:$R,'SALT P&amp;L'!$A56,'XSALT TB'!H:H)</f>
        <v/>
      </c>
      <c r="U56" s="37">
        <f>SUMIF('SALT TB'!$R:$R,'SALT P&amp;L'!$A56,'SALT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190</v>
      </c>
      <c r="L57" s="35" t="n">
        <v>0</v>
      </c>
      <c r="M57" s="35" t="n">
        <v>476.11</v>
      </c>
      <c r="N57" s="36">
        <f>SUM(B57:M57)</f>
        <v/>
      </c>
      <c r="O57" s="37">
        <f>SUMIF('XSALT TB'!$R:$R,'SALT P&amp;L'!$A57,'XSALT TB'!C:C)</f>
        <v/>
      </c>
      <c r="P57" s="37">
        <f>SUMIF('XSALT TB'!$R:$R,'SALT P&amp;L'!$A57,'XSALT TB'!D:D)</f>
        <v/>
      </c>
      <c r="Q57" s="37">
        <f>SUMIF('XSALT TB'!$R:$R,'SALT P&amp;L'!$A57,'XSALT TB'!E:E)</f>
        <v/>
      </c>
      <c r="R57" s="37">
        <f>SUMIF('XSALT TB'!$R:$R,'SALT P&amp;L'!$A57,'XSALT TB'!F:F)</f>
        <v/>
      </c>
      <c r="S57" s="37">
        <f>SUMIF('XSALT TB'!$R:$R,'SALT P&amp;L'!$A57,'XSALT TB'!G:G)</f>
        <v/>
      </c>
      <c r="T57" s="37">
        <f>SUMIF('XSALT TB'!$R:$R,'SALT P&amp;L'!$A57,'XSALT TB'!H:H)</f>
        <v/>
      </c>
      <c r="U57" s="37">
        <f>SUMIF('SALT TB'!$R:$R,'SALT P&amp;L'!$A57,'SALT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SUMIF('XSALT TB'!$R:$R,'SALT P&amp;L'!$A58,'XSALT TB'!C:C)</f>
        <v/>
      </c>
      <c r="P58" s="37">
        <f>SUMIF('XSALT TB'!$R:$R,'SALT P&amp;L'!$A58,'XSALT TB'!D:D)</f>
        <v/>
      </c>
      <c r="Q58" s="37">
        <f>SUMIF('XSALT TB'!$R:$R,'SALT P&amp;L'!$A58,'XSALT TB'!E:E)</f>
        <v/>
      </c>
      <c r="R58" s="37">
        <f>SUMIF('XSALT TB'!$R:$R,'SALT P&amp;L'!$A58,'XSALT TB'!F:F)</f>
        <v/>
      </c>
      <c r="S58" s="37">
        <f>SUMIF('XSALT TB'!$R:$R,'SALT P&amp;L'!$A58,'XSALT TB'!G:G)</f>
        <v/>
      </c>
      <c r="T58" s="37">
        <f>SUMIF('XSALT TB'!$R:$R,'SALT P&amp;L'!$A58,'XSALT TB'!H:H)</f>
        <v/>
      </c>
      <c r="U58" s="37">
        <f>SUMIF('SALT TB'!$R:$R,'SALT P&amp;L'!$A58,'SALT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201.37</v>
      </c>
      <c r="J59" s="35" t="n">
        <v>201.37</v>
      </c>
      <c r="K59" s="35" t="n">
        <v>214.8</v>
      </c>
      <c r="L59" s="35" t="n">
        <v>214.8</v>
      </c>
      <c r="M59" s="35" t="n">
        <v>244.7</v>
      </c>
      <c r="N59" s="36">
        <f>SUM(B59:M59)</f>
        <v/>
      </c>
      <c r="O59" s="37" t="n">
        <v>244.7</v>
      </c>
      <c r="P59" s="37" t="n">
        <v>244.7</v>
      </c>
      <c r="Q59" s="37" t="n">
        <v>244.7</v>
      </c>
      <c r="R59" s="37" t="n">
        <v>244.7</v>
      </c>
      <c r="S59" s="37" t="n">
        <v>244.7</v>
      </c>
      <c r="T59" s="37" t="n">
        <v>244.7</v>
      </c>
      <c r="U59" s="37" t="n">
        <v>244.7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2.4</v>
      </c>
      <c r="C60" s="35" t="n">
        <v>1.8</v>
      </c>
      <c r="D60" s="35" t="n">
        <v>2.4</v>
      </c>
      <c r="E60" s="35" t="n">
        <v>2.4</v>
      </c>
      <c r="F60" s="35" t="n">
        <v>3</v>
      </c>
      <c r="G60" s="35" t="n">
        <v>48</v>
      </c>
      <c r="H60" s="35" t="n">
        <v>3.6</v>
      </c>
      <c r="I60" s="35" t="n">
        <v>3</v>
      </c>
      <c r="J60" s="35" t="n">
        <v>293.66</v>
      </c>
      <c r="K60" s="35" t="n">
        <v>1.8</v>
      </c>
      <c r="L60" s="35" t="n">
        <v>2.4</v>
      </c>
      <c r="M60" s="35" t="n">
        <v>47.40000000000001</v>
      </c>
      <c r="N60" s="36">
        <f>SUM(B60:M60)</f>
        <v/>
      </c>
      <c r="O60" s="37" t="n">
        <v>151.8</v>
      </c>
      <c r="P60" s="37" t="n">
        <v>8.790000000000001</v>
      </c>
      <c r="Q60" s="37" t="n">
        <v>43.65</v>
      </c>
      <c r="R60" s="37" t="n">
        <v>175.8</v>
      </c>
      <c r="S60" s="37" t="n">
        <v>1.8</v>
      </c>
      <c r="T60" s="37" t="n">
        <v>59.3</v>
      </c>
      <c r="U60" s="37" t="n">
        <v>2.4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90</v>
      </c>
      <c r="C61" s="35" t="n">
        <v>47.93000000000001</v>
      </c>
      <c r="D61" s="35" t="n">
        <v>9.98</v>
      </c>
      <c r="E61" s="35" t="n">
        <v>51.04</v>
      </c>
      <c r="F61" s="35" t="n">
        <v>0</v>
      </c>
      <c r="G61" s="35" t="n">
        <v>0</v>
      </c>
      <c r="H61" s="35" t="n">
        <v>392.16</v>
      </c>
      <c r="I61" s="35" t="n">
        <v>0</v>
      </c>
      <c r="J61" s="35" t="n">
        <v>0</v>
      </c>
      <c r="K61" s="35" t="n">
        <v>24.95</v>
      </c>
      <c r="L61" s="35" t="n">
        <v>5.69</v>
      </c>
      <c r="M61" s="35" t="n">
        <v>0</v>
      </c>
      <c r="N61" s="36">
        <f>SUM(B61:M61)</f>
        <v/>
      </c>
      <c r="O61" s="37">
        <f>SUMIF('XSALT TB'!$R:$R,'SALT P&amp;L'!$A61,'XSALT TB'!C:C)</f>
        <v/>
      </c>
      <c r="P61" s="37">
        <f>SUMIF('XSALT TB'!$R:$R,'SALT P&amp;L'!$A61,'XSALT TB'!D:D)</f>
        <v/>
      </c>
      <c r="Q61" s="37">
        <f>SUMIF('XSALT TB'!$R:$R,'SALT P&amp;L'!$A61,'XSALT TB'!E:E)</f>
        <v/>
      </c>
      <c r="R61" s="37">
        <f>SUMIF('XSALT TB'!$R:$R,'SALT P&amp;L'!$A61,'XSALT TB'!F:F)</f>
        <v/>
      </c>
      <c r="S61" s="37">
        <f>SUMIF('XSALT TB'!$R:$R,'SALT P&amp;L'!$A61,'XSALT TB'!G:G)</f>
        <v/>
      </c>
      <c r="T61" s="37">
        <f>SUMIF('XSALT TB'!$R:$R,'SALT P&amp;L'!$A61,'XSALT TB'!H:H)</f>
        <v/>
      </c>
      <c r="U61" s="37">
        <f>SUMIF('SALT TB'!$R:$R,'SALT P&amp;L'!$A61,'SALT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8.4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7.2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SUMIF('XSALT TB'!$R:$R,'SALT P&amp;L'!$A62,'XSALT TB'!C:C)</f>
        <v/>
      </c>
      <c r="P62" s="37">
        <f>SUMIF('XSALT TB'!$R:$R,'SALT P&amp;L'!$A62,'XSALT TB'!D:D)</f>
        <v/>
      </c>
      <c r="Q62" s="37">
        <f>SUMIF('XSALT TB'!$R:$R,'SALT P&amp;L'!$A62,'XSALT TB'!E:E)</f>
        <v/>
      </c>
      <c r="R62" s="37">
        <f>SUMIF('XSALT TB'!$R:$R,'SALT P&amp;L'!$A62,'XSALT TB'!F:F)</f>
        <v/>
      </c>
      <c r="S62" s="37">
        <f>SUMIF('XSALT TB'!$R:$R,'SALT P&amp;L'!$A62,'XSALT TB'!G:G)</f>
        <v/>
      </c>
      <c r="T62" s="37">
        <f>SUMIF('XSALT TB'!$R:$R,'SALT P&amp;L'!$A62,'XSALT TB'!H:H)</f>
        <v/>
      </c>
      <c r="U62" s="37">
        <f>SUMIF('SALT TB'!$R:$R,'SALT P&amp;L'!$A62,'SALT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SUMIF('XSALT TB'!$R:$R,'SALT P&amp;L'!$A63,'XSALT TB'!C:C)</f>
        <v/>
      </c>
      <c r="P63" s="37">
        <f>SUMIF('XSALT TB'!$R:$R,'SALT P&amp;L'!$A63,'XSALT TB'!D:D)</f>
        <v/>
      </c>
      <c r="Q63" s="37">
        <f>SUMIF('XSALT TB'!$R:$R,'SALT P&amp;L'!$A63,'XSALT TB'!E:E)</f>
        <v/>
      </c>
      <c r="R63" s="37">
        <f>SUMIF('XSALT TB'!$R:$R,'SALT P&amp;L'!$A63,'XSALT TB'!F:F)</f>
        <v/>
      </c>
      <c r="S63" s="37">
        <f>SUMIF('XSALT TB'!$R:$R,'SALT P&amp;L'!$A63,'XSALT TB'!G:G)</f>
        <v/>
      </c>
      <c r="T63" s="37">
        <f>SUMIF('XSALT TB'!$R:$R,'SALT P&amp;L'!$A63,'XSALT TB'!H:H)</f>
        <v/>
      </c>
      <c r="U63" s="37">
        <f>SUMIF('SALT TB'!$R:$R,'SALT P&amp;L'!$A63,'SALT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SUMIF('XSALT TB'!$R:$R,'SALT P&amp;L'!$A64,'XSALT TB'!C:C)</f>
        <v/>
      </c>
      <c r="P64" s="37">
        <f>SUMIF('XSALT TB'!$R:$R,'SALT P&amp;L'!$A64,'XSALT TB'!D:D)</f>
        <v/>
      </c>
      <c r="Q64" s="37">
        <f>SUMIF('XSALT TB'!$R:$R,'SALT P&amp;L'!$A64,'XSALT TB'!E:E)</f>
        <v/>
      </c>
      <c r="R64" s="37">
        <f>SUMIF('XSALT TB'!$R:$R,'SALT P&amp;L'!$A64,'XSALT TB'!F:F)</f>
        <v/>
      </c>
      <c r="S64" s="37">
        <f>SUMIF('XSALT TB'!$R:$R,'SALT P&amp;L'!$A64,'XSALT TB'!G:G)</f>
        <v/>
      </c>
      <c r="T64" s="37">
        <f>SUMIF('XSALT TB'!$R:$R,'SALT P&amp;L'!$A64,'XSALT TB'!H:H)</f>
        <v/>
      </c>
      <c r="U64" s="37">
        <f>SUMIF('SALT TB'!$R:$R,'SALT P&amp;L'!$A64,'SALT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SUMIF('XSALT TB'!$R:$R,'SALT P&amp;L'!$A65,'XSALT TB'!C:C)</f>
        <v/>
      </c>
      <c r="P65" s="37">
        <f>SUMIF('XSALT TB'!$R:$R,'SALT P&amp;L'!$A65,'XSALT TB'!D:D)</f>
        <v/>
      </c>
      <c r="Q65" s="37">
        <f>SUMIF('XSALT TB'!$R:$R,'SALT P&amp;L'!$A65,'XSALT TB'!E:E)</f>
        <v/>
      </c>
      <c r="R65" s="37">
        <f>SUMIF('XSALT TB'!$R:$R,'SALT P&amp;L'!$A65,'XSALT TB'!F:F)</f>
        <v/>
      </c>
      <c r="S65" s="37">
        <f>SUMIF('XSALT TB'!$R:$R,'SALT P&amp;L'!$A65,'XSALT TB'!G:G)</f>
        <v/>
      </c>
      <c r="T65" s="37">
        <f>SUMIF('XSALT TB'!$R:$R,'SALT P&amp;L'!$A65,'XSALT TB'!H:H)</f>
        <v/>
      </c>
      <c r="U65" s="37">
        <f>SUMIF('SALT TB'!$R:$R,'SALT P&amp;L'!$A65,'SALT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SUMIF('XSALT TB'!$R:$R,'SALT P&amp;L'!$A66,'XSALT TB'!C:C)</f>
        <v/>
      </c>
      <c r="P66" s="37">
        <f>SUMIF('XSALT TB'!$R:$R,'SALT P&amp;L'!$A66,'XSALT TB'!D:D)</f>
        <v/>
      </c>
      <c r="Q66" s="37">
        <f>SUMIF('XSALT TB'!$R:$R,'SALT P&amp;L'!$A66,'XSALT TB'!E:E)</f>
        <v/>
      </c>
      <c r="R66" s="37">
        <f>SUMIF('XSALT TB'!$R:$R,'SALT P&amp;L'!$A66,'XSALT TB'!F:F)</f>
        <v/>
      </c>
      <c r="S66" s="37">
        <f>SUMIF('XSALT TB'!$R:$R,'SALT P&amp;L'!$A66,'XSALT TB'!G:G)</f>
        <v/>
      </c>
      <c r="T66" s="37">
        <f>SUMIF('XSALT TB'!$R:$R,'SALT P&amp;L'!$A66,'XSALT TB'!H:H)</f>
        <v/>
      </c>
      <c r="U66" s="37">
        <f>SUMIF('SALT TB'!$R:$R,'SALT P&amp;L'!$A66,'SALT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1800</v>
      </c>
      <c r="C67" s="35" t="n">
        <v>0</v>
      </c>
      <c r="D67" s="35" t="n">
        <v>0</v>
      </c>
      <c r="E67" s="35" t="n">
        <v>1084.8</v>
      </c>
      <c r="F67" s="35" t="n">
        <v>0</v>
      </c>
      <c r="G67" s="35" t="n">
        <v>179.4</v>
      </c>
      <c r="H67" s="35" t="n">
        <v>42.75</v>
      </c>
      <c r="I67" s="35" t="n">
        <v>42.75</v>
      </c>
      <c r="J67" s="35" t="n">
        <v>42.75</v>
      </c>
      <c r="K67" s="35" t="n">
        <v>42.75</v>
      </c>
      <c r="L67" s="35" t="n">
        <v>89.75</v>
      </c>
      <c r="M67" s="35" t="n">
        <v>877.95</v>
      </c>
      <c r="N67" s="36">
        <f>SUM(B67:M67)</f>
        <v/>
      </c>
      <c r="O67" s="37">
        <f>SUMIF('XSALT TB'!$R:$R,'SALT P&amp;L'!$A67,'XSALT TB'!C:C)</f>
        <v/>
      </c>
      <c r="P67" s="37">
        <f>SUMIF('XSALT TB'!$R:$R,'SALT P&amp;L'!$A67,'XSALT TB'!D:D)</f>
        <v/>
      </c>
      <c r="Q67" s="37">
        <f>SUMIF('XSALT TB'!$R:$R,'SALT P&amp;L'!$A67,'XSALT TB'!E:E)</f>
        <v/>
      </c>
      <c r="R67" s="37">
        <f>SUMIF('XSALT TB'!$R:$R,'SALT P&amp;L'!$A67,'XSALT TB'!F:F)</f>
        <v/>
      </c>
      <c r="S67" s="37">
        <f>SUMIF('XSALT TB'!$R:$R,'SALT P&amp;L'!$A67,'XSALT TB'!G:G)</f>
        <v/>
      </c>
      <c r="T67" s="37">
        <f>SUMIF('XSALT TB'!$R:$R,'SALT P&amp;L'!$A67,'XSALT TB'!H:H)</f>
        <v/>
      </c>
      <c r="U67" s="37">
        <f>SUMIF('SALT TB'!$R:$R,'SALT P&amp;L'!$A67,'SALT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7.5</v>
      </c>
      <c r="C68" s="35" t="n">
        <v>7.5</v>
      </c>
      <c r="D68" s="35" t="n">
        <v>7.5</v>
      </c>
      <c r="E68" s="35" t="n">
        <v>7.5</v>
      </c>
      <c r="F68" s="35" t="n">
        <v>7.5</v>
      </c>
      <c r="G68" s="35" t="n">
        <v>7.5</v>
      </c>
      <c r="H68" s="35" t="n">
        <v>7.5</v>
      </c>
      <c r="I68" s="35" t="n">
        <v>7.5</v>
      </c>
      <c r="J68" s="35" t="n">
        <v>7.5</v>
      </c>
      <c r="K68" s="35" t="n">
        <v>7.5</v>
      </c>
      <c r="L68" s="35" t="n">
        <v>7.5</v>
      </c>
      <c r="M68" s="35" t="n">
        <v>9.99</v>
      </c>
      <c r="N68" s="36">
        <f>SUM(B68:M68)</f>
        <v/>
      </c>
      <c r="O68" s="37">
        <f>SUMIF('XSALT TB'!$R:$R,'SALT P&amp;L'!$A68,'XSALT TB'!C:C)</f>
        <v/>
      </c>
      <c r="P68" s="37">
        <f>SUMIF('XSALT TB'!$R:$R,'SALT P&amp;L'!$A68,'XSALT TB'!D:D)</f>
        <v/>
      </c>
      <c r="Q68" s="37">
        <f>SUMIF('XSALT TB'!$R:$R,'SALT P&amp;L'!$A68,'XSALT TB'!E:E)</f>
        <v/>
      </c>
      <c r="R68" s="37">
        <f>SUMIF('XSALT TB'!$R:$R,'SALT P&amp;L'!$A68,'XSALT TB'!F:F)</f>
        <v/>
      </c>
      <c r="S68" s="37">
        <f>SUMIF('XSALT TB'!$R:$R,'SALT P&amp;L'!$A68,'XSALT TB'!G:G)</f>
        <v/>
      </c>
      <c r="T68" s="37">
        <f>SUMIF('XSALT TB'!$R:$R,'SALT P&amp;L'!$A68,'XSALT TB'!H:H)</f>
        <v/>
      </c>
      <c r="U68" s="37">
        <f>SUMIF('SALT TB'!$R:$R,'SALT P&amp;L'!$A68,'SALT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2101.28</v>
      </c>
      <c r="C69" s="42" t="n">
        <v>258.61</v>
      </c>
      <c r="D69" s="42" t="n">
        <v>229.66</v>
      </c>
      <c r="E69" s="42" t="n">
        <v>1347.12</v>
      </c>
      <c r="F69" s="42" t="n">
        <v>211.87</v>
      </c>
      <c r="G69" s="42" t="n">
        <v>436.28</v>
      </c>
      <c r="H69" s="42" t="n">
        <v>647.39</v>
      </c>
      <c r="I69" s="42" t="n">
        <v>261.82</v>
      </c>
      <c r="J69" s="42" t="n">
        <v>545.28</v>
      </c>
      <c r="K69" s="42" t="n">
        <v>481.8</v>
      </c>
      <c r="L69" s="42" t="n">
        <v>320.14</v>
      </c>
      <c r="M69" s="42" t="n">
        <v>1656.15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SUM(O69:U69)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13122.3</v>
      </c>
      <c r="C70" s="55" t="n">
        <v>17454.62</v>
      </c>
      <c r="D70" s="55" t="n">
        <v>32248.42000000002</v>
      </c>
      <c r="E70" s="55" t="n">
        <v>16600.31</v>
      </c>
      <c r="F70" s="55" t="n">
        <v>6925.56</v>
      </c>
      <c r="G70" s="55" t="n">
        <v>23535.28000000001</v>
      </c>
      <c r="H70" s="55" t="n">
        <v>38823.55999999999</v>
      </c>
      <c r="I70" s="55" t="n">
        <v>8415.829999999994</v>
      </c>
      <c r="J70" s="55" t="n">
        <v>10740.90000000001</v>
      </c>
      <c r="K70" s="55" t="n">
        <v>6886.050000000006</v>
      </c>
      <c r="L70" s="55" t="n">
        <v>29431.03999999999</v>
      </c>
      <c r="M70" s="55" t="n">
        <v>53445.12000000001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60">
        <f>SUM(O71:T71)</f>
        <v/>
      </c>
      <c r="AB71" s="56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2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34" t="inlineStr">
        <is>
          <t>Borrowing Costs</t>
        </is>
      </c>
      <c r="B73" s="8" t="n"/>
      <c r="C73" s="8" t="n"/>
      <c r="D73" s="8" t="n"/>
      <c r="E73" s="8" t="n"/>
      <c r="F73" s="8" t="n"/>
      <c r="G73" s="8" t="n"/>
      <c r="H73" s="8" t="n"/>
      <c r="I73" s="56" t="n"/>
      <c r="J73" s="56" t="n"/>
      <c r="K73" s="56" t="n"/>
      <c r="L73" s="56" t="n"/>
      <c r="M73" s="56" t="n"/>
      <c r="N73" s="56" t="n"/>
      <c r="O73" s="60" t="n">
        <v>0</v>
      </c>
      <c r="P73" s="60" t="n">
        <v>0</v>
      </c>
      <c r="Q73" s="60" t="n">
        <v>0</v>
      </c>
      <c r="R73" s="60" t="n">
        <v>0</v>
      </c>
      <c r="S73" s="60" t="n">
        <v>0</v>
      </c>
      <c r="T73" s="60" t="n">
        <v>0</v>
      </c>
      <c r="U73" s="60" t="n">
        <v>0</v>
      </c>
      <c r="V73" s="60" t="n">
        <v>0</v>
      </c>
      <c r="W73" s="60" t="n">
        <v>0</v>
      </c>
      <c r="X73" s="60" t="n">
        <v>0</v>
      </c>
      <c r="Y73" s="60" t="n">
        <v>0</v>
      </c>
      <c r="Z73" s="60" t="n">
        <v>0</v>
      </c>
      <c r="AA73" s="8" t="n"/>
      <c r="AB73" s="60">
        <f>SUM(O73:Z73)</f>
        <v/>
      </c>
      <c r="AC73" s="8" t="n"/>
      <c r="AD73" s="8" t="n"/>
      <c r="AE73" s="8" t="n"/>
      <c r="AF73" s="8" t="n"/>
      <c r="AG73" s="8" t="n"/>
      <c r="AH73" s="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Depreciation</t>
        </is>
      </c>
      <c r="B74" s="8" t="n"/>
      <c r="C74" s="8" t="n"/>
      <c r="D74" s="8" t="n"/>
      <c r="E74" s="8" t="n"/>
      <c r="F74" s="8" t="n"/>
      <c r="G74" s="8" t="n"/>
      <c r="H74" s="8" t="n"/>
      <c r="I74" s="56" t="n"/>
      <c r="J74" s="56" t="n"/>
      <c r="K74" s="56" t="n"/>
      <c r="L74" s="56" t="n"/>
      <c r="M74" s="56" t="n"/>
      <c r="N74" s="56" t="n"/>
      <c r="O74" s="60" t="n">
        <v>1214.634947916667</v>
      </c>
      <c r="P74" s="60" t="n">
        <v>1214.634947916667</v>
      </c>
      <c r="Q74" s="60" t="n">
        <v>1214.634947916667</v>
      </c>
      <c r="R74" s="60" t="n">
        <v>1214.634947916667</v>
      </c>
      <c r="S74" s="60" t="n">
        <v>1214.634947916667</v>
      </c>
      <c r="T74" s="60" t="n">
        <v>1214.634947916667</v>
      </c>
      <c r="U74" s="60" t="n">
        <v>1241.90578125</v>
      </c>
      <c r="V74" s="60" t="n">
        <v>1241.90578125</v>
      </c>
      <c r="W74" s="60" t="n">
        <v>1241.90578125</v>
      </c>
      <c r="X74" s="60" t="n">
        <v>1241.90578125</v>
      </c>
      <c r="Y74" s="60" t="n">
        <v>1241.90578125</v>
      </c>
      <c r="Z74" s="60" t="n">
        <v>1241.90578125</v>
      </c>
      <c r="AA74" s="8" t="n"/>
      <c r="AB74" s="60">
        <f>SUM(O74:Z74)</f>
        <v/>
      </c>
      <c r="AC74" s="8" t="n"/>
      <c r="AD74" s="8" t="n"/>
      <c r="AE74" s="8" t="n"/>
      <c r="AF74" s="8" t="n"/>
      <c r="AG74" s="8" t="n"/>
      <c r="AH74" s="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Amortisation</t>
        </is>
      </c>
      <c r="B75" s="8" t="n"/>
      <c r="C75" s="8" t="n"/>
      <c r="D75" s="8" t="n"/>
      <c r="E75" s="8" t="n"/>
      <c r="F75" s="8" t="n"/>
      <c r="G75" s="8" t="n"/>
      <c r="H75" s="8" t="n"/>
      <c r="I75" s="56" t="n"/>
      <c r="J75" s="56" t="n"/>
      <c r="K75" s="56" t="n"/>
      <c r="L75" s="56" t="n"/>
      <c r="M75" s="56" t="n"/>
      <c r="N75" s="56" t="n"/>
      <c r="O75" s="60">
        <f>8000/12</f>
        <v/>
      </c>
      <c r="P75" s="60">
        <f>8000/12</f>
        <v/>
      </c>
      <c r="Q75" s="60">
        <f>8000/12</f>
        <v/>
      </c>
      <c r="R75" s="60">
        <f>8000/12</f>
        <v/>
      </c>
      <c r="S75" s="60">
        <f>8000/12</f>
        <v/>
      </c>
      <c r="T75" s="60">
        <f>8000/12</f>
        <v/>
      </c>
      <c r="U75" s="60">
        <f>8000/12</f>
        <v/>
      </c>
      <c r="V75" s="60">
        <f>8000/12</f>
        <v/>
      </c>
      <c r="W75" s="60">
        <f>8000/12</f>
        <v/>
      </c>
      <c r="X75" s="60">
        <f>8000/12</f>
        <v/>
      </c>
      <c r="Y75" s="60">
        <f>8000/12</f>
        <v/>
      </c>
      <c r="Z75" s="60">
        <f>8000/12</f>
        <v/>
      </c>
      <c r="AA75" s="8" t="n"/>
      <c r="AB75" s="60">
        <f>SUM(O75:Z75)</f>
        <v/>
      </c>
      <c r="AC75" s="8" t="n"/>
      <c r="AD75" s="8" t="n"/>
      <c r="AE75" s="8" t="n"/>
      <c r="AF75" s="8" t="n"/>
      <c r="AG75" s="8" t="n"/>
      <c r="AH75" s="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70" t="inlineStr">
        <is>
          <t>Profit Before Tax</t>
        </is>
      </c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>
        <f>O70-SUM(O73:O75)</f>
        <v/>
      </c>
      <c r="P76" s="56">
        <f>P70-SUM(P73:P75)</f>
        <v/>
      </c>
      <c r="Q76" s="56">
        <f>Q70-SUM(Q73:Q75)</f>
        <v/>
      </c>
      <c r="R76" s="56">
        <f>R70-SUM(R73:R75)</f>
        <v/>
      </c>
      <c r="S76" s="56">
        <f>S70-SUM(S73:S75)</f>
        <v/>
      </c>
      <c r="T76" s="56">
        <f>T70-SUM(T73:T75)</f>
        <v/>
      </c>
      <c r="U76" s="56">
        <f>U70-SUM(U73:U75)</f>
        <v/>
      </c>
      <c r="V76" s="56">
        <f>V70-SUM(V73:V75)</f>
        <v/>
      </c>
      <c r="W76" s="56">
        <f>W70-SUM(W73:W75)</f>
        <v/>
      </c>
      <c r="X76" s="56">
        <f>X70-SUM(X73:X75)</f>
        <v/>
      </c>
      <c r="Y76" s="56">
        <f>Y70-SUM(Y73:Y75)</f>
        <v/>
      </c>
      <c r="Z76" s="56">
        <f>Z70-SUM(Z73:Z75)</f>
        <v/>
      </c>
      <c r="AA76" s="56" t="n"/>
      <c r="AB76" s="56">
        <f>AB70-SUM(AB73:AB75)</f>
        <v/>
      </c>
      <c r="AC76" s="56" t="n"/>
      <c r="AD76" s="56" t="n"/>
      <c r="AE76" s="56" t="n"/>
      <c r="AF76" s="56" t="n"/>
      <c r="AG76" s="56" t="n"/>
      <c r="AH76" s="56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 ht="15.75" customHeight="1">
      <c r="A77" s="71" t="inlineStr">
        <is>
          <t>Corp Tax Due</t>
        </is>
      </c>
      <c r="B77" s="64" t="n"/>
      <c r="C77" s="64" t="n"/>
      <c r="D77" s="64" t="n"/>
      <c r="E77" s="64" t="n"/>
      <c r="F77" s="64" t="n"/>
      <c r="G77" s="64" t="n"/>
      <c r="H77" s="64" t="n"/>
      <c r="I77" s="72" t="n"/>
      <c r="J77" s="72" t="n"/>
      <c r="K77" s="72" t="n"/>
      <c r="L77" s="72" t="n"/>
      <c r="M77" s="72" t="n"/>
      <c r="N77" s="72" t="n"/>
      <c r="O77" s="72">
        <f>(O76*0.25)</f>
        <v/>
      </c>
      <c r="P77" s="72">
        <f>(P76*0.25)</f>
        <v/>
      </c>
      <c r="Q77" s="72">
        <f>(Q76*0.25)</f>
        <v/>
      </c>
      <c r="R77" s="72">
        <f>(R76*0.25)</f>
        <v/>
      </c>
      <c r="S77" s="72">
        <f>(S76*0.25)</f>
        <v/>
      </c>
      <c r="T77" s="72">
        <f>(T76*0.25)</f>
        <v/>
      </c>
      <c r="U77" s="72">
        <f>(U76*0.25)</f>
        <v/>
      </c>
      <c r="V77" s="72">
        <f>(V76*0.25)</f>
        <v/>
      </c>
      <c r="W77" s="72">
        <f>(W76*0.25)</f>
        <v/>
      </c>
      <c r="X77" s="72">
        <f>(X76*0.25)</f>
        <v/>
      </c>
      <c r="Y77" s="72">
        <f>(Y76*0.25)</f>
        <v/>
      </c>
      <c r="Z77" s="72">
        <f>(Z76*0.25)</f>
        <v/>
      </c>
      <c r="AA77" s="72" t="n"/>
      <c r="AB77" s="72">
        <f>(AB76*0.25)</f>
        <v/>
      </c>
      <c r="AC77" s="72" t="n"/>
      <c r="AD77" s="72" t="n"/>
      <c r="AE77" s="72" t="n"/>
      <c r="AF77" s="72" t="n"/>
      <c r="AG77" s="72" t="n"/>
      <c r="AH77" s="72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60" t="inlineStr">
        <is>
          <t>Memo</t>
        </is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60" t="inlineStr">
        <is>
          <t>Direct - Sales</t>
        </is>
      </c>
      <c r="B82" s="60" t="n">
        <v>53106.45</v>
      </c>
      <c r="C82" s="60" t="n">
        <v>64716.66</v>
      </c>
      <c r="D82" s="60" t="n">
        <v>74941.20000000001</v>
      </c>
      <c r="E82" s="60" t="n">
        <v>66027.36</v>
      </c>
      <c r="F82" s="60" t="n">
        <v>52199.18</v>
      </c>
      <c r="G82" s="60" t="n">
        <v>65858.77</v>
      </c>
      <c r="H82" s="60" t="n">
        <v>86466.70999999999</v>
      </c>
      <c r="I82" s="60" t="n">
        <v>54456.27</v>
      </c>
      <c r="J82" s="60" t="n">
        <v>62340.23</v>
      </c>
      <c r="K82" s="60" t="n">
        <v>62043.97</v>
      </c>
      <c r="L82" s="60" t="n">
        <v>77558.12</v>
      </c>
      <c r="M82" s="8" t="n"/>
      <c r="N82" s="8" t="n"/>
      <c r="O82" s="60">
        <f>-SUMIF('XSALT TB'!$T:$T,'SALT P&amp;L'!$A82,'XSALT TB'!C:C)</f>
        <v/>
      </c>
      <c r="P82" s="60">
        <f>-SUMIF('XSALT TB'!$T:$T,'SALT P&amp;L'!$A82,'XSALT TB'!D:D)</f>
        <v/>
      </c>
      <c r="Q82" s="60">
        <f>-SUMIF('XSALT TB'!$T:$T,'SALT P&amp;L'!$A82,'XSALT TB'!E:E)</f>
        <v/>
      </c>
      <c r="R82" s="60">
        <f>-SUMIF('XSALT TB'!$T:$T,'SALT P&amp;L'!$A82,'XSALT TB'!F:F)</f>
        <v/>
      </c>
      <c r="S82" s="60">
        <f>-SUMIF('XSALT TB'!$T:$T,'SALT P&amp;L'!$A82,'XSALT TB'!G:G)</f>
        <v/>
      </c>
      <c r="T82" s="60">
        <f>-SUMIF('XSALT TB'!$T:$T,'SALT P&amp;L'!$A82,'XSALT TB'!H:H)</f>
        <v/>
      </c>
      <c r="U82" s="60">
        <f>-SUMIF('XSALT TB'!$T:$T,'SALT P&amp;L'!$A82,'XSALT TB'!I:I)</f>
        <v/>
      </c>
      <c r="V82" s="60">
        <f>-SUMIF('XSALT TB'!$T:$T,'SALT P&amp;L'!$A82,'XSALT TB'!J:J)</f>
        <v/>
      </c>
      <c r="W82" s="60">
        <f>-SUMIF('XSALT TB'!$T:$T,'SALT P&amp;L'!$A82,'XSALT TB'!K:K)</f>
        <v/>
      </c>
      <c r="X82" s="60">
        <f>-SUMIF('XSALT TB'!$T:$T,'SALT P&amp;L'!$A82,'XSALT TB'!L:L)</f>
        <v/>
      </c>
      <c r="Y82" s="60">
        <f>-SUMIF('XSALT TB'!$T:$T,'SALT P&amp;L'!$A82,'XSALT TB'!M:M)</f>
        <v/>
      </c>
      <c r="Z82" s="60">
        <f>-SUMIF('XSALT TB'!$T:$T,'SALT P&amp;L'!$A82,'XSALT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34" t="inlineStr">
        <is>
          <t>Direct - Staff Cost</t>
        </is>
      </c>
      <c r="B83" s="18" t="n">
        <v>-33753.21</v>
      </c>
      <c r="C83" s="18" t="n">
        <v>-39082.28</v>
      </c>
      <c r="D83" s="18" t="n">
        <v>-33706.91</v>
      </c>
      <c r="E83" s="18" t="n">
        <v>-35515.60000000001</v>
      </c>
      <c r="F83" s="18" t="n">
        <v>-37014.82</v>
      </c>
      <c r="G83" s="18" t="n">
        <v>-36110.2</v>
      </c>
      <c r="H83" s="18" t="n">
        <v>-40331.65</v>
      </c>
      <c r="I83" s="18" t="n">
        <v>-40312.61000000001</v>
      </c>
      <c r="J83" s="18" t="n">
        <v>-44205.37999999999</v>
      </c>
      <c r="K83" s="18" t="n">
        <v>-47217.03999999999</v>
      </c>
      <c r="L83" s="18" t="n">
        <v>-41692.43</v>
      </c>
      <c r="M83" s="18" t="n"/>
      <c r="N83" s="8" t="n"/>
      <c r="O83" s="60">
        <f>-SUMIF('XSALT TB'!$T:$T,'SALT P&amp;L'!$A83,'XSALT TB'!C:C)</f>
        <v/>
      </c>
      <c r="P83" s="60">
        <f>-SUMIF('XSALT TB'!$T:$T,'SALT P&amp;L'!$A83,'XSALT TB'!D:D)</f>
        <v/>
      </c>
      <c r="Q83" s="60">
        <f>-SUMIF('XSALT TB'!$T:$T,'SALT P&amp;L'!$A83,'XSALT TB'!E:E)</f>
        <v/>
      </c>
      <c r="R83" s="60">
        <f>-SUMIF('XSALT TB'!$T:$T,'SALT P&amp;L'!$A83,'XSALT TB'!F:F)</f>
        <v/>
      </c>
      <c r="S83" s="60">
        <f>-SUMIF('XSALT TB'!$T:$T,'SALT P&amp;L'!$A83,'XSALT TB'!G:G)</f>
        <v/>
      </c>
      <c r="T83" s="60">
        <f>-SUMIF('XSALT TB'!$T:$T,'SALT P&amp;L'!$A83,'XSALT TB'!H:H)</f>
        <v/>
      </c>
      <c r="U83" s="60">
        <f>-SUMIF('XSALT TB'!$T:$T,'SALT P&amp;L'!$A83,'XSALT TB'!I:I)</f>
        <v/>
      </c>
      <c r="V83" s="60">
        <f>-SUMIF('XSALT TB'!$T:$T,'SALT P&amp;L'!$A83,'XSALT TB'!J:J)</f>
        <v/>
      </c>
      <c r="W83" s="60">
        <f>-SUMIF('XSALT TB'!$T:$T,'SALT P&amp;L'!$A83,'XSALT TB'!K:K)</f>
        <v/>
      </c>
      <c r="X83" s="60">
        <f>-SUMIF('XSALT TB'!$T:$T,'SALT P&amp;L'!$A83,'XSALT TB'!L:L)</f>
        <v/>
      </c>
      <c r="Y83" s="60">
        <f>-SUMIF('XSALT TB'!$T:$T,'SALT P&amp;L'!$A83,'XSALT TB'!M:M)</f>
        <v/>
      </c>
      <c r="Z83" s="60">
        <f>-SUMIF('XSALT TB'!$T:$T,'SALT P&amp;L'!$A83,'XSALT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60" t="inlineStr">
        <is>
          <t>Direct - Childcare Cost</t>
        </is>
      </c>
      <c r="B84" s="18" t="n">
        <v>-2159.36</v>
      </c>
      <c r="C84" s="18" t="n">
        <v>-3141.140000000001</v>
      </c>
      <c r="D84" s="18" t="n">
        <v>-2587.19</v>
      </c>
      <c r="E84" s="18" t="n">
        <v>-2671.159999999999</v>
      </c>
      <c r="F84" s="18" t="n">
        <v>-2710.57</v>
      </c>
      <c r="G84" s="18" t="n">
        <v>-2764.38</v>
      </c>
      <c r="H84" s="18" t="n">
        <v>-2795.31</v>
      </c>
      <c r="I84" s="18" t="n">
        <v>-2329.48</v>
      </c>
      <c r="J84" s="18" t="n">
        <v>-3075.97</v>
      </c>
      <c r="K84" s="18" t="n">
        <v>-3186.66</v>
      </c>
      <c r="L84" s="18" t="n">
        <v>-3046.5</v>
      </c>
      <c r="M84" s="18" t="n">
        <v>-2289.84</v>
      </c>
      <c r="N84" s="8" t="n"/>
      <c r="O84" s="60">
        <f>-SUMIF('XSALT TB'!$T:$T,'SALT P&amp;L'!$A84,'XSALT TB'!C:C)</f>
        <v/>
      </c>
      <c r="P84" s="60">
        <f>-SUMIF('XSALT TB'!$T:$T,'SALT P&amp;L'!$A84,'XSALT TB'!D:D)</f>
        <v/>
      </c>
      <c r="Q84" s="60">
        <f>-SUMIF('XSALT TB'!$T:$T,'SALT P&amp;L'!$A84,'XSALT TB'!E:E)</f>
        <v/>
      </c>
      <c r="R84" s="60">
        <f>-SUMIF('XSALT TB'!$T:$T,'SALT P&amp;L'!$A84,'XSALT TB'!F:F)</f>
        <v/>
      </c>
      <c r="S84" s="60">
        <f>-SUMIF('XSALT TB'!$T:$T,'SALT P&amp;L'!$A84,'XSALT TB'!G:G)</f>
        <v/>
      </c>
      <c r="T84" s="60">
        <f>-SUMIF('XSALT TB'!$T:$T,'SALT P&amp;L'!$A84,'XSALT TB'!H:H)</f>
        <v/>
      </c>
      <c r="U84" s="60">
        <f>-SUMIF('XSALT TB'!$T:$T,'SALT P&amp;L'!$A84,'XSALT TB'!I:I)</f>
        <v/>
      </c>
      <c r="V84" s="60">
        <f>-SUMIF('XSALT TB'!$T:$T,'SALT P&amp;L'!$A84,'XSALT TB'!J:J)</f>
        <v/>
      </c>
      <c r="W84" s="60">
        <f>-SUMIF('XSALT TB'!$T:$T,'SALT P&amp;L'!$A84,'XSALT TB'!K:K)</f>
        <v/>
      </c>
      <c r="X84" s="60">
        <f>-SUMIF('XSALT TB'!$T:$T,'SALT P&amp;L'!$A84,'XSALT TB'!L:L)</f>
        <v/>
      </c>
      <c r="Y84" s="60">
        <f>-SUMIF('XSALT TB'!$T:$T,'SALT P&amp;L'!$A84,'XSALT TB'!M:M)</f>
        <v/>
      </c>
      <c r="Z84" s="60">
        <f>-SUMIF('XSALT TB'!$T:$T,'SALT P&amp;L'!$A84,'XSALT TB'!N:N)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60" t="inlineStr">
        <is>
          <t>Direct - Premises &amp; Admin</t>
        </is>
      </c>
      <c r="B85" s="18" t="n">
        <v>-1970.299999999999</v>
      </c>
      <c r="C85" s="18" t="n">
        <v>-4780.01</v>
      </c>
      <c r="D85" s="18" t="n">
        <v>-6169.02</v>
      </c>
      <c r="E85" s="18" t="n">
        <v>-9893.169999999998</v>
      </c>
      <c r="F85" s="18" t="n">
        <v>-5336.360000000001</v>
      </c>
      <c r="G85" s="18" t="n">
        <v>-3012.63</v>
      </c>
      <c r="H85" s="18" t="n">
        <v>-3868.8</v>
      </c>
      <c r="I85" s="18" t="n">
        <v>-3136.53</v>
      </c>
      <c r="J85" s="18" t="n">
        <v>-3772.7</v>
      </c>
      <c r="K85" s="18" t="n">
        <v>-4272.42</v>
      </c>
      <c r="L85" s="18" t="n">
        <v>-3068.01</v>
      </c>
      <c r="M85" s="18" t="n">
        <v>-4871.1</v>
      </c>
      <c r="N85" s="8" t="n"/>
      <c r="O85" s="60">
        <f>-SUMIF('XSALT TB'!$T:$T,'SALT P&amp;L'!$A85,'XSALT TB'!C:C)</f>
        <v/>
      </c>
      <c r="P85" s="60">
        <f>-SUMIF('XSALT TB'!$T:$T,'SALT P&amp;L'!$A85,'XSALT TB'!D:D)</f>
        <v/>
      </c>
      <c r="Q85" s="60">
        <f>-SUMIF('XSALT TB'!$T:$T,'SALT P&amp;L'!$A85,'XSALT TB'!E:E)</f>
        <v/>
      </c>
      <c r="R85" s="60">
        <f>-SUMIF('XSALT TB'!$T:$T,'SALT P&amp;L'!$A85,'XSALT TB'!F:F)</f>
        <v/>
      </c>
      <c r="S85" s="60">
        <f>-SUMIF('XSALT TB'!$T:$T,'SALT P&amp;L'!$A85,'XSALT TB'!G:G)</f>
        <v/>
      </c>
      <c r="T85" s="60">
        <f>-SUMIF('XSALT TB'!$T:$T,'SALT P&amp;L'!$A85,'XSALT TB'!H:H)</f>
        <v/>
      </c>
      <c r="U85" s="60">
        <f>-SUMIF('XSALT TB'!$T:$T,'SALT P&amp;L'!$A85,'XSALT TB'!I:I)</f>
        <v/>
      </c>
      <c r="V85" s="60">
        <f>-SUMIF('XSALT TB'!$T:$T,'SALT P&amp;L'!$A85,'XSALT TB'!J:J)</f>
        <v/>
      </c>
      <c r="W85" s="60">
        <f>-SUMIF('XSALT TB'!$T:$T,'SALT P&amp;L'!$A85,'XSALT TB'!K:K)</f>
        <v/>
      </c>
      <c r="X85" s="60">
        <f>-SUMIF('XSALT TB'!$T:$T,'SALT P&amp;L'!$A85,'XSALT TB'!L:L)</f>
        <v/>
      </c>
      <c r="Y85" s="60">
        <f>-SUMIF('XSALT TB'!$T:$T,'SALT P&amp;L'!$A85,'XSALT TB'!M:M)</f>
        <v/>
      </c>
      <c r="Z85" s="60">
        <f>-SUMIF('XSALT TB'!$T:$T,'SALT P&amp;L'!$A85,'XSALT TB'!N:N)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In-Direct - Staff Cost</t>
        </is>
      </c>
      <c r="B86" s="18" t="n">
        <v>0</v>
      </c>
      <c r="C86" s="18" t="n">
        <v>0</v>
      </c>
      <c r="D86" s="18" t="n">
        <v>0</v>
      </c>
      <c r="E86" s="18" t="n">
        <v>0</v>
      </c>
      <c r="F86" s="18" t="n">
        <v>0</v>
      </c>
      <c r="G86" s="18" t="n">
        <v>0</v>
      </c>
      <c r="H86" s="18" t="n">
        <v>0</v>
      </c>
      <c r="I86" s="18" t="n">
        <v>0</v>
      </c>
      <c r="J86" s="18" t="n">
        <v>0</v>
      </c>
      <c r="K86" s="18" t="n">
        <v>0</v>
      </c>
      <c r="L86" s="18" t="n">
        <v>0</v>
      </c>
      <c r="M86" s="18" t="n">
        <v>0</v>
      </c>
      <c r="N86" s="8" t="n"/>
      <c r="O86" s="60">
        <f>-SUMIF('XSALT TB'!$T:$T,'SALT P&amp;L'!$A86,'XSALT TB'!C:C)</f>
        <v/>
      </c>
      <c r="P86" s="60">
        <f>-SUMIF('XSALT TB'!$T:$T,'SALT P&amp;L'!$A86,'XSALT TB'!D:D)</f>
        <v/>
      </c>
      <c r="Q86" s="60">
        <f>-SUMIF('XSALT TB'!$T:$T,'SALT P&amp;L'!$A86,'XSALT TB'!E:E)</f>
        <v/>
      </c>
      <c r="R86" s="60">
        <f>-SUMIF('XSALT TB'!$T:$T,'SALT P&amp;L'!$A86,'XSALT TB'!F:F)</f>
        <v/>
      </c>
      <c r="S86" s="60">
        <f>-SUMIF('XSALT TB'!$T:$T,'SALT P&amp;L'!$A86,'XSALT TB'!G:G)</f>
        <v/>
      </c>
      <c r="T86" s="60">
        <f>-SUMIF('XSALT TB'!$T:$T,'SALT P&amp;L'!$A86,'XSALT TB'!H:H)</f>
        <v/>
      </c>
      <c r="U86" s="60">
        <f>-SUMIF('XSALT TB'!$T:$T,'SALT P&amp;L'!$A86,'XSALT TB'!I:I)</f>
        <v/>
      </c>
      <c r="V86" s="60">
        <f>-SUMIF('XSALT TB'!$T:$T,'SALT P&amp;L'!$A86,'XSALT TB'!J:J)</f>
        <v/>
      </c>
      <c r="W86" s="60">
        <f>-SUMIF('XSALT TB'!$T:$T,'SALT P&amp;L'!$A86,'XSALT TB'!K:K)</f>
        <v/>
      </c>
      <c r="X86" s="60">
        <f>-SUMIF('XSALT TB'!$T:$T,'SALT P&amp;L'!$A86,'XSALT TB'!L:L)</f>
        <v/>
      </c>
      <c r="Y86" s="60">
        <f>-SUMIF('XSALT TB'!$T:$T,'SALT P&amp;L'!$A86,'XSALT TB'!M:M)</f>
        <v/>
      </c>
      <c r="Z86" s="60">
        <f>-SUMIF('XSALT TB'!$T:$T,'SALT P&amp;L'!$A86,'XSALT TB'!N:N)</f>
        <v/>
      </c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In-Direct - Overheads</t>
        </is>
      </c>
      <c r="B87" s="18" t="n">
        <v>-2101.28</v>
      </c>
      <c r="C87" s="18" t="n">
        <v>-258.61</v>
      </c>
      <c r="D87" s="18" t="n">
        <v>-229.66</v>
      </c>
      <c r="E87" s="18" t="n">
        <v>-1347.12</v>
      </c>
      <c r="F87" s="18" t="n">
        <v>-211.87</v>
      </c>
      <c r="G87" s="18" t="n">
        <v>-436.28</v>
      </c>
      <c r="H87" s="18" t="n">
        <v>-647.39</v>
      </c>
      <c r="I87" s="18" t="n">
        <v>-261.82</v>
      </c>
      <c r="J87" s="18" t="n">
        <v>-545.28</v>
      </c>
      <c r="K87" s="18" t="n">
        <v>-481.8</v>
      </c>
      <c r="L87" s="18" t="n">
        <v>-320.14</v>
      </c>
      <c r="M87" s="18" t="n">
        <v>-1656.15</v>
      </c>
      <c r="N87" s="8" t="n"/>
      <c r="O87" s="60">
        <f>-SUMIF('XSALT TB'!$T:$T,'SALT P&amp;L'!$A87,'XSALT TB'!C:C)</f>
        <v/>
      </c>
      <c r="P87" s="60">
        <f>-SUMIF('XSALT TB'!$T:$T,'SALT P&amp;L'!$A87,'XSALT TB'!D:D)</f>
        <v/>
      </c>
      <c r="Q87" s="60">
        <f>-SUMIF('XSALT TB'!$T:$T,'SALT P&amp;L'!$A87,'XSALT TB'!E:E)</f>
        <v/>
      </c>
      <c r="R87" s="60">
        <f>-SUMIF('XSALT TB'!$T:$T,'SALT P&amp;L'!$A87,'XSALT TB'!F:F)</f>
        <v/>
      </c>
      <c r="S87" s="60">
        <f>-SUMIF('XSALT TB'!$T:$T,'SALT P&amp;L'!$A87,'XSALT TB'!G:G)</f>
        <v/>
      </c>
      <c r="T87" s="60">
        <f>-SUMIF('XSALT TB'!$T:$T,'SALT P&amp;L'!$A87,'XSALT TB'!H:H)</f>
        <v/>
      </c>
      <c r="U87" s="60">
        <f>-SUMIF('XSALT TB'!$T:$T,'SALT P&amp;L'!$A87,'XSALT TB'!I:I)</f>
        <v/>
      </c>
      <c r="V87" s="60">
        <f>-SUMIF('XSALT TB'!$T:$T,'SALT P&amp;L'!$A87,'XSALT TB'!J:J)</f>
        <v/>
      </c>
      <c r="W87" s="60">
        <f>-SUMIF('XSALT TB'!$T:$T,'SALT P&amp;L'!$A87,'XSALT TB'!K:K)</f>
        <v/>
      </c>
      <c r="X87" s="60">
        <f>-SUMIF('XSALT TB'!$T:$T,'SALT P&amp;L'!$A87,'XSALT TB'!L:L)</f>
        <v/>
      </c>
      <c r="Y87" s="60">
        <f>-SUMIF('XSALT TB'!$T:$T,'SALT P&amp;L'!$A87,'XSALT TB'!M:M)</f>
        <v/>
      </c>
      <c r="Z87" s="60">
        <f>-SUMIF('XSALT TB'!$T:$T,'SALT P&amp;L'!$A87,'XSALT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 ht="15.75" customHeight="1">
      <c r="A88" s="8" t="n"/>
      <c r="B88" s="67" t="n">
        <v>13122.3</v>
      </c>
      <c r="C88" s="67" t="n">
        <v>17454.62</v>
      </c>
      <c r="D88" s="67" t="n">
        <v>32248.42000000001</v>
      </c>
      <c r="E88" s="67" t="n">
        <v>16600.31</v>
      </c>
      <c r="F88" s="67" t="n">
        <v>6925.559999999999</v>
      </c>
      <c r="G88" s="67" t="n">
        <v>23535.28</v>
      </c>
      <c r="H88" s="67" t="n">
        <v>38823.55999999999</v>
      </c>
      <c r="I88" s="67" t="n">
        <v>8415.829999999996</v>
      </c>
      <c r="J88" s="67" t="n">
        <v>10740.9</v>
      </c>
      <c r="K88" s="67" t="n">
        <v>6886.050000000007</v>
      </c>
      <c r="L88" s="67" t="n">
        <v>29431.03999999999</v>
      </c>
      <c r="M88" s="67" t="n">
        <v>-8817.09</v>
      </c>
      <c r="N88" s="8" t="n"/>
      <c r="O88" s="64">
        <f>SUM(O82:O87)</f>
        <v/>
      </c>
      <c r="P88" s="64">
        <f>SUM(P82:P87)</f>
        <v/>
      </c>
      <c r="Q88" s="64">
        <f>SUM(Q82:Q87)</f>
        <v/>
      </c>
      <c r="R88" s="64">
        <f>SUM(R82:R87)</f>
        <v/>
      </c>
      <c r="S88" s="64">
        <f>SUM(S82:S87)</f>
        <v/>
      </c>
      <c r="T88" s="64">
        <f>SUM(T82:T87)</f>
        <v/>
      </c>
      <c r="U88" s="64">
        <f>SUM(U82:U87)</f>
        <v/>
      </c>
      <c r="V88" s="64">
        <f>SUM(V82:V87)</f>
        <v/>
      </c>
      <c r="W88" s="64">
        <f>SUM(W82:W87)</f>
        <v/>
      </c>
      <c r="X88" s="64">
        <f>SUM(X82:X87)</f>
        <v/>
      </c>
      <c r="Y88" s="64">
        <f>SUM(Y82:Y87)</f>
        <v/>
      </c>
      <c r="Z88" s="64">
        <f>SUM(Z82:Z87)</f>
        <v/>
      </c>
      <c r="AA88" s="8" t="n"/>
      <c r="AB88" s="8" t="n"/>
      <c r="AC88" s="64" t="n"/>
      <c r="AD88" s="64" t="n"/>
      <c r="AE88" s="64" t="n"/>
      <c r="AF88" s="64" t="n"/>
      <c r="AG88" s="64" t="n"/>
      <c r="AH88" s="64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 ht="15.75" customHeight="1">
      <c r="A89" s="8" t="n"/>
      <c r="B89" s="18" t="n">
        <v>0</v>
      </c>
      <c r="C89" s="18" t="n">
        <v>0</v>
      </c>
      <c r="D89" s="18" t="n">
        <v>0</v>
      </c>
      <c r="E89" s="18" t="n">
        <v>0</v>
      </c>
      <c r="F89" s="18" t="n">
        <v>0</v>
      </c>
      <c r="G89" s="18" t="n">
        <v>0</v>
      </c>
      <c r="H89" s="18" t="n">
        <v>0</v>
      </c>
      <c r="I89" s="18" t="n">
        <v>0</v>
      </c>
      <c r="J89" s="18" t="n">
        <v>0</v>
      </c>
      <c r="K89" s="18" t="n">
        <v>0</v>
      </c>
      <c r="L89" s="18" t="n">
        <v>0</v>
      </c>
      <c r="M89" s="18" t="n">
        <v>0</v>
      </c>
      <c r="N89" s="8" t="n"/>
      <c r="O89" s="60">
        <f>+O70-O88</f>
        <v/>
      </c>
      <c r="P89" s="60">
        <f>+P70-P88</f>
        <v/>
      </c>
      <c r="Q89" s="60">
        <f>+Q70-Q88</f>
        <v/>
      </c>
      <c r="R89" s="60">
        <f>+R70-R88</f>
        <v/>
      </c>
      <c r="S89" s="60">
        <f>+S70-S88</f>
        <v/>
      </c>
      <c r="T89" s="60">
        <f>+T70-T88</f>
        <v/>
      </c>
      <c r="U89" s="60">
        <f>+U70-U88</f>
        <v/>
      </c>
      <c r="V89" s="60">
        <f>+V70-V88</f>
        <v/>
      </c>
      <c r="W89" s="60">
        <f>+W70-W88</f>
        <v/>
      </c>
      <c r="X89" s="60">
        <f>+X70-X88</f>
        <v/>
      </c>
      <c r="Y89" s="60">
        <f>+Y70-Y88</f>
        <v/>
      </c>
      <c r="Z89" s="60">
        <f>+Z70-Z88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>
        <v>-1807.499999999989</v>
      </c>
      <c r="C91" s="18" t="n">
        <v>-7.500000000003638</v>
      </c>
      <c r="D91" s="18" t="n">
        <v>-7.500000000007276</v>
      </c>
      <c r="E91" s="18" t="n">
        <v>-1092.300000000003</v>
      </c>
      <c r="F91" s="18" t="n">
        <v>-7.499999999999091</v>
      </c>
      <c r="G91" s="18" t="n">
        <v>-186.9000000000015</v>
      </c>
      <c r="H91" s="18" t="n">
        <v>-50.25</v>
      </c>
      <c r="I91" s="18" t="n">
        <v>-50.25000000000546</v>
      </c>
      <c r="J91" s="18" t="n">
        <v>-50.24999999999272</v>
      </c>
      <c r="K91" s="18" t="n">
        <v>-50.24999999999454</v>
      </c>
      <c r="L91" s="18" t="n">
        <v>-97.24999999999272</v>
      </c>
      <c r="M91" s="18" t="n">
        <v>-63150.15000000001</v>
      </c>
      <c r="N91" s="8" t="n"/>
      <c r="O91" s="60">
        <f>O88+O92</f>
        <v/>
      </c>
      <c r="P91" s="60">
        <f>P88+P92</f>
        <v/>
      </c>
      <c r="Q91" s="60">
        <f>Q88+Q92</f>
        <v/>
      </c>
      <c r="R91" s="60">
        <f>R88+R92</f>
        <v/>
      </c>
      <c r="S91" s="60">
        <f>S88+S92</f>
        <v/>
      </c>
      <c r="T91" s="60">
        <f>T88+T92</f>
        <v/>
      </c>
      <c r="U91" s="60">
        <f>U88+U92</f>
        <v/>
      </c>
      <c r="V91" s="60">
        <f>V88+V92</f>
        <v/>
      </c>
      <c r="W91" s="60">
        <f>W88+W92</f>
        <v/>
      </c>
      <c r="X91" s="60">
        <f>X88+X92</f>
        <v/>
      </c>
      <c r="Y91" s="60">
        <f>Y88+Y92</f>
        <v/>
      </c>
      <c r="Z91" s="60">
        <f>Z88+Z92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>
        <v>-14929.79999999999</v>
      </c>
      <c r="C92" s="18" t="n">
        <v>-17462.12000000001</v>
      </c>
      <c r="D92" s="18" t="n">
        <v>-32255.92000000002</v>
      </c>
      <c r="E92" s="18" t="n">
        <v>-17692.61</v>
      </c>
      <c r="F92" s="18" t="n">
        <v>-6933.059999999999</v>
      </c>
      <c r="G92" s="18" t="n">
        <v>-23722.18</v>
      </c>
      <c r="H92" s="18" t="n">
        <v>-38873.80999999999</v>
      </c>
      <c r="I92" s="18" t="n">
        <v>-8466.080000000002</v>
      </c>
      <c r="J92" s="18" t="n">
        <v>-10791.15</v>
      </c>
      <c r="K92" s="18" t="n">
        <v>-6936.300000000002</v>
      </c>
      <c r="L92" s="18" t="n">
        <v>-29528.28999999999</v>
      </c>
      <c r="M92" s="18" t="n">
        <v>-54333.06000000001</v>
      </c>
      <c r="N92" s="8" t="n"/>
      <c r="O92" s="60">
        <f>SUM('XSALT TB'!C2:C36)</f>
        <v/>
      </c>
      <c r="P92" s="60">
        <f>SUM('XSALT TB'!D2:D36)</f>
        <v/>
      </c>
      <c r="Q92" s="60">
        <f>SUM('XSALT TB'!E2:E36)</f>
        <v/>
      </c>
      <c r="R92" s="60">
        <f>SUM('XSALT TB'!F2:F36)</f>
        <v/>
      </c>
      <c r="S92" s="60">
        <f>SUM('XSALT TB'!G2:G36)</f>
        <v/>
      </c>
      <c r="T92" s="60">
        <f>SUM('XSALT TB'!H2:H36)</f>
        <v/>
      </c>
      <c r="U92" s="60">
        <f>SUM('XSALT TB'!I2:I36)</f>
        <v/>
      </c>
      <c r="V92" s="60">
        <f>SUM('XSALT TB'!J2:J36)</f>
        <v/>
      </c>
      <c r="W92" s="60">
        <f>SUM('XSALT TB'!K2:K36)</f>
        <v/>
      </c>
      <c r="X92" s="60">
        <f>SUM('XSALT TB'!L2:L36)</f>
        <v/>
      </c>
      <c r="Y92" s="60">
        <f>SUM('XSALT TB'!M2:M36)</f>
        <v/>
      </c>
      <c r="Z92" s="60">
        <f>SUM('XSALT TB'!N2:N36)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Smart 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35136.66</v>
      </c>
      <c r="C8" s="35" t="n">
        <v>31904.12</v>
      </c>
      <c r="D8" s="35" t="n">
        <v>37428.88</v>
      </c>
      <c r="E8" s="35" t="n">
        <v>44109.71</v>
      </c>
      <c r="F8" s="35" t="n">
        <v>35175.74</v>
      </c>
      <c r="G8" s="35" t="n">
        <v>35630.7</v>
      </c>
      <c r="H8" s="35" t="n">
        <v>48545.23</v>
      </c>
      <c r="I8" s="35" t="n">
        <v>36978.69</v>
      </c>
      <c r="J8" s="35" t="n">
        <v>23539.81</v>
      </c>
      <c r="K8" s="35" t="n">
        <v>21638.64</v>
      </c>
      <c r="L8" s="35" t="n">
        <v>21476.5</v>
      </c>
      <c r="M8" s="35" t="n">
        <v>29823.68</v>
      </c>
      <c r="N8" s="36">
        <f>SUM(B8:M8)</f>
        <v/>
      </c>
      <c r="O8" s="37" t="n">
        <v>27048.5</v>
      </c>
      <c r="P8" s="37" t="n">
        <v>29446.3</v>
      </c>
      <c r="Q8" s="37" t="n">
        <v>33209</v>
      </c>
      <c r="R8" s="37" t="n">
        <v>39710.4</v>
      </c>
      <c r="S8" s="37" t="n">
        <v>34102.1</v>
      </c>
      <c r="T8" s="37" t="n">
        <v>39117.5</v>
      </c>
      <c r="U8" s="37" t="n">
        <v>48092.35000000001</v>
      </c>
      <c r="V8" s="38" t="n">
        <v>41496.99</v>
      </c>
      <c r="W8" s="38" t="n">
        <v>28979</v>
      </c>
      <c r="X8" s="38" t="n">
        <v>26354</v>
      </c>
      <c r="Y8" s="38" t="n">
        <v>25152</v>
      </c>
      <c r="Z8" s="38" t="n">
        <v>34880</v>
      </c>
      <c r="AA8" s="36">
        <f>SUM(O8:U8)</f>
        <v/>
      </c>
      <c r="AB8" s="36">
        <f>SUM(O8:Z8)</f>
        <v/>
      </c>
      <c r="AC8" s="38" t="n">
        <v>51523.8</v>
      </c>
      <c r="AD8" s="38" t="n">
        <v>47675.55</v>
      </c>
      <c r="AE8" s="38" t="n">
        <v>57134.76</v>
      </c>
      <c r="AF8" s="38" t="n">
        <v>48560.52</v>
      </c>
      <c r="AG8" s="38" t="n">
        <v>49676.32</v>
      </c>
      <c r="AH8" s="38" t="n">
        <v>51026.35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13402.32</v>
      </c>
      <c r="C9" s="35" t="n">
        <v>26714.04</v>
      </c>
      <c r="D9" s="35" t="n">
        <v>26714.04</v>
      </c>
      <c r="E9" s="35" t="n">
        <v>8615.389999999999</v>
      </c>
      <c r="F9" s="35" t="n">
        <v>8615.389999999999</v>
      </c>
      <c r="G9" s="35" t="n">
        <v>22603.64</v>
      </c>
      <c r="H9" s="35" t="n">
        <v>22603.63</v>
      </c>
      <c r="I9" s="35" t="n">
        <v>0</v>
      </c>
      <c r="J9" s="35" t="n">
        <v>9695.389999999999</v>
      </c>
      <c r="K9" s="35" t="n">
        <v>9695.379999999999</v>
      </c>
      <c r="L9" s="35" t="n">
        <v>23858.64</v>
      </c>
      <c r="M9" s="35" t="n">
        <v>23858.64</v>
      </c>
      <c r="N9" s="36">
        <f>SUM(B9:M9)</f>
        <v/>
      </c>
      <c r="O9" s="37" t="n">
        <v>11734.8</v>
      </c>
      <c r="P9" s="37" t="n">
        <v>29745.6</v>
      </c>
      <c r="Q9" s="37" t="n">
        <v>32438.4</v>
      </c>
      <c r="R9" s="37" t="n">
        <v>26264.3</v>
      </c>
      <c r="S9" s="37" t="n">
        <v>24020.2</v>
      </c>
      <c r="T9" s="37" t="n">
        <v>23531.2</v>
      </c>
      <c r="U9" s="37" t="n">
        <v>26524.66</v>
      </c>
      <c r="V9" s="38" t="n"/>
      <c r="W9" s="38" t="n">
        <v>24059</v>
      </c>
      <c r="X9" s="38" t="n">
        <v>27704</v>
      </c>
      <c r="Y9" s="38" t="n">
        <v>26479</v>
      </c>
      <c r="Z9" s="38" t="n">
        <v>11439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193.25</v>
      </c>
      <c r="C10" s="35" t="n">
        <v>100</v>
      </c>
      <c r="D10" s="35" t="n">
        <v>240</v>
      </c>
      <c r="E10" s="35" t="n">
        <v>150</v>
      </c>
      <c r="F10" s="35" t="n">
        <v>150</v>
      </c>
      <c r="G10" s="35" t="n">
        <v>180</v>
      </c>
      <c r="H10" s="35" t="n">
        <v>722.6900000000001</v>
      </c>
      <c r="I10" s="35" t="n">
        <v>3954.91</v>
      </c>
      <c r="J10" s="35" t="n">
        <v>0</v>
      </c>
      <c r="K10" s="35" t="n">
        <v>30</v>
      </c>
      <c r="L10" s="35" t="n">
        <v>0</v>
      </c>
      <c r="M10" s="35" t="n">
        <v>90</v>
      </c>
      <c r="N10" s="36">
        <f>SUM(B10:M10)</f>
        <v/>
      </c>
      <c r="O10" s="37" t="n">
        <v>59.5</v>
      </c>
      <c r="P10" s="37" t="n">
        <v>0</v>
      </c>
      <c r="Q10" s="37" t="n">
        <v>30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48732.23</v>
      </c>
      <c r="C11" s="42" t="n">
        <v>58718.16</v>
      </c>
      <c r="D11" s="42" t="n">
        <v>64382.92</v>
      </c>
      <c r="E11" s="42" t="n">
        <v>52875.1</v>
      </c>
      <c r="F11" s="42" t="n">
        <v>43941.13</v>
      </c>
      <c r="G11" s="42" t="n">
        <v>58414.34</v>
      </c>
      <c r="H11" s="42" t="n">
        <v>71871.55</v>
      </c>
      <c r="I11" s="42" t="n">
        <v>40933.60000000001</v>
      </c>
      <c r="J11" s="42" t="n">
        <v>33235.2</v>
      </c>
      <c r="K11" s="42" t="n">
        <v>31364.02</v>
      </c>
      <c r="L11" s="42" t="n">
        <v>45335.14</v>
      </c>
      <c r="M11" s="42" t="n">
        <v>53772.32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79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30287.19</v>
      </c>
      <c r="C16" s="35" t="n">
        <v>28161.92</v>
      </c>
      <c r="D16" s="35" t="n">
        <v>25110.5</v>
      </c>
      <c r="E16" s="35" t="n">
        <v>28269.59</v>
      </c>
      <c r="F16" s="35" t="n">
        <v>32973.91</v>
      </c>
      <c r="G16" s="35" t="n">
        <v>26527.48</v>
      </c>
      <c r="H16" s="35" t="n">
        <v>26525.69</v>
      </c>
      <c r="I16" s="35" t="n">
        <v>24730.92</v>
      </c>
      <c r="J16" s="35" t="n">
        <v>23058.19</v>
      </c>
      <c r="K16" s="35" t="n">
        <v>26098.63</v>
      </c>
      <c r="L16" s="35" t="n">
        <v>25153.72</v>
      </c>
      <c r="M16" s="35" t="n">
        <v>28256.28</v>
      </c>
      <c r="N16" s="36">
        <f>SUM(B16:M16)</f>
        <v/>
      </c>
      <c r="O16" s="37" t="n">
        <v>29983.84</v>
      </c>
      <c r="P16" s="37" t="n">
        <v>29098.5</v>
      </c>
      <c r="Q16" s="37" t="n">
        <v>32556.97</v>
      </c>
      <c r="R16" s="37" t="n">
        <v>34842.43</v>
      </c>
      <c r="S16" s="37" t="n">
        <v>34444.71</v>
      </c>
      <c r="T16" s="37" t="n">
        <v>37619.83</v>
      </c>
      <c r="U16" s="37" t="n">
        <v>36454.3</v>
      </c>
      <c r="V16" s="38" t="n">
        <v>36454.3</v>
      </c>
      <c r="W16" s="38" t="n">
        <v>36454.3</v>
      </c>
      <c r="X16" s="38" t="n">
        <v>36454.3</v>
      </c>
      <c r="Y16" s="38" t="n">
        <v>36454.3</v>
      </c>
      <c r="Z16" s="38" t="n">
        <v>36454.3</v>
      </c>
      <c r="AA16" s="36">
        <f>SUM(O16:U16)</f>
        <v/>
      </c>
      <c r="AB16" s="36">
        <f>SUM(O16:Z16)</f>
        <v/>
      </c>
      <c r="AC16" s="38" t="n">
        <v>36454.3</v>
      </c>
      <c r="AD16" s="38" t="n">
        <v>36454.3</v>
      </c>
      <c r="AE16" s="38" t="n">
        <v>36454.3</v>
      </c>
      <c r="AF16" s="38" t="n">
        <v>36454.3</v>
      </c>
      <c r="AG16" s="38" t="n">
        <v>36454.3</v>
      </c>
      <c r="AH16" s="38" t="n">
        <v>36454.3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2317.34</v>
      </c>
      <c r="C17" s="35" t="n">
        <v>2017.92</v>
      </c>
      <c r="D17" s="35" t="n">
        <v>1979.38</v>
      </c>
      <c r="E17" s="35" t="n">
        <v>2908.34</v>
      </c>
      <c r="F17" s="35" t="n">
        <v>3305.33</v>
      </c>
      <c r="G17" s="35" t="n">
        <v>2920.15</v>
      </c>
      <c r="H17" s="35" t="n">
        <v>3181.89</v>
      </c>
      <c r="I17" s="35" t="n">
        <v>2824.01</v>
      </c>
      <c r="J17" s="35" t="n">
        <v>2565.3</v>
      </c>
      <c r="K17" s="35" t="n">
        <v>2981.29</v>
      </c>
      <c r="L17" s="35" t="n">
        <v>2854.93</v>
      </c>
      <c r="M17" s="35" t="n">
        <v>3162.72</v>
      </c>
      <c r="N17" s="36">
        <f>SUM(B17:M17)</f>
        <v/>
      </c>
      <c r="O17" s="37" t="n">
        <v>3426.49</v>
      </c>
      <c r="P17" s="37" t="n">
        <v>3529.84</v>
      </c>
      <c r="Q17" s="37" t="n">
        <v>3556.72</v>
      </c>
      <c r="R17" s="37" t="n">
        <v>3836.75</v>
      </c>
      <c r="S17" s="37" t="n">
        <v>3836.73</v>
      </c>
      <c r="T17" s="37" t="n">
        <v>4158.21</v>
      </c>
      <c r="U17" s="37" t="n">
        <v>4331.47</v>
      </c>
      <c r="V17" s="38" t="n">
        <v>4331.47</v>
      </c>
      <c r="W17" s="38" t="n">
        <v>4331.47</v>
      </c>
      <c r="X17" s="38" t="n">
        <v>4331.47</v>
      </c>
      <c r="Y17" s="38" t="n">
        <v>4331.47</v>
      </c>
      <c r="Z17" s="38" t="n">
        <v>4331.47</v>
      </c>
      <c r="AA17" s="36">
        <f>SUM(O17:U17)</f>
        <v/>
      </c>
      <c r="AB17" s="36">
        <f>SUM(O17:Z17)</f>
        <v/>
      </c>
      <c r="AC17" s="38" t="n">
        <v>4331.47</v>
      </c>
      <c r="AD17" s="38" t="n">
        <v>4331.47</v>
      </c>
      <c r="AE17" s="38" t="n">
        <v>4331.47</v>
      </c>
      <c r="AF17" s="38" t="n">
        <v>4331.47</v>
      </c>
      <c r="AG17" s="38" t="n">
        <v>4331.47</v>
      </c>
      <c r="AH17" s="38" t="n">
        <v>4331.47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544.37</v>
      </c>
      <c r="C18" s="35" t="n">
        <v>517.16</v>
      </c>
      <c r="D18" s="35" t="n">
        <v>508.79</v>
      </c>
      <c r="E18" s="35" t="n">
        <v>544.54</v>
      </c>
      <c r="F18" s="35" t="n">
        <v>503.06</v>
      </c>
      <c r="G18" s="35" t="n">
        <v>476.9</v>
      </c>
      <c r="H18" s="35" t="n">
        <v>596.13</v>
      </c>
      <c r="I18" s="35" t="n">
        <v>527.66</v>
      </c>
      <c r="J18" s="35" t="n">
        <v>475.92</v>
      </c>
      <c r="K18" s="35" t="n">
        <v>557.97</v>
      </c>
      <c r="L18" s="35" t="n">
        <v>531.24</v>
      </c>
      <c r="M18" s="35" t="n">
        <v>587.5599999999999</v>
      </c>
      <c r="N18" s="36">
        <f>SUM(B18:M18)</f>
        <v/>
      </c>
      <c r="O18" s="37" t="n">
        <v>612.9299999999999</v>
      </c>
      <c r="P18" s="37" t="n">
        <v>578.4400000000001</v>
      </c>
      <c r="Q18" s="37" t="n">
        <v>606.5700000000001</v>
      </c>
      <c r="R18" s="37" t="n">
        <v>659.52</v>
      </c>
      <c r="S18" s="37" t="n">
        <v>659.99</v>
      </c>
      <c r="T18" s="37" t="n">
        <v>662.76</v>
      </c>
      <c r="U18" s="37" t="n">
        <v>650.65</v>
      </c>
      <c r="V18" s="38" t="n">
        <v>650.65</v>
      </c>
      <c r="W18" s="38" t="n">
        <v>650.65</v>
      </c>
      <c r="X18" s="38" t="n">
        <v>650.65</v>
      </c>
      <c r="Y18" s="38" t="n">
        <v>650.65</v>
      </c>
      <c r="Z18" s="38" t="n">
        <v>650.65</v>
      </c>
      <c r="AA18" s="36">
        <f>SUM(O18:U18)</f>
        <v/>
      </c>
      <c r="AB18" s="36">
        <f>SUM(O18:Z18)</f>
        <v/>
      </c>
      <c r="AC18" s="38" t="n">
        <v>650.65</v>
      </c>
      <c r="AD18" s="38" t="n">
        <v>650.65</v>
      </c>
      <c r="AE18" s="38" t="n">
        <v>650.65</v>
      </c>
      <c r="AF18" s="38" t="n">
        <v>650.65</v>
      </c>
      <c r="AG18" s="38" t="n">
        <v>650.65</v>
      </c>
      <c r="AH18" s="38" t="n">
        <v>650.65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47.28</v>
      </c>
      <c r="E19" s="35" t="n">
        <v>0</v>
      </c>
      <c r="F19" s="35" t="n">
        <v>0</v>
      </c>
      <c r="G19" s="35" t="n">
        <v>0</v>
      </c>
      <c r="H19" s="35" t="n">
        <v>91.14</v>
      </c>
      <c r="I19" s="35" t="n">
        <v>100.14</v>
      </c>
      <c r="J19" s="35" t="n">
        <v>0</v>
      </c>
      <c r="K19" s="35" t="n">
        <v>0</v>
      </c>
      <c r="L19" s="35" t="n">
        <v>39.54</v>
      </c>
      <c r="M19" s="35" t="n">
        <v>24.98</v>
      </c>
      <c r="N19" s="36">
        <f>SUM(B19:M19)</f>
        <v/>
      </c>
      <c r="O19" s="37" t="n">
        <v>0</v>
      </c>
      <c r="P19" s="37" t="n">
        <v>152.88</v>
      </c>
      <c r="Q19" s="37" t="n">
        <v>0</v>
      </c>
      <c r="R19" s="37" t="n">
        <v>119.88</v>
      </c>
      <c r="S19" s="37" t="n">
        <v>0</v>
      </c>
      <c r="T19" s="37" t="n">
        <v>51.24</v>
      </c>
      <c r="U19" s="37" t="n">
        <v>0</v>
      </c>
      <c r="V19" s="38" t="n">
        <v>73.35000000000001</v>
      </c>
      <c r="W19" s="38" t="n">
        <v>73.35000000000001</v>
      </c>
      <c r="X19" s="38" t="n">
        <v>73.35000000000001</v>
      </c>
      <c r="Y19" s="38" t="n">
        <v>73.35000000000001</v>
      </c>
      <c r="Z19" s="38" t="n">
        <v>73.35000000000001</v>
      </c>
      <c r="AA19" s="36">
        <f>SUM(O19:U19)</f>
        <v/>
      </c>
      <c r="AB19" s="36">
        <f>SUM(O19:Z19)</f>
        <v/>
      </c>
      <c r="AC19" s="38" t="n">
        <v>73.35000000000001</v>
      </c>
      <c r="AD19" s="38" t="n">
        <v>73.35000000000001</v>
      </c>
      <c r="AE19" s="38" t="n">
        <v>73.35000000000001</v>
      </c>
      <c r="AF19" s="38" t="n">
        <v>73.35000000000001</v>
      </c>
      <c r="AG19" s="38" t="n">
        <v>73.35000000000001</v>
      </c>
      <c r="AH19" s="38" t="n">
        <v>73.35000000000001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0</v>
      </c>
      <c r="H20" s="35" t="n">
        <v>162</v>
      </c>
      <c r="I20" s="35" t="n">
        <v>0</v>
      </c>
      <c r="J20" s="35" t="n">
        <v>180.76</v>
      </c>
      <c r="K20" s="35" t="n">
        <v>37.2</v>
      </c>
      <c r="L20" s="35" t="n">
        <v>0</v>
      </c>
      <c r="M20" s="35" t="n">
        <v>13</v>
      </c>
      <c r="N20" s="36">
        <f>SUM(B20:M20)</f>
        <v/>
      </c>
      <c r="O20" s="37" t="n">
        <v>13</v>
      </c>
      <c r="P20" s="37" t="n">
        <v>326</v>
      </c>
      <c r="Q20" s="37" t="n">
        <v>325.2</v>
      </c>
      <c r="R20" s="37" t="n">
        <v>72</v>
      </c>
      <c r="S20" s="37" t="n">
        <v>48</v>
      </c>
      <c r="T20" s="37" t="n">
        <v>0</v>
      </c>
      <c r="U20" s="37" t="n">
        <v>0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113.59</v>
      </c>
      <c r="C21" s="35" t="n">
        <v>168.36</v>
      </c>
      <c r="D21" s="35" t="n">
        <v>51.79</v>
      </c>
      <c r="E21" s="35" t="n">
        <v>150.6</v>
      </c>
      <c r="F21" s="35" t="n">
        <v>120.41</v>
      </c>
      <c r="G21" s="35" t="n">
        <v>113.1</v>
      </c>
      <c r="H21" s="35" t="n">
        <v>47.23</v>
      </c>
      <c r="I21" s="35" t="n">
        <v>145.53</v>
      </c>
      <c r="J21" s="35" t="n">
        <v>0</v>
      </c>
      <c r="K21" s="35" t="n">
        <v>110.87</v>
      </c>
      <c r="L21" s="35" t="n">
        <v>175.33</v>
      </c>
      <c r="M21" s="35" t="n">
        <v>89.36</v>
      </c>
      <c r="N21" s="36">
        <f>SUM(B21:M21)</f>
        <v/>
      </c>
      <c r="O21" s="37" t="n">
        <v>80.19</v>
      </c>
      <c r="P21" s="37" t="n">
        <v>40.29</v>
      </c>
      <c r="Q21" s="37" t="n">
        <v>48.98</v>
      </c>
      <c r="R21" s="37" t="n">
        <v>7</v>
      </c>
      <c r="S21" s="37" t="n">
        <v>141.26</v>
      </c>
      <c r="T21" s="37" t="n">
        <v>79.87</v>
      </c>
      <c r="U21" s="37" t="n">
        <v>7.39</v>
      </c>
      <c r="V21" s="38" t="n">
        <v>150</v>
      </c>
      <c r="W21" s="38" t="n">
        <v>150</v>
      </c>
      <c r="X21" s="38" t="n">
        <v>150</v>
      </c>
      <c r="Y21" s="38" t="n">
        <v>150</v>
      </c>
      <c r="Z21" s="38" t="n">
        <v>150</v>
      </c>
      <c r="AA21" s="36">
        <f>SUM(O21:U21)</f>
        <v/>
      </c>
      <c r="AB21" s="36">
        <f>SUM(O21:Z21)</f>
        <v/>
      </c>
      <c r="AC21" s="38" t="n">
        <v>150</v>
      </c>
      <c r="AD21" s="38" t="n">
        <v>150</v>
      </c>
      <c r="AE21" s="38" t="n">
        <v>150</v>
      </c>
      <c r="AF21" s="38" t="n">
        <v>150</v>
      </c>
      <c r="AG21" s="38" t="n">
        <v>150</v>
      </c>
      <c r="AH21" s="38" t="n">
        <v>150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SUMIF('XSDN TB'!$R:$R,'SDN P&amp;L'!$A22,'XSDN TB'!C:C)</f>
        <v/>
      </c>
      <c r="P22" s="37">
        <f>SUMIF('XSDN TB'!$R:$R,'SDN P&amp;L'!$A22,'XSDN TB'!D:D)</f>
        <v/>
      </c>
      <c r="Q22" s="37">
        <f>SUMIF('XSDN TB'!$R:$R,'SDN P&amp;L'!$A22,'XSDN TB'!E:E)</f>
        <v/>
      </c>
      <c r="R22" s="37">
        <f>SUMIF('XSDN TB'!$R:$R,'SDN P&amp;L'!$A22,'XSDN TB'!F:F)</f>
        <v/>
      </c>
      <c r="S22" s="37">
        <f>SUMIF('XSDN TB'!$R:$R,'SDN P&amp;L'!$A22,'XSDN TB'!G:G)</f>
        <v/>
      </c>
      <c r="T22" s="37">
        <f>SUMIF('XSDN TB'!$R:$R,'SDN P&amp;L'!$A22,'XSDN TB'!H:H)</f>
        <v/>
      </c>
      <c r="U22" s="37">
        <f>SUMIF('SDN TB'!$R:$R,'SDN P&amp;L'!$A22,'SDN TB'!I:I)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51</v>
      </c>
      <c r="L23" s="35" t="n">
        <v>0</v>
      </c>
      <c r="M23" s="35" t="n">
        <v>0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11.39</v>
      </c>
      <c r="U23" s="37" t="n">
        <v>77.97</v>
      </c>
      <c r="V23" s="38" t="n">
        <v>63</v>
      </c>
      <c r="W23" s="38" t="n">
        <v>63</v>
      </c>
      <c r="X23" s="38" t="n">
        <v>63</v>
      </c>
      <c r="Y23" s="38" t="n">
        <v>63</v>
      </c>
      <c r="Z23" s="38" t="n">
        <v>63</v>
      </c>
      <c r="AA23" s="36">
        <f>SUM(O23:U23)</f>
        <v/>
      </c>
      <c r="AB23" s="36">
        <f>SUM(O23:Z23)</f>
        <v/>
      </c>
      <c r="AC23" s="38" t="n">
        <v>63</v>
      </c>
      <c r="AD23" s="38" t="n">
        <v>63</v>
      </c>
      <c r="AE23" s="38" t="n">
        <v>63</v>
      </c>
      <c r="AF23" s="38" t="n">
        <v>63</v>
      </c>
      <c r="AG23" s="38" t="n">
        <v>63</v>
      </c>
      <c r="AH23" s="38" t="n">
        <v>63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SUMIF('XSDN TB'!$R:$R,'SDN P&amp;L'!$A24,'XSDN TB'!C:C)</f>
        <v/>
      </c>
      <c r="P24" s="37">
        <f>SUMIF('XSDN TB'!$R:$R,'SDN P&amp;L'!$A24,'XSDN TB'!D:D)</f>
        <v/>
      </c>
      <c r="Q24" s="37">
        <f>SUMIF('XSDN TB'!$R:$R,'SDN P&amp;L'!$A24,'XSDN TB'!E:E)</f>
        <v/>
      </c>
      <c r="R24" s="37">
        <f>SUMIF('XSDN TB'!$R:$R,'SDN P&amp;L'!$A24,'XSDN TB'!F:F)</f>
        <v/>
      </c>
      <c r="S24" s="37">
        <f>SUMIF('XSDN TB'!$R:$R,'SDN P&amp;L'!$A24,'XSDN TB'!G:G)</f>
        <v/>
      </c>
      <c r="T24" s="37">
        <f>SUMIF('XSDN TB'!$R:$R,'SDN P&amp;L'!$A24,'XSDN TB'!H:H)</f>
        <v/>
      </c>
      <c r="U24" s="37">
        <f>SUMIF('SDN TB'!$R:$R,'SDN P&amp;L'!$A24,'SDN TB'!I:I)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33262.49</v>
      </c>
      <c r="C25" s="42" t="n">
        <v>30865.36</v>
      </c>
      <c r="D25" s="42" t="n">
        <v>27697.74</v>
      </c>
      <c r="E25" s="42" t="n">
        <v>31873.07</v>
      </c>
      <c r="F25" s="42" t="n">
        <v>36902.71000000001</v>
      </c>
      <c r="G25" s="42" t="n">
        <v>30037.63</v>
      </c>
      <c r="H25" s="42" t="n">
        <v>30604.08</v>
      </c>
      <c r="I25" s="42" t="n">
        <v>28328.26</v>
      </c>
      <c r="J25" s="42" t="n">
        <v>26280.16999999999</v>
      </c>
      <c r="K25" s="42" t="n">
        <v>29836.96</v>
      </c>
      <c r="L25" s="42" t="n">
        <v>28754.76000000001</v>
      </c>
      <c r="M25" s="42" t="n">
        <v>32133.9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1567.44</v>
      </c>
      <c r="C27" s="35" t="n">
        <v>1984.79</v>
      </c>
      <c r="D27" s="35" t="n">
        <v>1532.82</v>
      </c>
      <c r="E27" s="35" t="n">
        <v>1541.61</v>
      </c>
      <c r="F27" s="35" t="n">
        <v>1710.34</v>
      </c>
      <c r="G27" s="35" t="n">
        <v>1913.82</v>
      </c>
      <c r="H27" s="35" t="n">
        <v>1900.36</v>
      </c>
      <c r="I27" s="35" t="n">
        <v>1513.73</v>
      </c>
      <c r="J27" s="35" t="n">
        <v>1347.69</v>
      </c>
      <c r="K27" s="35" t="n">
        <v>1248.11</v>
      </c>
      <c r="L27" s="35" t="n">
        <v>1303.32</v>
      </c>
      <c r="M27" s="35" t="n">
        <v>1021.02</v>
      </c>
      <c r="N27" s="36">
        <f>SUM(B27:M27)</f>
        <v/>
      </c>
      <c r="O27" s="37" t="n">
        <v>1155.49</v>
      </c>
      <c r="P27" s="37" t="n">
        <v>1469.05</v>
      </c>
      <c r="Q27" s="37" t="n">
        <v>1299.06</v>
      </c>
      <c r="R27" s="37" t="n">
        <v>1308.33</v>
      </c>
      <c r="S27" s="37" t="n">
        <v>1167.54</v>
      </c>
      <c r="T27" s="37" t="n">
        <v>1673.38</v>
      </c>
      <c r="U27" s="37" t="n">
        <v>1315.27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222.62</v>
      </c>
      <c r="C28" s="35" t="n">
        <v>59.73999999999999</v>
      </c>
      <c r="D28" s="35" t="n">
        <v>73.67999999999999</v>
      </c>
      <c r="E28" s="35" t="n">
        <v>488.16</v>
      </c>
      <c r="F28" s="35" t="n">
        <v>415.09</v>
      </c>
      <c r="G28" s="35" t="n">
        <v>429.36</v>
      </c>
      <c r="H28" s="35" t="n">
        <v>221.83</v>
      </c>
      <c r="I28" s="35" t="n">
        <v>213.52</v>
      </c>
      <c r="J28" s="35" t="n">
        <v>155</v>
      </c>
      <c r="K28" s="35" t="n">
        <v>76.69</v>
      </c>
      <c r="L28" s="35" t="n">
        <v>104.83</v>
      </c>
      <c r="M28" s="35" t="n">
        <v>51.49</v>
      </c>
      <c r="N28" s="36">
        <f>SUM(B28:M28)</f>
        <v/>
      </c>
      <c r="O28" s="37" t="n">
        <v>250.3</v>
      </c>
      <c r="P28" s="37" t="n">
        <v>182.73</v>
      </c>
      <c r="Q28" s="37" t="n">
        <v>119.59</v>
      </c>
      <c r="R28" s="37" t="n">
        <v>85.17</v>
      </c>
      <c r="S28" s="37" t="n">
        <v>109.19</v>
      </c>
      <c r="T28" s="37" t="n">
        <v>2384.14</v>
      </c>
      <c r="U28" s="37" t="n">
        <v>725.37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199.22</v>
      </c>
      <c r="C29" s="35" t="n">
        <v>495.7599999999999</v>
      </c>
      <c r="D29" s="35" t="n">
        <v>33.84</v>
      </c>
      <c r="E29" s="35" t="n">
        <v>86.84</v>
      </c>
      <c r="F29" s="35" t="n">
        <v>145.97</v>
      </c>
      <c r="G29" s="35" t="n">
        <v>167.57</v>
      </c>
      <c r="H29" s="35" t="n">
        <v>170.99</v>
      </c>
      <c r="I29" s="35" t="n">
        <v>238.61</v>
      </c>
      <c r="J29" s="35" t="n">
        <v>137.82</v>
      </c>
      <c r="K29" s="35" t="n">
        <v>292.09</v>
      </c>
      <c r="L29" s="35" t="n">
        <v>282.84</v>
      </c>
      <c r="M29" s="35" t="n">
        <v>212.34</v>
      </c>
      <c r="N29" s="36">
        <f>SUM(B29:M29)</f>
        <v/>
      </c>
      <c r="O29" s="37" t="n">
        <v>58.43</v>
      </c>
      <c r="P29" s="37" t="n">
        <v>156.27</v>
      </c>
      <c r="Q29" s="37" t="n">
        <v>14.3</v>
      </c>
      <c r="R29" s="37" t="n">
        <v>120.24</v>
      </c>
      <c r="S29" s="37" t="n">
        <v>106.68</v>
      </c>
      <c r="T29" s="37" t="n">
        <v>0</v>
      </c>
      <c r="U29" s="37" t="n">
        <v>114.74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80" t="n">
        <v>0.00208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SUMIF('XSDN TB'!$R:$R,'SDN P&amp;L'!$A30,'XSDN TB'!C:C)</f>
        <v/>
      </c>
      <c r="P30" s="37">
        <f>SUMIF('XSDN TB'!$R:$R,'SDN P&amp;L'!$A30,'XSDN TB'!D:D)</f>
        <v/>
      </c>
      <c r="Q30" s="37">
        <f>SUMIF('XSDN TB'!$R:$R,'SDN P&amp;L'!$A30,'XSDN TB'!E:E)</f>
        <v/>
      </c>
      <c r="R30" s="37">
        <f>SUMIF('XSDN TB'!$R:$R,'SDN P&amp;L'!$A30,'XSDN TB'!F:F)</f>
        <v/>
      </c>
      <c r="S30" s="37">
        <f>SUMIF('XSDN TB'!$R:$R,'SDN P&amp;L'!$A30,'XSDN TB'!G:G)</f>
        <v/>
      </c>
      <c r="T30" s="37">
        <f>SUMIF('XSDN TB'!$R:$R,'SDN P&amp;L'!$A30,'XSDN TB'!H:H)</f>
        <v/>
      </c>
      <c r="U30" s="37">
        <f>SUMIF('SDN TB'!$R:$R,'SDN P&amp;L'!$A30,'SDN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0</v>
      </c>
      <c r="C31" s="35" t="n">
        <v>306.01</v>
      </c>
      <c r="D31" s="35" t="n">
        <v>335.76</v>
      </c>
      <c r="E31" s="35" t="n">
        <v>5.49</v>
      </c>
      <c r="F31" s="35" t="n">
        <v>344.88</v>
      </c>
      <c r="G31" s="35" t="n">
        <v>0</v>
      </c>
      <c r="H31" s="35" t="n">
        <v>159.56</v>
      </c>
      <c r="I31" s="35" t="n">
        <v>34.84999999999999</v>
      </c>
      <c r="J31" s="35" t="n">
        <v>146.99</v>
      </c>
      <c r="K31" s="35" t="n">
        <v>99.87</v>
      </c>
      <c r="L31" s="35" t="n">
        <v>14.99</v>
      </c>
      <c r="M31" s="35" t="n">
        <v>49.87</v>
      </c>
      <c r="N31" s="36">
        <f>SUM(B31:M31)</f>
        <v/>
      </c>
      <c r="O31" s="37" t="n">
        <v>6.98</v>
      </c>
      <c r="P31" s="37" t="n">
        <v>29.99</v>
      </c>
      <c r="Q31" s="37" t="n">
        <v>39.57</v>
      </c>
      <c r="R31" s="37" t="n">
        <v>0</v>
      </c>
      <c r="S31" s="37" t="n">
        <v>0</v>
      </c>
      <c r="T31" s="37" t="n">
        <v>74.03</v>
      </c>
      <c r="U31" s="37" t="n">
        <v>5.87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18.87</v>
      </c>
      <c r="C32" s="35" t="n">
        <v>114.9</v>
      </c>
      <c r="D32" s="35" t="n">
        <v>135.47</v>
      </c>
      <c r="E32" s="35" t="n">
        <v>17.31</v>
      </c>
      <c r="F32" s="35" t="n">
        <v>112.19</v>
      </c>
      <c r="G32" s="35" t="n">
        <v>0</v>
      </c>
      <c r="H32" s="35" t="n">
        <v>13.89</v>
      </c>
      <c r="I32" s="35" t="n">
        <v>233.47</v>
      </c>
      <c r="J32" s="35" t="n">
        <v>59.64</v>
      </c>
      <c r="K32" s="35" t="n">
        <v>170.31</v>
      </c>
      <c r="L32" s="35" t="n">
        <v>206.26</v>
      </c>
      <c r="M32" s="35" t="n">
        <v>171.28</v>
      </c>
      <c r="N32" s="36">
        <f>SUM(B32:M32)</f>
        <v/>
      </c>
      <c r="O32" s="37" t="n">
        <v>88.5</v>
      </c>
      <c r="P32" s="37" t="n">
        <v>326.58</v>
      </c>
      <c r="Q32" s="37" t="n">
        <v>346.91</v>
      </c>
      <c r="R32" s="37" t="n">
        <v>286.34</v>
      </c>
      <c r="S32" s="37" t="n">
        <v>443.89</v>
      </c>
      <c r="T32" s="37" t="n">
        <v>296.29</v>
      </c>
      <c r="U32" s="37" t="n">
        <v>171.34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0.005200000000000001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SUMIF('XSDN TB'!$R:$R,'SDN P&amp;L'!$A33,'XSDN TB'!C:C)</f>
        <v/>
      </c>
      <c r="P33" s="37">
        <f>SUMIF('XSDN TB'!$R:$R,'SDN P&amp;L'!$A33,'XSDN TB'!D:D)</f>
        <v/>
      </c>
      <c r="Q33" s="37">
        <f>SUMIF('XSDN TB'!$R:$R,'SDN P&amp;L'!$A33,'XSDN TB'!E:E)</f>
        <v/>
      </c>
      <c r="R33" s="37">
        <f>SUMIF('XSDN TB'!$R:$R,'SDN P&amp;L'!$A33,'XSDN TB'!F:F)</f>
        <v/>
      </c>
      <c r="S33" s="37">
        <f>SUMIF('XSDN TB'!$R:$R,'SDN P&amp;L'!$A33,'XSDN TB'!G:G)</f>
        <v/>
      </c>
      <c r="T33" s="37">
        <f>SUMIF('XSDN TB'!$R:$R,'SDN P&amp;L'!$A33,'XSDN TB'!H:H)</f>
        <v/>
      </c>
      <c r="U33" s="37">
        <f>SUMIF('SDN TB'!$R:$R,'SDN P&amp;L'!$A33,'SDN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2008.15</v>
      </c>
      <c r="C34" s="42" t="n">
        <v>2961.2</v>
      </c>
      <c r="D34" s="42" t="n">
        <v>2111.57</v>
      </c>
      <c r="E34" s="42" t="n">
        <v>2139.41</v>
      </c>
      <c r="F34" s="42" t="n">
        <v>2728.47</v>
      </c>
      <c r="G34" s="42" t="n">
        <v>2510.75</v>
      </c>
      <c r="H34" s="42" t="n">
        <v>2466.63</v>
      </c>
      <c r="I34" s="42" t="n">
        <v>2234.18</v>
      </c>
      <c r="J34" s="42" t="n">
        <v>1847.14</v>
      </c>
      <c r="K34" s="42" t="n">
        <v>1887.07</v>
      </c>
      <c r="L34" s="42" t="n">
        <v>1912.24</v>
      </c>
      <c r="M34" s="42" t="n">
        <v>1506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SUMIF('XSDN TB'!$R:$R,'SDN P&amp;L'!$A36,'XSDN TB'!C:C)</f>
        <v/>
      </c>
      <c r="P36" s="37">
        <f>SUMIF('XSDN TB'!$R:$R,'SDN P&amp;L'!$A36,'XSDN TB'!D:D)</f>
        <v/>
      </c>
      <c r="Q36" s="37">
        <f>SUMIF('XSDN TB'!$R:$R,'SDN P&amp;L'!$A36,'XSDN TB'!E:E)</f>
        <v/>
      </c>
      <c r="R36" s="37">
        <f>SUMIF('XSDN TB'!$R:$R,'SDN P&amp;L'!$A36,'XSDN TB'!F:F)</f>
        <v/>
      </c>
      <c r="S36" s="37">
        <f>SUMIF('XSDN TB'!$R:$R,'SDN P&amp;L'!$A36,'XSDN TB'!G:G)</f>
        <v/>
      </c>
      <c r="T36" s="37">
        <f>SUMIF('XSDN TB'!$R:$R,'SDN P&amp;L'!$A36,'XSDN TB'!H:H)</f>
        <v/>
      </c>
      <c r="U36" s="37" t="n"/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1263.58</v>
      </c>
      <c r="C37" s="35" t="n">
        <v>1263.58</v>
      </c>
      <c r="D37" s="35" t="n">
        <v>1300.46</v>
      </c>
      <c r="E37" s="35" t="n">
        <v>1263.58</v>
      </c>
      <c r="F37" s="35" t="n">
        <v>1263.59</v>
      </c>
      <c r="G37" s="35" t="n">
        <v>1263.58</v>
      </c>
      <c r="H37" s="35" t="n">
        <v>1263.58</v>
      </c>
      <c r="I37" s="35" t="n">
        <v>1263.58</v>
      </c>
      <c r="J37" s="35" t="n">
        <v>1263.58</v>
      </c>
      <c r="K37" s="35" t="n">
        <v>1263.58</v>
      </c>
      <c r="L37" s="35" t="n">
        <v>1263.58</v>
      </c>
      <c r="M37" s="35" t="n">
        <v>1263.58</v>
      </c>
      <c r="N37" s="36">
        <f>SUM(B37:M37)</f>
        <v/>
      </c>
      <c r="O37" s="37" t="n">
        <v>1263.61</v>
      </c>
      <c r="P37" s="37" t="n">
        <v>1263.59</v>
      </c>
      <c r="Q37" s="37" t="n">
        <v>1226.7</v>
      </c>
      <c r="R37" s="37" t="n">
        <v>1502.59</v>
      </c>
      <c r="S37" s="37" t="n">
        <v>1502.59</v>
      </c>
      <c r="T37" s="37" t="n">
        <v>1502.59</v>
      </c>
      <c r="U37" s="37" t="n">
        <v>1502.59</v>
      </c>
      <c r="V37" s="38" t="n">
        <v>1503</v>
      </c>
      <c r="W37" s="38" t="n">
        <v>1503</v>
      </c>
      <c r="X37" s="38" t="n">
        <v>1503</v>
      </c>
      <c r="Y37" s="38" t="n">
        <v>1503</v>
      </c>
      <c r="Z37" s="38" t="n">
        <v>1503</v>
      </c>
      <c r="AA37" s="36">
        <f>SUM(O37:U37)</f>
        <v/>
      </c>
      <c r="AB37" s="36">
        <f>SUM(O37:Z37)</f>
        <v/>
      </c>
      <c r="AC37" s="38" t="n">
        <v>1503</v>
      </c>
      <c r="AD37" s="38" t="n">
        <v>1503</v>
      </c>
      <c r="AE37" s="38" t="n">
        <v>1503</v>
      </c>
      <c r="AF37" s="38" t="n">
        <v>1503</v>
      </c>
      <c r="AG37" s="38" t="n">
        <v>1503</v>
      </c>
      <c r="AH37" s="38" t="n">
        <v>1503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1548.48</v>
      </c>
      <c r="C38" s="35" t="n">
        <v>1795.97</v>
      </c>
      <c r="D38" s="35" t="n">
        <v>1775.8</v>
      </c>
      <c r="E38" s="35" t="n">
        <v>1821.43</v>
      </c>
      <c r="F38" s="35" t="n">
        <v>994.7900000000001</v>
      </c>
      <c r="G38" s="35" t="n">
        <v>965.26</v>
      </c>
      <c r="H38" s="35" t="n">
        <v>867.74</v>
      </c>
      <c r="I38" s="35" t="n">
        <v>930.28</v>
      </c>
      <c r="J38" s="35" t="n">
        <v>882.15</v>
      </c>
      <c r="K38" s="35" t="n">
        <v>955.24</v>
      </c>
      <c r="L38" s="35" t="n">
        <v>1003.91</v>
      </c>
      <c r="M38" s="35" t="n">
        <v>347.26</v>
      </c>
      <c r="N38" s="36">
        <f>SUM(B38:M38)</f>
        <v/>
      </c>
      <c r="O38" s="37" t="n">
        <v>575.26</v>
      </c>
      <c r="P38" s="37" t="n">
        <v>953.1100000000001</v>
      </c>
      <c r="Q38" s="37" t="n">
        <v>662.26</v>
      </c>
      <c r="R38" s="37" t="n">
        <v>865.9299999999999</v>
      </c>
      <c r="S38" s="37" t="n">
        <v>733.6800000000001</v>
      </c>
      <c r="T38" s="37" t="n">
        <v>1252</v>
      </c>
      <c r="U38" s="37" t="n">
        <v>0</v>
      </c>
      <c r="V38" s="38" t="n">
        <v>840</v>
      </c>
      <c r="W38" s="38" t="n">
        <v>840</v>
      </c>
      <c r="X38" s="38" t="n">
        <v>840</v>
      </c>
      <c r="Y38" s="38" t="n">
        <v>840</v>
      </c>
      <c r="Z38" s="38" t="n">
        <v>840</v>
      </c>
      <c r="AA38" s="36">
        <f>SUM(O38:U38)</f>
        <v/>
      </c>
      <c r="AB38" s="36">
        <f>SUM(O38:Z38)</f>
        <v/>
      </c>
      <c r="AC38" s="38" t="n">
        <v>840</v>
      </c>
      <c r="AD38" s="38" t="n">
        <v>840</v>
      </c>
      <c r="AE38" s="38" t="n">
        <v>840</v>
      </c>
      <c r="AF38" s="38" t="n">
        <v>840</v>
      </c>
      <c r="AG38" s="38" t="n">
        <v>840</v>
      </c>
      <c r="AH38" s="38" t="n">
        <v>840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524.33</v>
      </c>
      <c r="C39" s="35" t="n">
        <v>390.5599999999999</v>
      </c>
      <c r="D39" s="35" t="n">
        <v>512.22</v>
      </c>
      <c r="E39" s="35" t="n">
        <v>57.92</v>
      </c>
      <c r="F39" s="35" t="n">
        <v>489.11</v>
      </c>
      <c r="G39" s="35" t="n">
        <v>201.13</v>
      </c>
      <c r="H39" s="35" t="n">
        <v>134.13</v>
      </c>
      <c r="I39" s="35" t="n">
        <v>373.59</v>
      </c>
      <c r="J39" s="35" t="n">
        <v>106.35</v>
      </c>
      <c r="K39" s="35" t="n">
        <v>161.51</v>
      </c>
      <c r="L39" s="35" t="n">
        <v>300.59</v>
      </c>
      <c r="M39" s="35" t="n">
        <v>430.6</v>
      </c>
      <c r="N39" s="36">
        <f>SUM(B39:M39)</f>
        <v/>
      </c>
      <c r="O39" s="37" t="n">
        <v>84.8</v>
      </c>
      <c r="P39" s="37" t="n">
        <v>338.51</v>
      </c>
      <c r="Q39" s="37" t="n">
        <v>38.8</v>
      </c>
      <c r="R39" s="37" t="n">
        <v>60.25</v>
      </c>
      <c r="S39" s="37" t="n">
        <v>38.8</v>
      </c>
      <c r="T39" s="37" t="n">
        <v>38.8</v>
      </c>
      <c r="U39" s="37" t="n">
        <v>423.74</v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396.5600000000001</v>
      </c>
      <c r="C40" s="35" t="n">
        <v>271</v>
      </c>
      <c r="D40" s="35" t="n">
        <v>270.02</v>
      </c>
      <c r="E40" s="35" t="n">
        <v>362.36</v>
      </c>
      <c r="F40" s="35" t="n">
        <v>392.06</v>
      </c>
      <c r="G40" s="35" t="n">
        <v>280.72</v>
      </c>
      <c r="H40" s="35" t="n">
        <v>264.16</v>
      </c>
      <c r="I40" s="35" t="n">
        <v>300.25</v>
      </c>
      <c r="J40" s="35" t="n">
        <v>193.25</v>
      </c>
      <c r="K40" s="35" t="n">
        <v>369.08</v>
      </c>
      <c r="L40" s="35" t="n">
        <v>339.99</v>
      </c>
      <c r="M40" s="35" t="n">
        <v>119.65</v>
      </c>
      <c r="N40" s="36">
        <f>SUM(B40:M40)</f>
        <v/>
      </c>
      <c r="O40" s="37" t="n">
        <v>283.96</v>
      </c>
      <c r="P40" s="37" t="n">
        <v>153.09</v>
      </c>
      <c r="Q40" s="37" t="n">
        <v>338.52</v>
      </c>
      <c r="R40" s="37" t="n">
        <v>221.29</v>
      </c>
      <c r="S40" s="37" t="n">
        <v>202.63</v>
      </c>
      <c r="T40" s="37" t="n">
        <v>251.9</v>
      </c>
      <c r="U40" s="37" t="n">
        <v>296.34</v>
      </c>
      <c r="V40" s="38" t="n">
        <v>242</v>
      </c>
      <c r="W40" s="38" t="n">
        <v>242</v>
      </c>
      <c r="X40" s="38" t="n">
        <v>242</v>
      </c>
      <c r="Y40" s="38" t="n">
        <v>242</v>
      </c>
      <c r="Z40" s="38" t="n">
        <v>242</v>
      </c>
      <c r="AA40" s="36">
        <f>SUM(O40:U40)</f>
        <v/>
      </c>
      <c r="AB40" s="36">
        <f>SUM(O40:Z40)</f>
        <v/>
      </c>
      <c r="AC40" s="38" t="n">
        <v>242</v>
      </c>
      <c r="AD40" s="38" t="n">
        <v>242</v>
      </c>
      <c r="AE40" s="38" t="n">
        <v>242</v>
      </c>
      <c r="AF40" s="38" t="n">
        <v>242</v>
      </c>
      <c r="AG40" s="38" t="n">
        <v>242</v>
      </c>
      <c r="AH40" s="38" t="n">
        <v>242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308.93</v>
      </c>
      <c r="C41" s="35" t="n">
        <v>362.03</v>
      </c>
      <c r="D41" s="35" t="n">
        <v>281.93</v>
      </c>
      <c r="E41" s="35" t="n">
        <v>329.99</v>
      </c>
      <c r="F41" s="35" t="n">
        <v>314.02</v>
      </c>
      <c r="G41" s="35" t="n">
        <v>314.02</v>
      </c>
      <c r="H41" s="35" t="n">
        <v>389.84</v>
      </c>
      <c r="I41" s="35" t="n">
        <v>314.02</v>
      </c>
      <c r="J41" s="35" t="n">
        <v>540.8200000000001</v>
      </c>
      <c r="K41" s="35" t="n">
        <v>341.02</v>
      </c>
      <c r="L41" s="35" t="n">
        <v>314.02</v>
      </c>
      <c r="M41" s="35" t="n">
        <v>361.42</v>
      </c>
      <c r="N41" s="36">
        <f>SUM(B41:M41)</f>
        <v/>
      </c>
      <c r="O41" s="37" t="n">
        <v>169.69</v>
      </c>
      <c r="P41" s="37" t="n">
        <v>344.25</v>
      </c>
      <c r="Q41" s="37" t="n">
        <v>355.64</v>
      </c>
      <c r="R41" s="37" t="n">
        <v>190.59</v>
      </c>
      <c r="S41" s="37" t="n">
        <v>537.84</v>
      </c>
      <c r="T41" s="37" t="n">
        <v>192.13</v>
      </c>
      <c r="U41" s="37" t="n">
        <v>640</v>
      </c>
      <c r="V41" s="38" t="n">
        <v>298</v>
      </c>
      <c r="W41" s="38" t="n">
        <v>298</v>
      </c>
      <c r="X41" s="38" t="n">
        <v>298</v>
      </c>
      <c r="Y41" s="38" t="n">
        <v>298</v>
      </c>
      <c r="Z41" s="38" t="n">
        <v>298</v>
      </c>
      <c r="AA41" s="36">
        <f>SUM(O41:U41)</f>
        <v/>
      </c>
      <c r="AB41" s="36">
        <f>SUM(O41:Z41)</f>
        <v/>
      </c>
      <c r="AC41" s="38" t="n">
        <v>298</v>
      </c>
      <c r="AD41" s="38" t="n">
        <v>298</v>
      </c>
      <c r="AE41" s="38" t="n">
        <v>298</v>
      </c>
      <c r="AF41" s="38" t="n">
        <v>298</v>
      </c>
      <c r="AG41" s="38" t="n">
        <v>298</v>
      </c>
      <c r="AH41" s="38" t="n">
        <v>298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557.6900000000001</v>
      </c>
      <c r="C42" s="35" t="n">
        <v>106.55</v>
      </c>
      <c r="D42" s="35" t="n">
        <v>240.41</v>
      </c>
      <c r="E42" s="35" t="n">
        <v>125.88</v>
      </c>
      <c r="F42" s="35" t="n">
        <v>167.31</v>
      </c>
      <c r="G42" s="35" t="n">
        <v>183.93</v>
      </c>
      <c r="H42" s="35" t="n">
        <v>95.75999999999999</v>
      </c>
      <c r="I42" s="35" t="n">
        <v>90.22</v>
      </c>
      <c r="J42" s="35" t="n">
        <v>53.93000000000001</v>
      </c>
      <c r="K42" s="35" t="n">
        <v>168.56</v>
      </c>
      <c r="L42" s="35" t="n">
        <v>112.62</v>
      </c>
      <c r="M42" s="35" t="n">
        <v>144.07</v>
      </c>
      <c r="N42" s="36">
        <f>SUM(B42:M42)</f>
        <v/>
      </c>
      <c r="O42" s="37" t="n">
        <v>42.06</v>
      </c>
      <c r="P42" s="37" t="n">
        <v>19.49</v>
      </c>
      <c r="Q42" s="37" t="n">
        <v>296.73</v>
      </c>
      <c r="R42" s="37" t="n">
        <v>95.23999999999999</v>
      </c>
      <c r="S42" s="37" t="n">
        <v>79.67</v>
      </c>
      <c r="T42" s="37" t="n">
        <v>89.72</v>
      </c>
      <c r="U42" s="37" t="n">
        <v>126.27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54.7</v>
      </c>
      <c r="P43" s="37" t="n">
        <v>23.94</v>
      </c>
      <c r="Q43" s="37" t="n">
        <v>66.09999999999999</v>
      </c>
      <c r="R43" s="37" t="n">
        <v>71.94</v>
      </c>
      <c r="S43" s="37" t="n">
        <v>19.94</v>
      </c>
      <c r="T43" s="37" t="n">
        <v>81.72</v>
      </c>
      <c r="U43" s="37" t="n">
        <v>0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SUMIF('XSDN TB'!$R:$R,'SDN P&amp;L'!$A44,'XSDN TB'!C:C)</f>
        <v/>
      </c>
      <c r="P44" s="37">
        <f>SUMIF('XSDN TB'!$R:$R,'SDN P&amp;L'!$A44,'XSDN TB'!D:D)</f>
        <v/>
      </c>
      <c r="Q44" s="37">
        <f>SUMIF('XSDN TB'!$R:$R,'SDN P&amp;L'!$A44,'XSDN TB'!E:E)</f>
        <v/>
      </c>
      <c r="R44" s="37">
        <f>SUMIF('XSDN TB'!$R:$R,'SDN P&amp;L'!$A44,'XSDN TB'!F:F)</f>
        <v/>
      </c>
      <c r="S44" s="37">
        <f>SUMIF('XSDN TB'!$R:$R,'SDN P&amp;L'!$A44,'XSDN TB'!G:G)</f>
        <v/>
      </c>
      <c r="T44" s="37">
        <f>SUMIF('XSDN TB'!$R:$R,'SDN P&amp;L'!$A44,'XSDN TB'!H:H)</f>
        <v/>
      </c>
      <c r="U44" s="37">
        <f>SUMIF('SDN TB'!$R:$R,'SDN P&amp;L'!$A44,'SDN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57</v>
      </c>
      <c r="K45" s="35" t="n">
        <v>324.79</v>
      </c>
      <c r="L45" s="35" t="n">
        <v>0</v>
      </c>
      <c r="M45" s="35" t="n">
        <v>0</v>
      </c>
      <c r="N45" s="36">
        <f>SUM(B45:M45)</f>
        <v/>
      </c>
      <c r="O45" s="37">
        <f>SUMIF('XSDN TB'!$R:$R,'SDN P&amp;L'!$A45,'XSDN TB'!C:C)</f>
        <v/>
      </c>
      <c r="P45" s="37">
        <f>SUMIF('XSDN TB'!$R:$R,'SDN P&amp;L'!$A45,'XSDN TB'!D:D)</f>
        <v/>
      </c>
      <c r="Q45" s="37">
        <f>SUMIF('XSDN TB'!$R:$R,'SDN P&amp;L'!$A45,'XSDN TB'!E:E)</f>
        <v/>
      </c>
      <c r="R45" s="37">
        <f>SUMIF('XSDN TB'!$R:$R,'SDN P&amp;L'!$A45,'XSDN TB'!F:F)</f>
        <v/>
      </c>
      <c r="S45" s="37">
        <f>SUMIF('XSDN TB'!$R:$R,'SDN P&amp;L'!$A45,'XSDN TB'!G:G)</f>
        <v/>
      </c>
      <c r="T45" s="37">
        <f>SUMIF('XSDN TB'!$R:$R,'SDN P&amp;L'!$A45,'XSDN TB'!H:H)</f>
        <v/>
      </c>
      <c r="U45" s="37">
        <f>SUMIF('SDN TB'!$R:$R,'SDN P&amp;L'!$A45,'SDN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SUMIF('XSDN TB'!$R:$R,'SDN P&amp;L'!$A46,'XSDN TB'!C:C)</f>
        <v/>
      </c>
      <c r="P46" s="37">
        <f>SUMIF('XSDN TB'!$R:$R,'SDN P&amp;L'!$A46,'XSDN TB'!D:D)</f>
        <v/>
      </c>
      <c r="Q46" s="37">
        <f>SUMIF('XSDN TB'!$R:$R,'SDN P&amp;L'!$A46,'XSDN TB'!E:E)</f>
        <v/>
      </c>
      <c r="R46" s="37">
        <f>SUMIF('XSDN TB'!$R:$R,'SDN P&amp;L'!$A46,'XSDN TB'!F:F)</f>
        <v/>
      </c>
      <c r="S46" s="37">
        <f>SUMIF('XSDN TB'!$R:$R,'SDN P&amp;L'!$A46,'XSDN TB'!G:G)</f>
        <v/>
      </c>
      <c r="T46" s="37">
        <f>SUMIF('XSDN TB'!$R:$R,'SDN P&amp;L'!$A46,'XSDN TB'!H:H)</f>
        <v/>
      </c>
      <c r="U46" s="37">
        <f>SUMIF('SDN TB'!$R:$R,'SDN P&amp;L'!$A46,'SDN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4599.57</v>
      </c>
      <c r="C47" s="42" t="n">
        <v>4189.690000000001</v>
      </c>
      <c r="D47" s="42" t="n">
        <v>4380.84</v>
      </c>
      <c r="E47" s="42" t="n">
        <v>3961.160000000001</v>
      </c>
      <c r="F47" s="42" t="n">
        <v>3620.88</v>
      </c>
      <c r="G47" s="42" t="n">
        <v>3208.64</v>
      </c>
      <c r="H47" s="42" t="n">
        <v>3015.21</v>
      </c>
      <c r="I47" s="42" t="n">
        <v>3271.94</v>
      </c>
      <c r="J47" s="42" t="n">
        <v>3097.08</v>
      </c>
      <c r="K47" s="42" t="n">
        <v>3583.78</v>
      </c>
      <c r="L47" s="42" t="n">
        <v>3334.71</v>
      </c>
      <c r="M47" s="42" t="n">
        <v>2666.58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39870.21</v>
      </c>
      <c r="C48" s="23" t="n">
        <v>38016.25</v>
      </c>
      <c r="D48" s="23" t="n">
        <v>34190.15</v>
      </c>
      <c r="E48" s="23" t="n">
        <v>37973.64</v>
      </c>
      <c r="F48" s="23" t="n">
        <v>43252.06</v>
      </c>
      <c r="G48" s="23" t="n">
        <v>35757.02</v>
      </c>
      <c r="H48" s="23" t="n">
        <v>36085.92</v>
      </c>
      <c r="I48" s="23" t="n">
        <v>33834.38</v>
      </c>
      <c r="J48" s="23" t="n">
        <v>31224.38999999999</v>
      </c>
      <c r="K48" s="23" t="n">
        <v>35307.81</v>
      </c>
      <c r="L48" s="23" t="n">
        <v>34001.71000000001</v>
      </c>
      <c r="M48" s="23" t="n">
        <v>36306.48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>U25+U34+U47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8862.019999999997</v>
      </c>
      <c r="C50" s="55" t="n">
        <v>20701.91</v>
      </c>
      <c r="D50" s="55" t="n">
        <v>30192.77</v>
      </c>
      <c r="E50" s="55" t="n">
        <v>14901.46</v>
      </c>
      <c r="F50" s="55" t="n">
        <v>689.0699999999924</v>
      </c>
      <c r="G50" s="55" t="n">
        <v>22657.31999999999</v>
      </c>
      <c r="H50" s="55" t="n">
        <v>35785.63</v>
      </c>
      <c r="I50" s="55" t="n">
        <v>7099.220000000008</v>
      </c>
      <c r="J50" s="55" t="n">
        <v>2010.810000000005</v>
      </c>
      <c r="K50" s="55" t="n">
        <v>-3943.790000000008</v>
      </c>
      <c r="L50" s="55" t="n">
        <v>11333.42999999999</v>
      </c>
      <c r="M50" s="55" t="n">
        <v>17465.84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SUMIF('XSDN TB'!$R:$R,'SDN P&amp;L'!$A53,'XSDN TB'!C:C)</f>
        <v/>
      </c>
      <c r="P53" s="37">
        <f>SUMIF('XSDN TB'!$R:$R,'SDN P&amp;L'!$A53,'XSDN TB'!D:D)</f>
        <v/>
      </c>
      <c r="Q53" s="37">
        <f>SUMIF('XSDN TB'!$R:$R,'SDN P&amp;L'!$A53,'XSDN TB'!E:E)</f>
        <v/>
      </c>
      <c r="R53" s="37">
        <f>SUMIF('XSDN TB'!$R:$R,'SDN P&amp;L'!$A53,'XSDN TB'!F:F)</f>
        <v/>
      </c>
      <c r="S53" s="37">
        <f>SUMIF('XSDN TB'!$R:$R,'SDN P&amp;L'!$A53,'XSDN TB'!G:G)</f>
        <v/>
      </c>
      <c r="T53" s="37">
        <f>SUMIF('XSDN TB'!$R:$R,'SDN P&amp;L'!$A53,'XSDN TB'!H:H)</f>
        <v/>
      </c>
      <c r="U53" s="37">
        <f>SUMIF('SDN TB'!$R:$R,'SDN P&amp;L'!$A53,'SDN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SUMIF('XSDN TB'!$R:$R,'SDN P&amp;L'!$A54,'XSDN TB'!C:C)</f>
        <v/>
      </c>
      <c r="P54" s="37">
        <f>SUMIF('XSDN TB'!$R:$R,'SDN P&amp;L'!$A54,'XSDN TB'!D:D)</f>
        <v/>
      </c>
      <c r="Q54" s="37">
        <f>SUMIF('XSDN TB'!$R:$R,'SDN P&amp;L'!$A54,'XSDN TB'!E:E)</f>
        <v/>
      </c>
      <c r="R54" s="37">
        <f>SUMIF('XSDN TB'!$R:$R,'SDN P&amp;L'!$A54,'XSDN TB'!F:F)</f>
        <v/>
      </c>
      <c r="S54" s="37">
        <f>SUMIF('XSDN TB'!$R:$R,'SDN P&amp;L'!$A54,'XSDN TB'!G:G)</f>
        <v/>
      </c>
      <c r="T54" s="37">
        <f>SUMIF('XSDN TB'!$R:$R,'SDN P&amp;L'!$A54,'XSDN TB'!H:H)</f>
        <v/>
      </c>
      <c r="U54" s="37">
        <f>SUMIF('SDN TB'!$R:$R,'SDN P&amp;L'!$A54,'SDN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SUMIF('XSDN TB'!$R:$R,'SDN P&amp;L'!$A55,'XSDN TB'!C:C)</f>
        <v/>
      </c>
      <c r="P55" s="37">
        <f>SUMIF('XSDN TB'!$R:$R,'SDN P&amp;L'!$A55,'XSDN TB'!D:D)</f>
        <v/>
      </c>
      <c r="Q55" s="37">
        <f>SUMIF('XSDN TB'!$R:$R,'SDN P&amp;L'!$A55,'XSDN TB'!E:E)</f>
        <v/>
      </c>
      <c r="R55" s="37">
        <f>SUMIF('XSDN TB'!$R:$R,'SDN P&amp;L'!$A55,'XSDN TB'!F:F)</f>
        <v/>
      </c>
      <c r="S55" s="37">
        <f>SUMIF('XSDN TB'!$R:$R,'SDN P&amp;L'!$A55,'XSDN TB'!G:G)</f>
        <v/>
      </c>
      <c r="T55" s="37">
        <f>SUMIF('XSDN TB'!$R:$R,'SDN P&amp;L'!$A55,'XSDN TB'!H:H)</f>
        <v/>
      </c>
      <c r="U55" s="37">
        <f>SUMIF('SDN TB'!$R:$R,'SDN P&amp;L'!$A55,'SDN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SUMIF('XSDN TB'!$R:$R,'SDN P&amp;L'!$A56,'XSDN TB'!C:C)</f>
        <v/>
      </c>
      <c r="P56" s="37">
        <f>SUMIF('XSDN TB'!$R:$R,'SDN P&amp;L'!$A56,'XSDN TB'!D:D)</f>
        <v/>
      </c>
      <c r="Q56" s="37">
        <f>SUMIF('XSDN TB'!$R:$R,'SDN P&amp;L'!$A56,'XSDN TB'!E:E)</f>
        <v/>
      </c>
      <c r="R56" s="37">
        <f>SUMIF('XSDN TB'!$R:$R,'SDN P&amp;L'!$A56,'XSDN TB'!F:F)</f>
        <v/>
      </c>
      <c r="S56" s="37">
        <f>SUMIF('XSDN TB'!$R:$R,'SDN P&amp;L'!$A56,'XSDN TB'!G:G)</f>
        <v/>
      </c>
      <c r="T56" s="37">
        <f>SUMIF('XSDN TB'!$R:$R,'SDN P&amp;L'!$A56,'XSDN TB'!H:H)</f>
        <v/>
      </c>
      <c r="U56" s="37">
        <f>SUMIF('SDN TB'!$R:$R,'SDN P&amp;L'!$A56,'SDN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348.87</v>
      </c>
      <c r="N57" s="36">
        <f>SUM(B57:M57)</f>
        <v/>
      </c>
      <c r="O57" s="37">
        <f>SUMIF('XSDN TB'!$R:$R,'SDN P&amp;L'!$A57,'XSDN TB'!C:C)</f>
        <v/>
      </c>
      <c r="P57" s="37">
        <f>SUMIF('XSDN TB'!$R:$R,'SDN P&amp;L'!$A57,'XSDN TB'!D:D)</f>
        <v/>
      </c>
      <c r="Q57" s="37">
        <f>SUMIF('XSDN TB'!$R:$R,'SDN P&amp;L'!$A57,'XSDN TB'!E:E)</f>
        <v/>
      </c>
      <c r="R57" s="37">
        <f>SUMIF('XSDN TB'!$R:$R,'SDN P&amp;L'!$A57,'XSDN TB'!F:F)</f>
        <v/>
      </c>
      <c r="S57" s="37">
        <f>SUMIF('XSDN TB'!$R:$R,'SDN P&amp;L'!$A57,'XSDN TB'!G:G)</f>
        <v/>
      </c>
      <c r="T57" s="37">
        <f>SUMIF('XSDN TB'!$R:$R,'SDN P&amp;L'!$A57,'XSDN TB'!H:H)</f>
        <v/>
      </c>
      <c r="U57" s="37">
        <f>SUMIF('SDN TB'!$R:$R,'SDN P&amp;L'!$A57,'SDN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SUMIF('XSDN TB'!$R:$R,'SDN P&amp;L'!$A58,'XSDN TB'!C:C)</f>
        <v/>
      </c>
      <c r="P58" s="37">
        <f>SUMIF('XSDN TB'!$R:$R,'SDN P&amp;L'!$A58,'XSDN TB'!D:D)</f>
        <v/>
      </c>
      <c r="Q58" s="37">
        <f>SUMIF('XSDN TB'!$R:$R,'SDN P&amp;L'!$A58,'XSDN TB'!E:E)</f>
        <v/>
      </c>
      <c r="R58" s="37">
        <f>SUMIF('XSDN TB'!$R:$R,'SDN P&amp;L'!$A58,'XSDN TB'!F:F)</f>
        <v/>
      </c>
      <c r="S58" s="37">
        <f>SUMIF('XSDN TB'!$R:$R,'SDN P&amp;L'!$A58,'XSDN TB'!G:G)</f>
        <v/>
      </c>
      <c r="T58" s="37">
        <f>SUMIF('XSDN TB'!$R:$R,'SDN P&amp;L'!$A58,'XSDN TB'!H:H)</f>
        <v/>
      </c>
      <c r="U58" s="37">
        <f>SUMIF('SDN TB'!$R:$R,'SDN P&amp;L'!$A58,'SDN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201.37</v>
      </c>
      <c r="D59" s="35" t="n">
        <v>201.37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201.37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8.58</v>
      </c>
      <c r="C60" s="35" t="n">
        <v>0</v>
      </c>
      <c r="D60" s="35" t="n">
        <v>362.21</v>
      </c>
      <c r="E60" s="35" t="n">
        <v>2.4</v>
      </c>
      <c r="F60" s="35" t="n">
        <v>1.8</v>
      </c>
      <c r="G60" s="35" t="n">
        <v>45</v>
      </c>
      <c r="H60" s="35" t="n">
        <v>20.55</v>
      </c>
      <c r="I60" s="35" t="n">
        <v>1.2</v>
      </c>
      <c r="J60" s="35" t="n">
        <v>2.4</v>
      </c>
      <c r="K60" s="35" t="n">
        <v>68.19999999999999</v>
      </c>
      <c r="L60" s="35" t="n">
        <v>2.4</v>
      </c>
      <c r="M60" s="35" t="n">
        <v>47.40000000000001</v>
      </c>
      <c r="N60" s="36">
        <f>SUM(B60:M60)</f>
        <v/>
      </c>
      <c r="O60" s="37" t="n">
        <v>79.8</v>
      </c>
      <c r="P60" s="37" t="n">
        <v>15.98</v>
      </c>
      <c r="Q60" s="37" t="n">
        <v>9.59</v>
      </c>
      <c r="R60" s="37" t="n">
        <v>-124.6</v>
      </c>
      <c r="S60" s="37" t="n">
        <v>2.4</v>
      </c>
      <c r="T60" s="37" t="n">
        <v>-20.26</v>
      </c>
      <c r="U60" s="37" t="n">
        <v>2.4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43.2</v>
      </c>
      <c r="C61" s="35" t="n">
        <v>48.88</v>
      </c>
      <c r="D61" s="35" t="n">
        <v>27.94</v>
      </c>
      <c r="E61" s="35" t="n">
        <v>5.81</v>
      </c>
      <c r="F61" s="35" t="n">
        <v>27.4</v>
      </c>
      <c r="G61" s="35" t="n">
        <v>0</v>
      </c>
      <c r="H61" s="35" t="n">
        <v>31.57</v>
      </c>
      <c r="I61" s="35" t="n">
        <v>0</v>
      </c>
      <c r="J61" s="35" t="n">
        <v>0</v>
      </c>
      <c r="K61" s="35" t="n">
        <v>18.94</v>
      </c>
      <c r="L61" s="35" t="n">
        <v>11.74</v>
      </c>
      <c r="M61" s="35" t="n">
        <v>20.97</v>
      </c>
      <c r="N61" s="36">
        <f>SUM(B61:M61)</f>
        <v/>
      </c>
      <c r="O61" s="37">
        <f>SUMIF('XSDN TB'!$R:$R,'SDN P&amp;L'!$A61,'XSDN TB'!C:C)</f>
        <v/>
      </c>
      <c r="P61" s="37">
        <f>SUMIF('XSDN TB'!$R:$R,'SDN P&amp;L'!$A61,'XSDN TB'!D:D)</f>
        <v/>
      </c>
      <c r="Q61" s="37">
        <f>SUMIF('XSDN TB'!$R:$R,'SDN P&amp;L'!$A61,'XSDN TB'!E:E)</f>
        <v/>
      </c>
      <c r="R61" s="37">
        <f>SUMIF('XSDN TB'!$R:$R,'SDN P&amp;L'!$A61,'XSDN TB'!F:F)</f>
        <v/>
      </c>
      <c r="S61" s="37">
        <f>SUMIF('XSDN TB'!$R:$R,'SDN P&amp;L'!$A61,'XSDN TB'!G:G)</f>
        <v/>
      </c>
      <c r="T61" s="37">
        <f>SUMIF('XSDN TB'!$R:$R,'SDN P&amp;L'!$A61,'XSDN TB'!H:H)</f>
        <v/>
      </c>
      <c r="U61" s="37">
        <f>SUMIF('SDN TB'!$R:$R,'SDN P&amp;L'!$A61,'SDN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61.95</v>
      </c>
      <c r="D62" s="35" t="n">
        <v>0</v>
      </c>
      <c r="E62" s="35" t="n">
        <v>12.1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21.7</v>
      </c>
      <c r="N62" s="36">
        <f>SUM(B62:M62)</f>
        <v/>
      </c>
      <c r="O62" s="37">
        <f>SUMIF('XSDN TB'!$R:$R,'SDN P&amp;L'!$A62,'XSDN TB'!C:C)</f>
        <v/>
      </c>
      <c r="P62" s="37">
        <f>SUMIF('XSDN TB'!$R:$R,'SDN P&amp;L'!$A62,'XSDN TB'!D:D)</f>
        <v/>
      </c>
      <c r="Q62" s="37">
        <f>SUMIF('XSDN TB'!$R:$R,'SDN P&amp;L'!$A62,'XSDN TB'!E:E)</f>
        <v/>
      </c>
      <c r="R62" s="37">
        <f>SUMIF('XSDN TB'!$R:$R,'SDN P&amp;L'!$A62,'XSDN TB'!F:F)</f>
        <v/>
      </c>
      <c r="S62" s="37">
        <f>SUMIF('XSDN TB'!$R:$R,'SDN P&amp;L'!$A62,'XSDN TB'!G:G)</f>
        <v/>
      </c>
      <c r="T62" s="37">
        <f>SUMIF('XSDN TB'!$R:$R,'SDN P&amp;L'!$A62,'XSDN TB'!H:H)</f>
        <v/>
      </c>
      <c r="U62" s="37">
        <f>SUMIF('SDN TB'!$R:$R,'SDN P&amp;L'!$A62,'SDN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SUMIF('XSDN TB'!$R:$R,'SDN P&amp;L'!$A63,'XSDN TB'!C:C)</f>
        <v/>
      </c>
      <c r="P63" s="37">
        <f>SUMIF('XSDN TB'!$R:$R,'SDN P&amp;L'!$A63,'XSDN TB'!D:D)</f>
        <v/>
      </c>
      <c r="Q63" s="37">
        <f>SUMIF('XSDN TB'!$R:$R,'SDN P&amp;L'!$A63,'XSDN TB'!E:E)</f>
        <v/>
      </c>
      <c r="R63" s="37">
        <f>SUMIF('XSDN TB'!$R:$R,'SDN P&amp;L'!$A63,'XSDN TB'!F:F)</f>
        <v/>
      </c>
      <c r="S63" s="37">
        <f>SUMIF('XSDN TB'!$R:$R,'SDN P&amp;L'!$A63,'XSDN TB'!G:G)</f>
        <v/>
      </c>
      <c r="T63" s="37">
        <f>SUMIF('XSDN TB'!$R:$R,'SDN P&amp;L'!$A63,'XSDN TB'!H:H)</f>
        <v/>
      </c>
      <c r="U63" s="37">
        <f>SUMIF('SDN TB'!$R:$R,'SDN P&amp;L'!$A63,'SDN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SUMIF('XSDN TB'!$R:$R,'SDN P&amp;L'!$A64,'XSDN TB'!C:C)</f>
        <v/>
      </c>
      <c r="P64" s="37">
        <f>SUMIF('XSDN TB'!$R:$R,'SDN P&amp;L'!$A64,'XSDN TB'!D:D)</f>
        <v/>
      </c>
      <c r="Q64" s="37">
        <f>SUMIF('XSDN TB'!$R:$R,'SDN P&amp;L'!$A64,'XSDN TB'!E:E)</f>
        <v/>
      </c>
      <c r="R64" s="37">
        <f>SUMIF('XSDN TB'!$R:$R,'SDN P&amp;L'!$A64,'XSDN TB'!F:F)</f>
        <v/>
      </c>
      <c r="S64" s="37">
        <f>SUMIF('XSDN TB'!$R:$R,'SDN P&amp;L'!$A64,'XSDN TB'!G:G)</f>
        <v/>
      </c>
      <c r="T64" s="37">
        <f>SUMIF('XSDN TB'!$R:$R,'SDN P&amp;L'!$A64,'XSDN TB'!H:H)</f>
        <v/>
      </c>
      <c r="U64" s="37">
        <f>SUMIF('SDN TB'!$R:$R,'SDN P&amp;L'!$A64,'SDN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SUMIF('XSDN TB'!$R:$R,'SDN P&amp;L'!$A65,'XSDN TB'!C:C)</f>
        <v/>
      </c>
      <c r="P65" s="37">
        <f>SUMIF('XSDN TB'!$R:$R,'SDN P&amp;L'!$A65,'XSDN TB'!D:D)</f>
        <v/>
      </c>
      <c r="Q65" s="37">
        <f>SUMIF('XSDN TB'!$R:$R,'SDN P&amp;L'!$A65,'XSDN TB'!E:E)</f>
        <v/>
      </c>
      <c r="R65" s="37">
        <f>SUMIF('XSDN TB'!$R:$R,'SDN P&amp;L'!$A65,'XSDN TB'!F:F)</f>
        <v/>
      </c>
      <c r="S65" s="37">
        <f>SUMIF('XSDN TB'!$R:$R,'SDN P&amp;L'!$A65,'XSDN TB'!G:G)</f>
        <v/>
      </c>
      <c r="T65" s="37">
        <f>SUMIF('XSDN TB'!$R:$R,'SDN P&amp;L'!$A65,'XSDN TB'!H:H)</f>
        <v/>
      </c>
      <c r="U65" s="37">
        <f>SUMIF('SDN TB'!$R:$R,'SDN P&amp;L'!$A65,'SDN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SUMIF('XSDN TB'!$R:$R,'SDN P&amp;L'!$A66,'XSDN TB'!C:C)</f>
        <v/>
      </c>
      <c r="P66" s="37">
        <f>SUMIF('XSDN TB'!$R:$R,'SDN P&amp;L'!$A66,'XSDN TB'!D:D)</f>
        <v/>
      </c>
      <c r="Q66" s="37">
        <f>SUMIF('XSDN TB'!$R:$R,'SDN P&amp;L'!$A66,'XSDN TB'!E:E)</f>
        <v/>
      </c>
      <c r="R66" s="37">
        <f>SUMIF('XSDN TB'!$R:$R,'SDN P&amp;L'!$A66,'XSDN TB'!F:F)</f>
        <v/>
      </c>
      <c r="S66" s="37">
        <f>SUMIF('XSDN TB'!$R:$R,'SDN P&amp;L'!$A66,'XSDN TB'!G:G)</f>
        <v/>
      </c>
      <c r="T66" s="37">
        <f>SUMIF('XSDN TB'!$R:$R,'SDN P&amp;L'!$A66,'XSDN TB'!H:H)</f>
        <v/>
      </c>
      <c r="U66" s="37">
        <f>SUMIF('SDN TB'!$R:$R,'SDN P&amp;L'!$A66,'SDN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SUMIF('XSDN TB'!$R:$R,'SDN P&amp;L'!$A67,'XSDN TB'!C:C)</f>
        <v/>
      </c>
      <c r="P67" s="37">
        <f>SUMIF('XSDN TB'!$R:$R,'SDN P&amp;L'!$A67,'XSDN TB'!D:D)</f>
        <v/>
      </c>
      <c r="Q67" s="37">
        <f>SUMIF('XSDN TB'!$R:$R,'SDN P&amp;L'!$A67,'XSDN TB'!E:E)</f>
        <v/>
      </c>
      <c r="R67" s="37">
        <f>SUMIF('XSDN TB'!$R:$R,'SDN P&amp;L'!$A67,'XSDN TB'!F:F)</f>
        <v/>
      </c>
      <c r="S67" s="37">
        <f>SUMIF('XSDN TB'!$R:$R,'SDN P&amp;L'!$A67,'XSDN TB'!G:G)</f>
        <v/>
      </c>
      <c r="T67" s="37">
        <f>SUMIF('XSDN TB'!$R:$R,'SDN P&amp;L'!$A67,'XSDN TB'!H:H)</f>
        <v/>
      </c>
      <c r="U67" s="37">
        <f>SUMIF('SDN TB'!$R:$R,'SDN P&amp;L'!$A67,'SDN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SUMIF('XSDN TB'!$R:$R,'SDN P&amp;L'!$A68,'XSDN TB'!C:C)</f>
        <v/>
      </c>
      <c r="P68" s="37">
        <f>SUMIF('XSDN TB'!$R:$R,'SDN P&amp;L'!$A68,'XSDN TB'!D:D)</f>
        <v/>
      </c>
      <c r="Q68" s="37">
        <f>SUMIF('XSDN TB'!$R:$R,'SDN P&amp;L'!$A68,'XSDN TB'!E:E)</f>
        <v/>
      </c>
      <c r="R68" s="37">
        <f>SUMIF('XSDN TB'!$R:$R,'SDN P&amp;L'!$A68,'XSDN TB'!F:F)</f>
        <v/>
      </c>
      <c r="S68" s="37">
        <f>SUMIF('XSDN TB'!$R:$R,'SDN P&amp;L'!$A68,'XSDN TB'!G:G)</f>
        <v/>
      </c>
      <c r="T68" s="37">
        <f>SUMIF('XSDN TB'!$R:$R,'SDN P&amp;L'!$A68,'XSDN TB'!H:H)</f>
        <v/>
      </c>
      <c r="U68" s="37">
        <f>SUMIF('SDN TB'!$R:$R,'SDN P&amp;L'!$A68,'SDN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253.16</v>
      </c>
      <c r="C69" s="42" t="n">
        <v>312.2</v>
      </c>
      <c r="D69" s="42" t="n">
        <v>591.52</v>
      </c>
      <c r="E69" s="42" t="n">
        <v>221.69</v>
      </c>
      <c r="F69" s="42" t="n">
        <v>230.58</v>
      </c>
      <c r="G69" s="42" t="n">
        <v>246.38</v>
      </c>
      <c r="H69" s="42" t="n">
        <v>253.5</v>
      </c>
      <c r="I69" s="42" t="n">
        <v>202.58</v>
      </c>
      <c r="J69" s="42" t="n">
        <v>203.77</v>
      </c>
      <c r="K69" s="42" t="n">
        <v>301.94</v>
      </c>
      <c r="L69" s="42" t="n">
        <v>228.94</v>
      </c>
      <c r="M69" s="42" t="n">
        <v>653.7400000000001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8608.859999999997</v>
      </c>
      <c r="C70" s="55" t="n">
        <v>20389.71</v>
      </c>
      <c r="D70" s="55" t="n">
        <v>29601.25</v>
      </c>
      <c r="E70" s="55" t="n">
        <v>14679.77</v>
      </c>
      <c r="F70" s="55" t="n">
        <v>458.4899999999924</v>
      </c>
      <c r="G70" s="55" t="n">
        <v>22410.93999999999</v>
      </c>
      <c r="H70" s="55" t="n">
        <v>35532.13</v>
      </c>
      <c r="I70" s="55" t="n">
        <v>6896.640000000009</v>
      </c>
      <c r="J70" s="55" t="n">
        <v>1807.040000000005</v>
      </c>
      <c r="K70" s="55" t="n">
        <v>-4245.730000000008</v>
      </c>
      <c r="L70" s="55" t="n">
        <v>11104.48999999999</v>
      </c>
      <c r="M70" s="55" t="n">
        <v>16812.09999999999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2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60" t="inlineStr">
        <is>
          <t>Direct - Sales</t>
        </is>
      </c>
      <c r="B74" s="60" t="n">
        <v>48732.23</v>
      </c>
      <c r="C74" s="60" t="n">
        <v>58718.16</v>
      </c>
      <c r="D74" s="60" t="n">
        <v>64382.92</v>
      </c>
      <c r="E74" s="60" t="n">
        <v>52875.1</v>
      </c>
      <c r="F74" s="60" t="n">
        <v>43941.13</v>
      </c>
      <c r="G74" s="60" t="n">
        <v>58414.34</v>
      </c>
      <c r="H74" s="60" t="n">
        <v>71871.55</v>
      </c>
      <c r="I74" s="60" t="n">
        <v>40933.60000000001</v>
      </c>
      <c r="J74" s="60" t="n">
        <v>33235.2</v>
      </c>
      <c r="K74" s="60" t="n">
        <v>31364.02</v>
      </c>
      <c r="L74" s="60" t="n">
        <v>45335.14</v>
      </c>
      <c r="M74" s="8" t="n"/>
      <c r="N74" s="8" t="n"/>
      <c r="O74" s="60">
        <f>-SUMIF('XSDN TB'!$T:$T,'SDN P&amp;L'!$A74,'XSDN TB'!C:C)</f>
        <v/>
      </c>
      <c r="P74" s="60">
        <f>-SUMIF('XSDN TB'!$T:$T,'SDN P&amp;L'!$A74,'XSDN TB'!D:D)</f>
        <v/>
      </c>
      <c r="Q74" s="60">
        <f>-SUMIF('XSDN TB'!$T:$T,'SDN P&amp;L'!$A74,'XSDN TB'!E:E)</f>
        <v/>
      </c>
      <c r="R74" s="60">
        <f>-SUMIF('XSDN TB'!$T:$T,'SDN P&amp;L'!$A74,'XSDN TB'!F:F)</f>
        <v/>
      </c>
      <c r="S74" s="60">
        <f>-SUMIF('XSDN TB'!$T:$T,'SDN P&amp;L'!$A74,'XSDN TB'!G:G)</f>
        <v/>
      </c>
      <c r="T74" s="60">
        <f>-SUMIF('XSDN TB'!$T:$T,'SDN P&amp;L'!$A74,'XSDN TB'!H:H)</f>
        <v/>
      </c>
      <c r="U74" s="60">
        <f>-SUMIF('XSDN TB'!$T:$T,'SDN P&amp;L'!$A74,'XSDN TB'!I:I)</f>
        <v/>
      </c>
      <c r="V74" s="60">
        <f>-SUMIF('XSDN TB'!$T:$T,'SDN P&amp;L'!$A74,'XSDN TB'!J:J)</f>
        <v/>
      </c>
      <c r="W74" s="60">
        <f>-SUMIF('XSDN TB'!$T:$T,'SDN P&amp;L'!$A74,'XSDN TB'!K:K)</f>
        <v/>
      </c>
      <c r="X74" s="60">
        <f>-SUMIF('XSDN TB'!$T:$T,'SDN P&amp;L'!$A74,'XSDN TB'!L:L)</f>
        <v/>
      </c>
      <c r="Y74" s="60">
        <f>-SUMIF('XSDN TB'!$T:$T,'SDN P&amp;L'!$A74,'XSDN TB'!M:M)</f>
        <v/>
      </c>
      <c r="Z74" s="60">
        <f>-SUMIF('XSDN TB'!$T:$T,'SDN P&amp;L'!$A74,'XSDN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Direct - Staff Cost</t>
        </is>
      </c>
      <c r="B75" s="18" t="n">
        <v>-33262.49</v>
      </c>
      <c r="C75" s="18" t="n">
        <v>-30865.36</v>
      </c>
      <c r="D75" s="18" t="n">
        <v>-27697.74</v>
      </c>
      <c r="E75" s="18" t="n">
        <v>-31873.07</v>
      </c>
      <c r="F75" s="18" t="n">
        <v>-36902.71000000001</v>
      </c>
      <c r="G75" s="18" t="n">
        <v>-30037.63</v>
      </c>
      <c r="H75" s="18" t="n">
        <v>-30604.08</v>
      </c>
      <c r="I75" s="18" t="n">
        <v>-28328.26</v>
      </c>
      <c r="J75" s="18" t="n">
        <v>-26280.16999999999</v>
      </c>
      <c r="K75" s="18" t="n">
        <v>-29836.96</v>
      </c>
      <c r="L75" s="18" t="n">
        <v>-28754.76000000001</v>
      </c>
      <c r="M75" s="18" t="n"/>
      <c r="N75" s="8" t="n"/>
      <c r="O75" s="60">
        <f>-SUMIF('XSDN TB'!$T:$T,'SDN P&amp;L'!$A75,'XSDN TB'!C:C)</f>
        <v/>
      </c>
      <c r="P75" s="60">
        <f>-SUMIF('XSDN TB'!$T:$T,'SDN P&amp;L'!$A75,'XSDN TB'!D:D)</f>
        <v/>
      </c>
      <c r="Q75" s="60">
        <f>-SUMIF('XSDN TB'!$T:$T,'SDN P&amp;L'!$A75,'XSDN TB'!E:E)</f>
        <v/>
      </c>
      <c r="R75" s="60">
        <f>-SUMIF('XSDN TB'!$T:$T,'SDN P&amp;L'!$A75,'XSDN TB'!F:F)</f>
        <v/>
      </c>
      <c r="S75" s="60">
        <f>-SUMIF('XSDN TB'!$T:$T,'SDN P&amp;L'!$A75,'XSDN TB'!G:G)</f>
        <v/>
      </c>
      <c r="T75" s="60">
        <f>-SUMIF('XSDN TB'!$T:$T,'SDN P&amp;L'!$A75,'XSDN TB'!H:H)</f>
        <v/>
      </c>
      <c r="U75" s="60">
        <f>-SUMIF('XSDN TB'!$T:$T,'SDN P&amp;L'!$A75,'XSDN TB'!I:I)</f>
        <v/>
      </c>
      <c r="V75" s="60">
        <f>-SUMIF('XSDN TB'!$T:$T,'SDN P&amp;L'!$A75,'XSDN TB'!J:J)</f>
        <v/>
      </c>
      <c r="W75" s="60">
        <f>-SUMIF('XSDN TB'!$T:$T,'SDN P&amp;L'!$A75,'XSDN TB'!K:K)</f>
        <v/>
      </c>
      <c r="X75" s="60">
        <f>-SUMIF('XSDN TB'!$T:$T,'SDN P&amp;L'!$A75,'XSDN TB'!L:L)</f>
        <v/>
      </c>
      <c r="Y75" s="60">
        <f>-SUMIF('XSDN TB'!$T:$T,'SDN P&amp;L'!$A75,'XSDN TB'!M:M)</f>
        <v/>
      </c>
      <c r="Z75" s="60">
        <f>-SUMIF('XSDN TB'!$T:$T,'SDN P&amp;L'!$A75,'XSDN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60" t="inlineStr">
        <is>
          <t>Direct - Childcare Cost</t>
        </is>
      </c>
      <c r="B76" s="18" t="n">
        <v>-2008.15</v>
      </c>
      <c r="C76" s="18" t="n">
        <v>-2961.2</v>
      </c>
      <c r="D76" s="18" t="n">
        <v>-2111.57</v>
      </c>
      <c r="E76" s="18" t="n">
        <v>-2139.41</v>
      </c>
      <c r="F76" s="18" t="n">
        <v>-2728.47</v>
      </c>
      <c r="G76" s="18" t="n">
        <v>-2510.75</v>
      </c>
      <c r="H76" s="18" t="n">
        <v>-2466.63</v>
      </c>
      <c r="I76" s="18" t="n">
        <v>-2234.18</v>
      </c>
      <c r="J76" s="18" t="n">
        <v>-1847.14</v>
      </c>
      <c r="K76" s="18" t="n">
        <v>-1887.07</v>
      </c>
      <c r="L76" s="18" t="n">
        <v>-1912.24</v>
      </c>
      <c r="M76" s="18" t="n">
        <v>-1506</v>
      </c>
      <c r="N76" s="8" t="n"/>
      <c r="O76" s="60">
        <f>-SUMIF('XSDN TB'!$T:$T,'SDN P&amp;L'!$A76,'XSDN TB'!C:C)</f>
        <v/>
      </c>
      <c r="P76" s="60">
        <f>-SUMIF('XSDN TB'!$T:$T,'SDN P&amp;L'!$A76,'XSDN TB'!D:D)</f>
        <v/>
      </c>
      <c r="Q76" s="60">
        <f>-SUMIF('XSDN TB'!$T:$T,'SDN P&amp;L'!$A76,'XSDN TB'!E:E)</f>
        <v/>
      </c>
      <c r="R76" s="60">
        <f>-SUMIF('XSDN TB'!$T:$T,'SDN P&amp;L'!$A76,'XSDN TB'!F:F)</f>
        <v/>
      </c>
      <c r="S76" s="60">
        <f>-SUMIF('XSDN TB'!$T:$T,'SDN P&amp;L'!$A76,'XSDN TB'!G:G)</f>
        <v/>
      </c>
      <c r="T76" s="60">
        <f>-SUMIF('XSDN TB'!$T:$T,'SDN P&amp;L'!$A76,'XSDN TB'!H:H)</f>
        <v/>
      </c>
      <c r="U76" s="60">
        <f>-SUMIF('XSDN TB'!$T:$T,'SDN P&amp;L'!$A76,'XSDN TB'!I:I)</f>
        <v/>
      </c>
      <c r="V76" s="60">
        <f>-SUMIF('XSDN TB'!$T:$T,'SDN P&amp;L'!$A76,'XSDN TB'!J:J)</f>
        <v/>
      </c>
      <c r="W76" s="60">
        <f>-SUMIF('XSDN TB'!$T:$T,'SDN P&amp;L'!$A76,'XSDN TB'!K:K)</f>
        <v/>
      </c>
      <c r="X76" s="60">
        <f>-SUMIF('XSDN TB'!$T:$T,'SDN P&amp;L'!$A76,'XSDN TB'!L:L)</f>
        <v/>
      </c>
      <c r="Y76" s="60">
        <f>-SUMIF('XSDN TB'!$T:$T,'SDN P&amp;L'!$A76,'XSDN TB'!M:M)</f>
        <v/>
      </c>
      <c r="Z76" s="60">
        <f>-SUMIF('XSDN TB'!$T:$T,'SDN P&amp;L'!$A76,'XSDN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Direct - Premises &amp; Admin</t>
        </is>
      </c>
      <c r="B77" s="18" t="n">
        <v>-4599.569999999999</v>
      </c>
      <c r="C77" s="18" t="n">
        <v>-4189.69</v>
      </c>
      <c r="D77" s="18" t="n">
        <v>-4380.840000000001</v>
      </c>
      <c r="E77" s="18" t="n">
        <v>-3961.16</v>
      </c>
      <c r="F77" s="18" t="n">
        <v>-3620.88</v>
      </c>
      <c r="G77" s="18" t="n">
        <v>-3208.64</v>
      </c>
      <c r="H77" s="18" t="n">
        <v>-3015.21</v>
      </c>
      <c r="I77" s="18" t="n">
        <v>-3271.94</v>
      </c>
      <c r="J77" s="18" t="n">
        <v>-3097.08</v>
      </c>
      <c r="K77" s="18" t="n">
        <v>-3583.78</v>
      </c>
      <c r="L77" s="18" t="n">
        <v>-3334.71</v>
      </c>
      <c r="M77" s="18" t="n">
        <v>-2666.58</v>
      </c>
      <c r="N77" s="8" t="n"/>
      <c r="O77" s="60">
        <f>-SUMIF('XSDN TB'!$T:$T,'SDN P&amp;L'!$A77,'XSDN TB'!C:C)</f>
        <v/>
      </c>
      <c r="P77" s="60">
        <f>-SUMIF('XSDN TB'!$T:$T,'SDN P&amp;L'!$A77,'XSDN TB'!D:D)</f>
        <v/>
      </c>
      <c r="Q77" s="60">
        <f>-SUMIF('XSDN TB'!$T:$T,'SDN P&amp;L'!$A77,'XSDN TB'!E:E)</f>
        <v/>
      </c>
      <c r="R77" s="60">
        <f>-SUMIF('XSDN TB'!$T:$T,'SDN P&amp;L'!$A77,'XSDN TB'!F:F)</f>
        <v/>
      </c>
      <c r="S77" s="60">
        <f>-SUMIF('XSDN TB'!$T:$T,'SDN P&amp;L'!$A77,'XSDN TB'!G:G)</f>
        <v/>
      </c>
      <c r="T77" s="60">
        <f>-SUMIF('XSDN TB'!$T:$T,'SDN P&amp;L'!$A77,'XSDN TB'!H:H)</f>
        <v/>
      </c>
      <c r="U77" s="60">
        <f>-SUMIF('XSDN TB'!$T:$T,'SDN P&amp;L'!$A77,'XSDN TB'!I:I)</f>
        <v/>
      </c>
      <c r="V77" s="60">
        <f>-SUMIF('XSDN TB'!$T:$T,'SDN P&amp;L'!$A77,'XSDN TB'!J:J)</f>
        <v/>
      </c>
      <c r="W77" s="60">
        <f>-SUMIF('XSDN TB'!$T:$T,'SDN P&amp;L'!$A77,'XSDN TB'!K:K)</f>
        <v/>
      </c>
      <c r="X77" s="60">
        <f>-SUMIF('XSDN TB'!$T:$T,'SDN P&amp;L'!$A77,'XSDN TB'!L:L)</f>
        <v/>
      </c>
      <c r="Y77" s="60">
        <f>-SUMIF('XSDN TB'!$T:$T,'SDN P&amp;L'!$A77,'XSDN TB'!M:M)</f>
        <v/>
      </c>
      <c r="Z77" s="60">
        <f>-SUMIF('XSDN TB'!$T:$T,'SDN P&amp;L'!$A77,'XSDN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-SUMIF('XSDN TB'!$T:$T,'SDN P&amp;L'!$A78,'XSDN TB'!C:C)</f>
        <v/>
      </c>
      <c r="P78" s="60">
        <f>-SUMIF('XSDN TB'!$T:$T,'SDN P&amp;L'!$A78,'XSDN TB'!D:D)</f>
        <v/>
      </c>
      <c r="Q78" s="60">
        <f>-SUMIF('XSDN TB'!$T:$T,'SDN P&amp;L'!$A78,'XSDN TB'!E:E)</f>
        <v/>
      </c>
      <c r="R78" s="60">
        <f>-SUMIF('XSDN TB'!$T:$T,'SDN P&amp;L'!$A78,'XSDN TB'!F:F)</f>
        <v/>
      </c>
      <c r="S78" s="60">
        <f>-SUMIF('XSDN TB'!$T:$T,'SDN P&amp;L'!$A78,'XSDN TB'!G:G)</f>
        <v/>
      </c>
      <c r="T78" s="60">
        <f>-SUMIF('XSDN TB'!$T:$T,'SDN P&amp;L'!$A78,'XSDN TB'!H:H)</f>
        <v/>
      </c>
      <c r="U78" s="60">
        <f>-SUMIF('XSDN TB'!$T:$T,'SDN P&amp;L'!$A78,'XSDN TB'!I:I)</f>
        <v/>
      </c>
      <c r="V78" s="60">
        <f>-SUMIF('XSDN TB'!$T:$T,'SDN P&amp;L'!$A78,'XSDN TB'!J:J)</f>
        <v/>
      </c>
      <c r="W78" s="60">
        <f>-SUMIF('XSDN TB'!$T:$T,'SDN P&amp;L'!$A78,'XSDN TB'!K:K)</f>
        <v/>
      </c>
      <c r="X78" s="60">
        <f>-SUMIF('XSDN TB'!$T:$T,'SDN P&amp;L'!$A78,'XSDN TB'!L:L)</f>
        <v/>
      </c>
      <c r="Y78" s="60">
        <f>-SUMIF('XSDN TB'!$T:$T,'SDN P&amp;L'!$A78,'XSDN TB'!M:M)</f>
        <v/>
      </c>
      <c r="Z78" s="60">
        <f>-SUMIF('XSDN TB'!$T:$T,'SDN P&amp;L'!$A78,'XSDN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60" t="inlineStr">
        <is>
          <t>In-Direct - Overheads</t>
        </is>
      </c>
      <c r="B79" s="18" t="n">
        <v>-253.16</v>
      </c>
      <c r="C79" s="18" t="n">
        <v>-312.2</v>
      </c>
      <c r="D79" s="18" t="n">
        <v>-591.52</v>
      </c>
      <c r="E79" s="18" t="n">
        <v>-221.69</v>
      </c>
      <c r="F79" s="18" t="n">
        <v>-230.58</v>
      </c>
      <c r="G79" s="18" t="n">
        <v>-246.38</v>
      </c>
      <c r="H79" s="18" t="n">
        <v>-253.5</v>
      </c>
      <c r="I79" s="18" t="n">
        <v>-202.58</v>
      </c>
      <c r="J79" s="18" t="n">
        <v>-203.77</v>
      </c>
      <c r="K79" s="18" t="n">
        <v>-301.94</v>
      </c>
      <c r="L79" s="18" t="n">
        <v>-228.94</v>
      </c>
      <c r="M79" s="18" t="n">
        <v>-653.7400000000001</v>
      </c>
      <c r="N79" s="8" t="n"/>
      <c r="O79" s="60">
        <f>-SUMIF('XSDN TB'!$T:$T,'SDN P&amp;L'!$A79,'XSDN TB'!C:C)</f>
        <v/>
      </c>
      <c r="P79" s="60">
        <f>-SUMIF('XSDN TB'!$T:$T,'SDN P&amp;L'!$A79,'XSDN TB'!D:D)</f>
        <v/>
      </c>
      <c r="Q79" s="60">
        <f>-SUMIF('XSDN TB'!$T:$T,'SDN P&amp;L'!$A79,'XSDN TB'!E:E)</f>
        <v/>
      </c>
      <c r="R79" s="60">
        <f>-SUMIF('XSDN TB'!$T:$T,'SDN P&amp;L'!$A79,'XSDN TB'!F:F)</f>
        <v/>
      </c>
      <c r="S79" s="60">
        <f>-SUMIF('XSDN TB'!$T:$T,'SDN P&amp;L'!$A79,'XSDN TB'!G:G)</f>
        <v/>
      </c>
      <c r="T79" s="60">
        <f>-SUMIF('XSDN TB'!$T:$T,'SDN P&amp;L'!$A79,'XSDN TB'!H:H)</f>
        <v/>
      </c>
      <c r="U79" s="60">
        <f>-SUMIF('XSDN TB'!$T:$T,'SDN P&amp;L'!$A79,'XSDN TB'!I:I)</f>
        <v/>
      </c>
      <c r="V79" s="60">
        <f>-SUMIF('XSDN TB'!$T:$T,'SDN P&amp;L'!$A79,'XSDN TB'!J:J)</f>
        <v/>
      </c>
      <c r="W79" s="60">
        <f>-SUMIF('XSDN TB'!$T:$T,'SDN P&amp;L'!$A79,'XSDN TB'!K:K)</f>
        <v/>
      </c>
      <c r="X79" s="60">
        <f>-SUMIF('XSDN TB'!$T:$T,'SDN P&amp;L'!$A79,'XSDN TB'!L:L)</f>
        <v/>
      </c>
      <c r="Y79" s="60">
        <f>-SUMIF('XSDN TB'!$T:$T,'SDN P&amp;L'!$A79,'XSDN TB'!M:M)</f>
        <v/>
      </c>
      <c r="Z79" s="60">
        <f>-SUMIF('XSDN TB'!$T:$T,'SDN P&amp;L'!$A79,'XSDN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67" t="n">
        <v>8608.860000000001</v>
      </c>
      <c r="C80" s="67" t="n">
        <v>20389.71000000001</v>
      </c>
      <c r="D80" s="67" t="n">
        <v>29601.24999999999</v>
      </c>
      <c r="E80" s="67" t="n">
        <v>14679.77</v>
      </c>
      <c r="F80" s="67" t="n">
        <v>458.4899999999906</v>
      </c>
      <c r="G80" s="67" t="n">
        <v>22410.94</v>
      </c>
      <c r="H80" s="67" t="n">
        <v>35532.13</v>
      </c>
      <c r="I80" s="67" t="n">
        <v>6896.640000000007</v>
      </c>
      <c r="J80" s="67" t="n">
        <v>1807.040000000002</v>
      </c>
      <c r="K80" s="67" t="n">
        <v>-4245.730000000005</v>
      </c>
      <c r="L80" s="67" t="n">
        <v>11104.48999999999</v>
      </c>
      <c r="M80" s="67" t="n">
        <v>-4826.32</v>
      </c>
      <c r="N80" s="8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0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1.818989403545856e-12</v>
      </c>
      <c r="G81" s="18" t="n">
        <v>0</v>
      </c>
      <c r="H81" s="18" t="n">
        <v>0</v>
      </c>
      <c r="I81" s="18" t="n">
        <v>0</v>
      </c>
      <c r="J81" s="18" t="n">
        <v>2.728484105318785e-12</v>
      </c>
      <c r="K81" s="18" t="n">
        <v>0</v>
      </c>
      <c r="L81" s="18" t="n">
        <v>0</v>
      </c>
      <c r="M81" s="18" t="n">
        <v>21638.41999999999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-2.216893335571513e-12</v>
      </c>
      <c r="G83" s="18" t="n">
        <v>0</v>
      </c>
      <c r="H83" s="18" t="n">
        <v>0</v>
      </c>
      <c r="I83" s="18" t="n">
        <v>0</v>
      </c>
      <c r="J83" s="18" t="n">
        <v>3.637978807091713e-12</v>
      </c>
      <c r="K83" s="18" t="n">
        <v>0</v>
      </c>
      <c r="L83" s="18" t="n">
        <v>0</v>
      </c>
      <c r="M83" s="18" t="n">
        <v>-21638.42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18" t="n">
        <v>-8608.859999999995</v>
      </c>
      <c r="C84" s="18" t="n">
        <v>-20389.71</v>
      </c>
      <c r="D84" s="18" t="n">
        <v>-29601.25</v>
      </c>
      <c r="E84" s="18" t="n">
        <v>-14679.76999999999</v>
      </c>
      <c r="F84" s="18" t="n">
        <v>-458.4899999999928</v>
      </c>
      <c r="G84" s="18" t="n">
        <v>-22410.94</v>
      </c>
      <c r="H84" s="18" t="n">
        <v>-35532.13</v>
      </c>
      <c r="I84" s="18" t="n">
        <v>-6896.640000000008</v>
      </c>
      <c r="J84" s="18" t="n">
        <v>-1807.039999999999</v>
      </c>
      <c r="K84" s="18" t="n">
        <v>4245.730000000003</v>
      </c>
      <c r="L84" s="18" t="n">
        <v>-11104.48999999999</v>
      </c>
      <c r="M84" s="18" t="n">
        <v>-16812.1</v>
      </c>
      <c r="N84" s="8" t="n"/>
      <c r="O84" s="60">
        <f>SUM('XSDN TB'!C2:C42)</f>
        <v/>
      </c>
      <c r="P84" s="60">
        <f>SUM('XSDN TB'!D2:D42)</f>
        <v/>
      </c>
      <c r="Q84" s="60">
        <f>SUM('XSDN TB'!E2:E42)</f>
        <v/>
      </c>
      <c r="R84" s="60">
        <f>SUM('XSDN TB'!F2:F42)</f>
        <v/>
      </c>
      <c r="S84" s="60">
        <f>SUM('XSDN TB'!G2:G42)</f>
        <v/>
      </c>
      <c r="T84" s="60">
        <f>SUM('XSDN TB'!H2:H42)</f>
        <v/>
      </c>
      <c r="U84" s="60">
        <f>SUM('XSDN TB'!I2:I42)</f>
        <v/>
      </c>
      <c r="V84" s="60">
        <f>SUM('XSDN TB'!J2:J42)</f>
        <v/>
      </c>
      <c r="W84" s="60">
        <f>SUM('XSDN TB'!K2:K42)</f>
        <v/>
      </c>
      <c r="X84" s="60">
        <f>SUM('XSDN TB'!L2:L42)</f>
        <v/>
      </c>
      <c r="Y84" s="60">
        <f>SUM('XSDN TB'!M2:M42)</f>
        <v/>
      </c>
      <c r="Z84" s="60">
        <f>SUM('XSDN TB'!N2:N42)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Steppingstones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47272.73</v>
      </c>
      <c r="C8" s="35" t="n">
        <v>41439.07</v>
      </c>
      <c r="D8" s="35" t="n">
        <v>47933.15</v>
      </c>
      <c r="E8" s="35" t="n">
        <v>50993.37</v>
      </c>
      <c r="F8" s="35" t="n">
        <v>45605.89</v>
      </c>
      <c r="G8" s="35" t="n">
        <v>43338.36</v>
      </c>
      <c r="H8" s="35" t="n">
        <v>49651.73</v>
      </c>
      <c r="I8" s="35" t="n">
        <v>45155.16</v>
      </c>
      <c r="J8" s="35" t="n">
        <v>35763.55</v>
      </c>
      <c r="K8" s="35" t="n">
        <v>37137.94</v>
      </c>
      <c r="L8" s="35" t="n">
        <v>34126.29</v>
      </c>
      <c r="M8" s="35" t="n">
        <v>43136.03</v>
      </c>
      <c r="N8" s="36">
        <f>SUM(B8:M8)</f>
        <v/>
      </c>
      <c r="O8" s="37" t="n">
        <v>39923</v>
      </c>
      <c r="P8" s="37" t="n">
        <v>37444.52</v>
      </c>
      <c r="Q8" s="37" t="n">
        <v>38993.25999999999</v>
      </c>
      <c r="R8" s="37" t="n">
        <v>44955.40999999999</v>
      </c>
      <c r="S8" s="37" t="n">
        <v>36870.75999999999</v>
      </c>
      <c r="T8" s="37" t="n">
        <v>38820.41</v>
      </c>
      <c r="U8" s="37" t="n">
        <v>49058.80000000001</v>
      </c>
      <c r="V8" s="38" t="n">
        <v>43415.66</v>
      </c>
      <c r="W8" s="38" t="n">
        <v>26102</v>
      </c>
      <c r="X8" s="38" t="n">
        <v>22884</v>
      </c>
      <c r="Y8" s="38" t="n">
        <v>22464</v>
      </c>
      <c r="Z8" s="38" t="n">
        <v>31756</v>
      </c>
      <c r="AA8" s="36">
        <f>SUM(O8:U8)</f>
        <v/>
      </c>
      <c r="AB8" s="36">
        <f>SUM(O8:Z8)</f>
        <v/>
      </c>
      <c r="AC8" s="38" t="n">
        <v>42836.88</v>
      </c>
      <c r="AD8" s="38" t="n">
        <v>32424.51</v>
      </c>
      <c r="AE8" s="38" t="n">
        <v>55090.04</v>
      </c>
      <c r="AF8" s="38" t="n">
        <v>42857.01</v>
      </c>
      <c r="AG8" s="38" t="n">
        <v>43360.87</v>
      </c>
      <c r="AH8" s="38" t="n">
        <v>39588.43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13845.22</v>
      </c>
      <c r="C9" s="35" t="n">
        <v>13845.22</v>
      </c>
      <c r="D9" s="35" t="n">
        <v>14298.7</v>
      </c>
      <c r="E9" s="35" t="n">
        <v>12728.52</v>
      </c>
      <c r="F9" s="35" t="n">
        <v>12728.52</v>
      </c>
      <c r="G9" s="35" t="n">
        <v>12728.53</v>
      </c>
      <c r="H9" s="35" t="n">
        <v>23643.93</v>
      </c>
      <c r="I9" s="35" t="n">
        <v>0</v>
      </c>
      <c r="J9" s="35" t="n">
        <v>11531.5</v>
      </c>
      <c r="K9" s="35" t="n">
        <v>11531.5</v>
      </c>
      <c r="L9" s="35" t="n">
        <v>26935.88999999999</v>
      </c>
      <c r="M9" s="35" t="n">
        <v>27141.4</v>
      </c>
      <c r="N9" s="36">
        <f>SUM(B9:M9)</f>
        <v/>
      </c>
      <c r="O9" s="37" t="n">
        <v>19933.58</v>
      </c>
      <c r="P9" s="37" t="n">
        <v>19933.58</v>
      </c>
      <c r="Q9" s="37" t="n">
        <v>31311.67</v>
      </c>
      <c r="R9" s="37" t="n">
        <v>17938.48</v>
      </c>
      <c r="S9" s="37" t="n">
        <v>17938.48</v>
      </c>
      <c r="T9" s="37" t="n">
        <v>32496.22</v>
      </c>
      <c r="U9" s="37" t="n">
        <v>22791.06</v>
      </c>
      <c r="V9" s="38" t="n">
        <v>0</v>
      </c>
      <c r="W9" s="38" t="n">
        <v>18438</v>
      </c>
      <c r="X9" s="38" t="n">
        <v>22151</v>
      </c>
      <c r="Y9" s="38" t="n">
        <v>21981</v>
      </c>
      <c r="Z9" s="38" t="n">
        <v>9840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2971.91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-SUMIF('SST TB'!$R:$R,'SST P&amp;L'!$A10,'SST TB'!C:C)</f>
        <v/>
      </c>
      <c r="P10" s="37">
        <f>-SUMIF('SST TB'!$R:$R,'SST P&amp;L'!$A10,'SST TB'!D:D)</f>
        <v/>
      </c>
      <c r="Q10" s="37">
        <f>-SUMIF('SST TB'!$R:$R,'SST P&amp;L'!$A10,'SST TB'!E:E)</f>
        <v/>
      </c>
      <c r="R10" s="37">
        <f>-SUMIF('SST TB'!$R:$R,'SST P&amp;L'!$A10,'SST TB'!F:F)</f>
        <v/>
      </c>
      <c r="S10" s="37">
        <f>-SUMIF('SST TB'!$R:$R,'SST P&amp;L'!$A10,'SST TB'!G:G)</f>
        <v/>
      </c>
      <c r="T10" s="37">
        <f>-SUMIF('SST TB'!$R:$R,'SST P&amp;L'!$A10,'SST TB'!H:H)</f>
        <v/>
      </c>
      <c r="U10" s="37">
        <f>-SUMIF('SST TB'!$R:$R,'SST P&amp;L'!$A10,'SST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61117.95</v>
      </c>
      <c r="C11" s="42" t="n">
        <v>55284.29</v>
      </c>
      <c r="D11" s="42" t="n">
        <v>62231.85</v>
      </c>
      <c r="E11" s="42" t="n">
        <v>63721.89</v>
      </c>
      <c r="F11" s="42" t="n">
        <v>58334.41</v>
      </c>
      <c r="G11" s="42" t="n">
        <v>56066.89</v>
      </c>
      <c r="H11" s="42" t="n">
        <v>73295.66</v>
      </c>
      <c r="I11" s="42" t="n">
        <v>48127.07000000001</v>
      </c>
      <c r="J11" s="42" t="n">
        <v>47295.05</v>
      </c>
      <c r="K11" s="42" t="n">
        <v>48669.44</v>
      </c>
      <c r="L11" s="42" t="n">
        <v>61062.17999999999</v>
      </c>
      <c r="M11" s="42" t="n">
        <v>70277.42999999999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21607.1</v>
      </c>
      <c r="C16" s="35" t="n">
        <v>18599.12</v>
      </c>
      <c r="D16" s="35" t="n">
        <v>18828.61</v>
      </c>
      <c r="E16" s="35" t="n">
        <v>30196.38</v>
      </c>
      <c r="F16" s="35" t="n">
        <v>21271.92</v>
      </c>
      <c r="G16" s="35" t="n">
        <v>21185.22</v>
      </c>
      <c r="H16" s="35" t="n">
        <v>20748.59</v>
      </c>
      <c r="I16" s="35" t="n">
        <v>15728.54</v>
      </c>
      <c r="J16" s="35" t="n">
        <v>13769.68</v>
      </c>
      <c r="K16" s="35" t="n">
        <v>21655.25</v>
      </c>
      <c r="L16" s="35" t="n">
        <v>23068.26</v>
      </c>
      <c r="M16" s="35" t="n">
        <v>25028.67</v>
      </c>
      <c r="N16" s="36">
        <f>SUM(B16:M16)</f>
        <v/>
      </c>
      <c r="O16" s="37" t="n">
        <v>26176.86</v>
      </c>
      <c r="P16" s="37" t="n">
        <v>22930.94</v>
      </c>
      <c r="Q16" s="37" t="n">
        <v>24582.34</v>
      </c>
      <c r="R16" s="37" t="n">
        <v>27353.04</v>
      </c>
      <c r="S16" s="37" t="n">
        <v>25209.56</v>
      </c>
      <c r="T16" s="37" t="n">
        <v>23332.22</v>
      </c>
      <c r="U16" s="37" t="n">
        <v>23764.36</v>
      </c>
      <c r="V16" s="38" t="n">
        <v>23764.36</v>
      </c>
      <c r="W16" s="38" t="n">
        <v>23764.36</v>
      </c>
      <c r="X16" s="38" t="n">
        <v>23764.36</v>
      </c>
      <c r="Y16" s="38" t="n">
        <v>23764.36</v>
      </c>
      <c r="Z16" s="38" t="n">
        <v>23764.36</v>
      </c>
      <c r="AA16" s="36">
        <f>SUM(O16:U16)</f>
        <v/>
      </c>
      <c r="AB16" s="36">
        <f>SUM(O16:Z16)</f>
        <v/>
      </c>
      <c r="AC16" s="38" t="n">
        <v>23764.36</v>
      </c>
      <c r="AD16" s="38" t="n">
        <v>23764.36</v>
      </c>
      <c r="AE16" s="38" t="n">
        <v>23764.36</v>
      </c>
      <c r="AF16" s="38" t="n">
        <v>23764.36</v>
      </c>
      <c r="AG16" s="38" t="n">
        <v>23764.36</v>
      </c>
      <c r="AH16" s="38" t="n">
        <v>23764.36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1518.87</v>
      </c>
      <c r="C17" s="35" t="n">
        <v>1465.4</v>
      </c>
      <c r="D17" s="35" t="n">
        <v>1387.39</v>
      </c>
      <c r="E17" s="35" t="n">
        <v>3382.54</v>
      </c>
      <c r="F17" s="35" t="n">
        <v>2202.22</v>
      </c>
      <c r="G17" s="35" t="n">
        <v>2183.99</v>
      </c>
      <c r="H17" s="35" t="n">
        <v>2079.75</v>
      </c>
      <c r="I17" s="35" t="n">
        <v>1659.35</v>
      </c>
      <c r="J17" s="35" t="n">
        <v>1486.66</v>
      </c>
      <c r="K17" s="35" t="n">
        <v>2384.28</v>
      </c>
      <c r="L17" s="35" t="n">
        <v>2508.07</v>
      </c>
      <c r="M17" s="35" t="n">
        <v>2817.56</v>
      </c>
      <c r="N17" s="36">
        <f>SUM(B17:M17)</f>
        <v/>
      </c>
      <c r="O17" s="37" t="n">
        <v>3017.58</v>
      </c>
      <c r="P17" s="37" t="n">
        <v>2430.94</v>
      </c>
      <c r="Q17" s="37" t="n">
        <v>2706.76</v>
      </c>
      <c r="R17" s="37" t="n">
        <v>3088.37</v>
      </c>
      <c r="S17" s="37" t="n">
        <v>2683.21</v>
      </c>
      <c r="T17" s="37" t="n">
        <v>2439.34</v>
      </c>
      <c r="U17" s="37" t="n">
        <v>2504.85</v>
      </c>
      <c r="V17" s="38" t="n">
        <v>2504.85</v>
      </c>
      <c r="W17" s="38" t="n">
        <v>2504.85</v>
      </c>
      <c r="X17" s="38" t="n">
        <v>2504.85</v>
      </c>
      <c r="Y17" s="38" t="n">
        <v>2504.85</v>
      </c>
      <c r="Z17" s="38" t="n">
        <v>2504.85</v>
      </c>
      <c r="AA17" s="36">
        <f>SUM(O17:U17)</f>
        <v/>
      </c>
      <c r="AB17" s="36">
        <f>SUM(O17:Z17)</f>
        <v/>
      </c>
      <c r="AC17" s="38" t="n">
        <v>2504.85</v>
      </c>
      <c r="AD17" s="38" t="n">
        <v>2504.85</v>
      </c>
      <c r="AE17" s="38" t="n">
        <v>2504.85</v>
      </c>
      <c r="AF17" s="38" t="n">
        <v>2504.85</v>
      </c>
      <c r="AG17" s="38" t="n">
        <v>2504.85</v>
      </c>
      <c r="AH17" s="38" t="n">
        <v>2504.85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380.15</v>
      </c>
      <c r="C18" s="35" t="n">
        <v>368.53</v>
      </c>
      <c r="D18" s="35" t="n">
        <v>351.56</v>
      </c>
      <c r="E18" s="35" t="n">
        <v>312.94</v>
      </c>
      <c r="F18" s="35" t="n">
        <v>271.31</v>
      </c>
      <c r="G18" s="35" t="n">
        <v>268.31</v>
      </c>
      <c r="H18" s="35" t="n">
        <v>299.41</v>
      </c>
      <c r="I18" s="35" t="n">
        <v>266.04</v>
      </c>
      <c r="J18" s="35" t="n">
        <v>278.77</v>
      </c>
      <c r="K18" s="35" t="n">
        <v>424.36</v>
      </c>
      <c r="L18" s="35" t="n">
        <v>387.08</v>
      </c>
      <c r="M18" s="35" t="n">
        <v>532.5699999999999</v>
      </c>
      <c r="N18" s="36">
        <f>SUM(B18:M18)</f>
        <v/>
      </c>
      <c r="O18" s="37" t="n">
        <v>572.58</v>
      </c>
      <c r="P18" s="37" t="n">
        <v>409.34</v>
      </c>
      <c r="Q18" s="37" t="n">
        <v>367.99</v>
      </c>
      <c r="R18" s="37" t="n">
        <v>468.86</v>
      </c>
      <c r="S18" s="37" t="n">
        <v>505.71</v>
      </c>
      <c r="T18" s="37" t="n">
        <v>456.92</v>
      </c>
      <c r="U18" s="37" t="n">
        <v>417</v>
      </c>
      <c r="V18" s="38" t="n">
        <v>417</v>
      </c>
      <c r="W18" s="38" t="n">
        <v>417</v>
      </c>
      <c r="X18" s="38" t="n">
        <v>417</v>
      </c>
      <c r="Y18" s="38" t="n">
        <v>417</v>
      </c>
      <c r="Z18" s="38" t="n">
        <v>417</v>
      </c>
      <c r="AA18" s="36">
        <f>SUM(O18:U18)</f>
        <v/>
      </c>
      <c r="AB18" s="36">
        <f>SUM(O18:Z18)</f>
        <v/>
      </c>
      <c r="AC18" s="38" t="n">
        <v>417</v>
      </c>
      <c r="AD18" s="38" t="n">
        <v>417</v>
      </c>
      <c r="AE18" s="38" t="n">
        <v>417</v>
      </c>
      <c r="AF18" s="38" t="n">
        <v>417</v>
      </c>
      <c r="AG18" s="38" t="n">
        <v>417</v>
      </c>
      <c r="AH18" s="38" t="n">
        <v>417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186.12</v>
      </c>
      <c r="C19" s="35" t="n">
        <v>0</v>
      </c>
      <c r="D19" s="35" t="n">
        <v>0</v>
      </c>
      <c r="E19" s="35" t="n">
        <v>67.02</v>
      </c>
      <c r="F19" s="35" t="n">
        <v>0</v>
      </c>
      <c r="G19" s="35" t="n">
        <v>0</v>
      </c>
      <c r="H19" s="35" t="n">
        <v>72.54000000000001</v>
      </c>
      <c r="I19" s="35" t="n">
        <v>0</v>
      </c>
      <c r="J19" s="35" t="n">
        <v>120</v>
      </c>
      <c r="K19" s="35" t="n">
        <v>0</v>
      </c>
      <c r="L19" s="35" t="n">
        <v>128.76</v>
      </c>
      <c r="M19" s="35" t="n">
        <v>0</v>
      </c>
      <c r="N19" s="36">
        <f>SUM(B19:M19)</f>
        <v/>
      </c>
      <c r="O19" s="37" t="n">
        <v>0</v>
      </c>
      <c r="P19" s="37" t="n">
        <v>0</v>
      </c>
      <c r="Q19" s="37" t="n">
        <v>141.3</v>
      </c>
      <c r="R19" s="37" t="n">
        <v>122.4</v>
      </c>
      <c r="S19" s="37" t="n">
        <v>22.72</v>
      </c>
      <c r="T19" s="37" t="n">
        <v>173.22</v>
      </c>
      <c r="U19" s="37" t="n">
        <v>0</v>
      </c>
      <c r="V19" s="38" t="n">
        <v>60</v>
      </c>
      <c r="W19" s="38" t="n">
        <v>60</v>
      </c>
      <c r="X19" s="38" t="n">
        <v>60</v>
      </c>
      <c r="Y19" s="38" t="n">
        <v>60</v>
      </c>
      <c r="Z19" s="38" t="n">
        <v>60</v>
      </c>
      <c r="AA19" s="36">
        <f>SUM(O19:U19)</f>
        <v/>
      </c>
      <c r="AB19" s="36">
        <f>SUM(O19:Z19)</f>
        <v/>
      </c>
      <c r="AC19" s="38" t="n">
        <v>60</v>
      </c>
      <c r="AD19" s="38" t="n">
        <v>60</v>
      </c>
      <c r="AE19" s="38" t="n">
        <v>60</v>
      </c>
      <c r="AF19" s="38" t="n">
        <v>60</v>
      </c>
      <c r="AG19" s="38" t="n">
        <v>60</v>
      </c>
      <c r="AH19" s="38" t="n">
        <v>60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139.2</v>
      </c>
      <c r="F20" s="35" t="n">
        <v>48</v>
      </c>
      <c r="G20" s="35" t="n">
        <v>164.4</v>
      </c>
      <c r="H20" s="35" t="n">
        <v>0</v>
      </c>
      <c r="I20" s="35" t="n">
        <v>115.2</v>
      </c>
      <c r="J20" s="35" t="n">
        <v>0</v>
      </c>
      <c r="K20" s="35" t="n">
        <v>0</v>
      </c>
      <c r="L20" s="35" t="n">
        <v>403.2</v>
      </c>
      <c r="M20" s="35" t="n">
        <v>0</v>
      </c>
      <c r="N20" s="36">
        <f>SUM(B20:M20)</f>
        <v/>
      </c>
      <c r="O20" s="37" t="n">
        <v>192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7" t="n">
        <v>0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106.99</v>
      </c>
      <c r="C21" s="35" t="n">
        <v>173.03</v>
      </c>
      <c r="D21" s="35" t="n">
        <v>86.29000000000001</v>
      </c>
      <c r="E21" s="35" t="n">
        <v>113.6</v>
      </c>
      <c r="F21" s="35" t="n">
        <v>155.62</v>
      </c>
      <c r="G21" s="35" t="n">
        <v>91.43000000000001</v>
      </c>
      <c r="H21" s="35" t="n">
        <v>58.88</v>
      </c>
      <c r="I21" s="35" t="n">
        <v>85.14</v>
      </c>
      <c r="J21" s="35" t="n">
        <v>67.09999999999999</v>
      </c>
      <c r="K21" s="35" t="n">
        <v>62.73</v>
      </c>
      <c r="L21" s="35" t="n">
        <v>40.9</v>
      </c>
      <c r="M21" s="35" t="n">
        <v>86.56</v>
      </c>
      <c r="N21" s="36">
        <f>SUM(B21:M21)</f>
        <v/>
      </c>
      <c r="O21" s="37" t="n">
        <v>0</v>
      </c>
      <c r="P21" s="37" t="n">
        <v>48.03</v>
      </c>
      <c r="Q21" s="37" t="n">
        <v>55.61</v>
      </c>
      <c r="R21" s="37" t="n">
        <v>14</v>
      </c>
      <c r="S21" s="37" t="n">
        <v>69.87</v>
      </c>
      <c r="T21" s="37" t="n">
        <v>106.05</v>
      </c>
      <c r="U21" s="37" t="n">
        <v>207.57</v>
      </c>
      <c r="V21" s="38" t="n">
        <v>120</v>
      </c>
      <c r="W21" s="38" t="n">
        <v>120</v>
      </c>
      <c r="X21" s="38" t="n">
        <v>120</v>
      </c>
      <c r="Y21" s="38" t="n">
        <v>120</v>
      </c>
      <c r="Z21" s="38" t="n">
        <v>120</v>
      </c>
      <c r="AA21" s="36">
        <f>SUM(O21:U21)</f>
        <v/>
      </c>
      <c r="AB21" s="36">
        <f>SUM(O21:Z21)</f>
        <v/>
      </c>
      <c r="AC21" s="38" t="n">
        <v>120</v>
      </c>
      <c r="AD21" s="38" t="n">
        <v>120</v>
      </c>
      <c r="AE21" s="38" t="n">
        <v>120</v>
      </c>
      <c r="AF21" s="38" t="n">
        <v>120</v>
      </c>
      <c r="AG21" s="38" t="n">
        <v>120</v>
      </c>
      <c r="AH21" s="38" t="n">
        <v>120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4169.88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 t="n">
        <v>0</v>
      </c>
      <c r="P22" s="37" t="n">
        <v>4800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26.99</v>
      </c>
      <c r="I23" s="35" t="n">
        <v>0</v>
      </c>
      <c r="J23" s="35" t="n">
        <v>64.36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SUMIF('SST TB'!$R:$R,'SST P&amp;L'!$A23,'SST TB'!C:C)</f>
        <v/>
      </c>
      <c r="P23" s="37">
        <f>SUMIF('SST TB'!$R:$R,'SST P&amp;L'!$A23,'SST TB'!D:D)</f>
        <v/>
      </c>
      <c r="Q23" s="37">
        <f>SUMIF('SST TB'!$R:$R,'SST P&amp;L'!$A23,'SST TB'!E:E)</f>
        <v/>
      </c>
      <c r="R23" s="37">
        <f>SUMIF('SST TB'!$R:$R,'SST P&amp;L'!$A23,'SST TB'!F:F)</f>
        <v/>
      </c>
      <c r="S23" s="37">
        <f>SUMIF('SST TB'!$R:$R,'SST P&amp;L'!$A23,'SST TB'!G:G)</f>
        <v/>
      </c>
      <c r="T23" s="37">
        <f>SUMIF('SST TB'!$R:$R,'SST P&amp;L'!$A23,'SST TB'!H:H)</f>
        <v/>
      </c>
      <c r="U23" s="37">
        <f>SUMIF('SST TB'!$R:$R,'SST P&amp;L'!$A23,'SST TB'!I:I)</f>
        <v/>
      </c>
      <c r="V23" s="38" t="n">
        <v>50</v>
      </c>
      <c r="W23" s="38" t="n">
        <v>50</v>
      </c>
      <c r="X23" s="38" t="n">
        <v>50</v>
      </c>
      <c r="Y23" s="38" t="n">
        <v>50</v>
      </c>
      <c r="Z23" s="38" t="n">
        <v>50</v>
      </c>
      <c r="AA23" s="36">
        <f>SUM(O23:U23)</f>
        <v/>
      </c>
      <c r="AB23" s="36">
        <f>SUM(O23:Z23)</f>
        <v/>
      </c>
      <c r="AC23" s="38" t="n">
        <v>50</v>
      </c>
      <c r="AD23" s="38" t="n">
        <v>50</v>
      </c>
      <c r="AE23" s="38" t="n">
        <v>50</v>
      </c>
      <c r="AF23" s="38" t="n">
        <v>50</v>
      </c>
      <c r="AG23" s="38" t="n">
        <v>50</v>
      </c>
      <c r="AH23" s="38" t="n">
        <v>50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SUMIF('SST TB'!$R:$R,'SST P&amp;L'!$A24,'SST TB'!C:C)</f>
        <v/>
      </c>
      <c r="P24" s="37">
        <f>SUMIF('SST TB'!$R:$R,'SST P&amp;L'!$A24,'SST TB'!D:D)</f>
        <v/>
      </c>
      <c r="Q24" s="37">
        <f>SUMIF('SST TB'!$R:$R,'SST P&amp;L'!$A24,'SST TB'!E:E)</f>
        <v/>
      </c>
      <c r="R24" s="37">
        <f>SUMIF('SST TB'!$R:$R,'SST P&amp;L'!$A24,'SST TB'!F:F)</f>
        <v/>
      </c>
      <c r="S24" s="37">
        <f>SUMIF('SST TB'!$R:$R,'SST P&amp;L'!$A24,'SST TB'!G:G)</f>
        <v/>
      </c>
      <c r="T24" s="37">
        <f>SUMIF('SST TB'!$R:$R,'SST P&amp;L'!$A24,'SST TB'!H:H)</f>
        <v/>
      </c>
      <c r="U24" s="37">
        <f>SUMIF('SST TB'!$R:$R,'SST P&amp;L'!$A24,'SST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23799.23</v>
      </c>
      <c r="C25" s="42" t="n">
        <v>20606.08</v>
      </c>
      <c r="D25" s="42" t="n">
        <v>20653.85</v>
      </c>
      <c r="E25" s="42" t="n">
        <v>38381.55999999999</v>
      </c>
      <c r="F25" s="42" t="n">
        <v>23949.07</v>
      </c>
      <c r="G25" s="42" t="n">
        <v>23893.35</v>
      </c>
      <c r="H25" s="42" t="n">
        <v>23286.16</v>
      </c>
      <c r="I25" s="42" t="n">
        <v>17854.27</v>
      </c>
      <c r="J25" s="42" t="n">
        <v>15786.57</v>
      </c>
      <c r="K25" s="42" t="n">
        <v>24526.62</v>
      </c>
      <c r="L25" s="42" t="n">
        <v>26536.27</v>
      </c>
      <c r="M25" s="42" t="n">
        <v>28465.36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1976.95</v>
      </c>
      <c r="C27" s="35" t="n">
        <v>1443.01</v>
      </c>
      <c r="D27" s="35" t="n">
        <v>1187.18</v>
      </c>
      <c r="E27" s="35" t="n">
        <v>1138.34</v>
      </c>
      <c r="F27" s="35" t="n">
        <v>584.17</v>
      </c>
      <c r="G27" s="35" t="n">
        <v>1127.49</v>
      </c>
      <c r="H27" s="35" t="n">
        <v>937.36</v>
      </c>
      <c r="I27" s="35" t="n">
        <v>1743.46</v>
      </c>
      <c r="J27" s="35" t="n">
        <v>1146.68</v>
      </c>
      <c r="K27" s="35" t="n">
        <v>1299.82</v>
      </c>
      <c r="L27" s="35" t="n">
        <v>1334.53</v>
      </c>
      <c r="M27" s="35" t="n">
        <v>968.6700000000001</v>
      </c>
      <c r="N27" s="36">
        <f>SUM(B27:M27)</f>
        <v/>
      </c>
      <c r="O27" s="37" t="n">
        <v>1337.26</v>
      </c>
      <c r="P27" s="37" t="n">
        <v>1507.1</v>
      </c>
      <c r="Q27" s="37" t="n">
        <v>1365.06</v>
      </c>
      <c r="R27" s="37" t="n">
        <v>1339.28</v>
      </c>
      <c r="S27" s="37" t="n">
        <v>1425.53</v>
      </c>
      <c r="T27" s="37" t="n">
        <v>996.95</v>
      </c>
      <c r="U27" s="37" t="n">
        <v>1250.27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152.72</v>
      </c>
      <c r="C28" s="35" t="n">
        <v>57.08</v>
      </c>
      <c r="D28" s="35" t="n">
        <v>79.77</v>
      </c>
      <c r="E28" s="35" t="n">
        <v>114.39</v>
      </c>
      <c r="F28" s="35" t="n">
        <v>137.45</v>
      </c>
      <c r="G28" s="35" t="n">
        <v>30.35</v>
      </c>
      <c r="H28" s="35" t="n">
        <v>123.05</v>
      </c>
      <c r="I28" s="35" t="n">
        <v>2545.39</v>
      </c>
      <c r="J28" s="35" t="n">
        <v>573.58</v>
      </c>
      <c r="K28" s="35" t="n">
        <v>36.85</v>
      </c>
      <c r="L28" s="35" t="n">
        <v>46.98</v>
      </c>
      <c r="M28" s="35" t="n">
        <v>8</v>
      </c>
      <c r="N28" s="36">
        <f>SUM(B28:M28)</f>
        <v/>
      </c>
      <c r="O28" s="37" t="n">
        <v>0</v>
      </c>
      <c r="P28" s="37" t="n">
        <v>293.33</v>
      </c>
      <c r="Q28" s="37" t="n">
        <v>97.14999999999998</v>
      </c>
      <c r="R28" s="37" t="n">
        <v>12</v>
      </c>
      <c r="S28" s="37" t="n">
        <v>565.0000000000001</v>
      </c>
      <c r="T28" s="37" t="n">
        <v>118.01</v>
      </c>
      <c r="U28" s="37" t="n">
        <v>151.37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34.35</v>
      </c>
      <c r="C29" s="35" t="n">
        <v>189.07</v>
      </c>
      <c r="D29" s="35" t="n">
        <v>0</v>
      </c>
      <c r="E29" s="35" t="n">
        <v>5.94</v>
      </c>
      <c r="F29" s="35" t="n">
        <v>0</v>
      </c>
      <c r="G29" s="35" t="n">
        <v>343.1</v>
      </c>
      <c r="H29" s="35" t="n">
        <v>16.74</v>
      </c>
      <c r="I29" s="35" t="n">
        <v>0</v>
      </c>
      <c r="J29" s="35" t="n">
        <v>60.31</v>
      </c>
      <c r="K29" s="35" t="n">
        <v>159.73</v>
      </c>
      <c r="L29" s="35" t="n">
        <v>225.08</v>
      </c>
      <c r="M29" s="35" t="n">
        <v>0</v>
      </c>
      <c r="N29" s="36">
        <f>SUM(B29:M29)</f>
        <v/>
      </c>
      <c r="O29" s="37" t="n">
        <v>48.71</v>
      </c>
      <c r="P29" s="37" t="n">
        <v>0</v>
      </c>
      <c r="Q29" s="37" t="n">
        <v>163.03</v>
      </c>
      <c r="R29" s="37" t="n">
        <v>7.82</v>
      </c>
      <c r="S29" s="37" t="n">
        <v>42.65000000000001</v>
      </c>
      <c r="T29" s="37" t="n">
        <v>9.970000000000001</v>
      </c>
      <c r="U29" s="37" t="n">
        <v>111.26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0.00208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72.27000000000001</v>
      </c>
      <c r="C30" s="35" t="n">
        <v>90.23999999999999</v>
      </c>
      <c r="D30" s="35" t="n">
        <v>3.95</v>
      </c>
      <c r="E30" s="35" t="n">
        <v>20.61</v>
      </c>
      <c r="F30" s="35" t="n">
        <v>6.64</v>
      </c>
      <c r="G30" s="35" t="n">
        <v>17.43</v>
      </c>
      <c r="H30" s="35" t="n">
        <v>25.88</v>
      </c>
      <c r="I30" s="35" t="n">
        <v>0</v>
      </c>
      <c r="J30" s="35" t="n">
        <v>0</v>
      </c>
      <c r="K30" s="35" t="n">
        <v>25.42</v>
      </c>
      <c r="L30" s="35" t="n">
        <v>28.11</v>
      </c>
      <c r="M30" s="35" t="n">
        <v>0</v>
      </c>
      <c r="N30" s="36">
        <f>SUM(B30:M30)</f>
        <v/>
      </c>
      <c r="O30" s="37" t="n">
        <v>73.53</v>
      </c>
      <c r="P30" s="37" t="n">
        <v>31.81</v>
      </c>
      <c r="Q30" s="37" t="n">
        <v>74.47</v>
      </c>
      <c r="R30" s="37" t="n">
        <v>80.08</v>
      </c>
      <c r="S30" s="37" t="n">
        <v>4.74</v>
      </c>
      <c r="T30" s="37" t="n">
        <v>23.07</v>
      </c>
      <c r="U30" s="37" t="n">
        <v>31.2</v>
      </c>
      <c r="V30" s="38" t="n">
        <v>50</v>
      </c>
      <c r="W30" s="38" t="n">
        <v>50</v>
      </c>
      <c r="X30" s="38" t="n">
        <v>50</v>
      </c>
      <c r="Y30" s="38" t="n">
        <v>50</v>
      </c>
      <c r="Z30" s="38" t="n">
        <v>50</v>
      </c>
      <c r="AA30" s="36">
        <f>SUM(O30:U30)</f>
        <v/>
      </c>
      <c r="AB30" s="36">
        <f>SUM(O30:Z30)</f>
        <v/>
      </c>
      <c r="AC30" s="38" t="n">
        <v>50</v>
      </c>
      <c r="AD30" s="38" t="n">
        <v>50</v>
      </c>
      <c r="AE30" s="38" t="n">
        <v>50</v>
      </c>
      <c r="AF30" s="38" t="n">
        <v>50</v>
      </c>
      <c r="AG30" s="38" t="n">
        <v>50</v>
      </c>
      <c r="AH30" s="38" t="n">
        <v>50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61.07999999999999</v>
      </c>
      <c r="C31" s="35" t="n">
        <v>408.14</v>
      </c>
      <c r="D31" s="35" t="n">
        <v>0</v>
      </c>
      <c r="E31" s="35" t="n">
        <v>0</v>
      </c>
      <c r="F31" s="35" t="n">
        <v>0</v>
      </c>
      <c r="G31" s="35" t="n">
        <v>137.33</v>
      </c>
      <c r="H31" s="35" t="n">
        <v>0</v>
      </c>
      <c r="I31" s="35" t="n">
        <v>0</v>
      </c>
      <c r="J31" s="35" t="n">
        <v>15.49</v>
      </c>
      <c r="K31" s="35" t="n">
        <v>136.52</v>
      </c>
      <c r="L31" s="35" t="n">
        <v>87.22</v>
      </c>
      <c r="M31" s="35" t="n">
        <v>0</v>
      </c>
      <c r="N31" s="36">
        <f>SUM(B31:M31)</f>
        <v/>
      </c>
      <c r="O31" s="37" t="n">
        <v>39.37</v>
      </c>
      <c r="P31" s="37" t="n">
        <v>15.58</v>
      </c>
      <c r="Q31" s="37" t="n">
        <v>115.35</v>
      </c>
      <c r="R31" s="37" t="n">
        <v>0</v>
      </c>
      <c r="S31" s="37" t="n">
        <v>256.93</v>
      </c>
      <c r="T31" s="37" t="n">
        <v>4.99</v>
      </c>
      <c r="U31" s="37" t="n">
        <v>30.91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153.95</v>
      </c>
      <c r="C32" s="35" t="n">
        <v>25.49</v>
      </c>
      <c r="D32" s="35" t="n">
        <v>76.11</v>
      </c>
      <c r="E32" s="35" t="n">
        <v>48.42</v>
      </c>
      <c r="F32" s="35" t="n">
        <v>528.41</v>
      </c>
      <c r="G32" s="35" t="n">
        <v>177.93</v>
      </c>
      <c r="H32" s="35" t="n">
        <v>177.59</v>
      </c>
      <c r="I32" s="35" t="n">
        <v>40.88</v>
      </c>
      <c r="J32" s="35" t="n">
        <v>118.28</v>
      </c>
      <c r="K32" s="35" t="n">
        <v>171.62</v>
      </c>
      <c r="L32" s="35" t="n">
        <v>380.9999999999999</v>
      </c>
      <c r="M32" s="35" t="n">
        <v>167.87</v>
      </c>
      <c r="N32" s="36">
        <f>SUM(B32:M32)</f>
        <v/>
      </c>
      <c r="O32" s="37" t="n">
        <v>315.38</v>
      </c>
      <c r="P32" s="37" t="n">
        <v>186.04</v>
      </c>
      <c r="Q32" s="37" t="n">
        <v>197.48</v>
      </c>
      <c r="R32" s="37" t="n">
        <v>394.81</v>
      </c>
      <c r="S32" s="37" t="n">
        <v>172.38</v>
      </c>
      <c r="T32" s="37" t="n">
        <v>292.55</v>
      </c>
      <c r="U32" s="37" t="n">
        <v>349.65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SUMIF('SST TB'!$R:$R,'SST P&amp;L'!$A33,'SST TB'!C:C)</f>
        <v/>
      </c>
      <c r="P33" s="37">
        <f>SUMIF('SST TB'!$R:$R,'SST P&amp;L'!$A33,'SST TB'!D:D)</f>
        <v/>
      </c>
      <c r="Q33" s="37">
        <f>SUMIF('SST TB'!$R:$R,'SST P&amp;L'!$A33,'SST TB'!E:E)</f>
        <v/>
      </c>
      <c r="R33" s="37">
        <f>SUMIF('SST TB'!$R:$R,'SST P&amp;L'!$A33,'SST TB'!F:F)</f>
        <v/>
      </c>
      <c r="S33" s="37">
        <f>SUMIF('SST TB'!$R:$R,'SST P&amp;L'!$A33,'SST TB'!G:G)</f>
        <v/>
      </c>
      <c r="T33" s="37">
        <f>SUMIF('SST TB'!$R:$R,'SST P&amp;L'!$A33,'SST TB'!H:H)</f>
        <v/>
      </c>
      <c r="U33" s="37">
        <f>SUMIF('SST TB'!$R:$R,'SST P&amp;L'!$A33,'SST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2451.319999999999</v>
      </c>
      <c r="C34" s="42" t="n">
        <v>2213.03</v>
      </c>
      <c r="D34" s="42" t="n">
        <v>1347.01</v>
      </c>
      <c r="E34" s="42" t="n">
        <v>1327.7</v>
      </c>
      <c r="F34" s="42" t="n">
        <v>1256.67</v>
      </c>
      <c r="G34" s="42" t="n">
        <v>1833.63</v>
      </c>
      <c r="H34" s="42" t="n">
        <v>1280.62</v>
      </c>
      <c r="I34" s="42" t="n">
        <v>4329.73</v>
      </c>
      <c r="J34" s="42" t="n">
        <v>1914.34</v>
      </c>
      <c r="K34" s="42" t="n">
        <v>1829.96</v>
      </c>
      <c r="L34" s="42" t="n">
        <v>2102.92</v>
      </c>
      <c r="M34" s="42" t="n">
        <v>1144.54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SUMIF('SST TB'!$R:$R,'SST P&amp;L'!$A36,'SST TB'!C:C)</f>
        <v/>
      </c>
      <c r="P36" s="37">
        <f>SUMIF('SST TB'!$R:$R,'SST P&amp;L'!$A36,'SST TB'!D:D)</f>
        <v/>
      </c>
      <c r="Q36" s="37">
        <f>SUMIF('SST TB'!$R:$R,'SST P&amp;L'!$A36,'SST TB'!E:E)</f>
        <v/>
      </c>
      <c r="R36" s="37">
        <f>SUMIF('SST TB'!$R:$R,'SST P&amp;L'!$A36,'SST TB'!F:F)</f>
        <v/>
      </c>
      <c r="S36" s="37">
        <f>SUMIF('SST TB'!$R:$R,'SST P&amp;L'!$A36,'SST TB'!G:G)</f>
        <v/>
      </c>
      <c r="T36" s="37">
        <f>SUMIF('SST TB'!$R:$R,'SST P&amp;L'!$A36,'SST TB'!H:H)</f>
        <v/>
      </c>
      <c r="U36" s="37">
        <f>SUMIF('SST TB'!$R:$R,'SST P&amp;L'!$A36,'SST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1382.65</v>
      </c>
      <c r="C37" s="35" t="n">
        <v>1382.65</v>
      </c>
      <c r="D37" s="35" t="n">
        <v>1382.65</v>
      </c>
      <c r="E37" s="35" t="n">
        <v>1382.65</v>
      </c>
      <c r="F37" s="35" t="n">
        <v>1382.65</v>
      </c>
      <c r="G37" s="35" t="n">
        <v>1382.65</v>
      </c>
      <c r="H37" s="35" t="n">
        <v>1382.65</v>
      </c>
      <c r="I37" s="35" t="n">
        <v>1382.65</v>
      </c>
      <c r="J37" s="35" t="n">
        <v>1382.65</v>
      </c>
      <c r="K37" s="35" t="n">
        <v>1382.65</v>
      </c>
      <c r="L37" s="35" t="n">
        <v>1382.65</v>
      </c>
      <c r="M37" s="35" t="n">
        <v>1382.65</v>
      </c>
      <c r="N37" s="36">
        <f>SUM(B37:M37)</f>
        <v/>
      </c>
      <c r="O37" s="37" t="n">
        <v>1382.64</v>
      </c>
      <c r="P37" s="37" t="n">
        <v>1382.63</v>
      </c>
      <c r="Q37" s="37" t="n">
        <v>1382.63</v>
      </c>
      <c r="R37" s="37" t="n">
        <v>1500.96</v>
      </c>
      <c r="S37" s="37" t="n">
        <v>1500.96</v>
      </c>
      <c r="T37" s="37" t="n">
        <v>1500.96</v>
      </c>
      <c r="U37" s="37" t="n">
        <v>1500.96</v>
      </c>
      <c r="V37" s="38" t="n">
        <v>1500.96</v>
      </c>
      <c r="W37" s="38" t="n">
        <v>1500.96</v>
      </c>
      <c r="X37" s="38" t="n">
        <v>1500.96</v>
      </c>
      <c r="Y37" s="38" t="n">
        <v>1500.96</v>
      </c>
      <c r="Z37" s="38" t="n">
        <v>1500.96</v>
      </c>
      <c r="AA37" s="36">
        <f>SUM(O37:U37)</f>
        <v/>
      </c>
      <c r="AB37" s="36">
        <f>SUM(O37:Z37)</f>
        <v/>
      </c>
      <c r="AC37" s="38" t="n">
        <v>1500.96</v>
      </c>
      <c r="AD37" s="38" t="n">
        <v>1500.96</v>
      </c>
      <c r="AE37" s="38" t="n">
        <v>1500.96</v>
      </c>
      <c r="AF37" s="38" t="n">
        <v>1500.96</v>
      </c>
      <c r="AG37" s="38" t="n">
        <v>1500.96</v>
      </c>
      <c r="AH37" s="38" t="n">
        <v>1500.96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1570.08</v>
      </c>
      <c r="C38" s="35" t="n">
        <v>515.15</v>
      </c>
      <c r="D38" s="35" t="n">
        <v>1396.8</v>
      </c>
      <c r="E38" s="35" t="n">
        <v>1226.21</v>
      </c>
      <c r="F38" s="35" t="n">
        <v>942.79</v>
      </c>
      <c r="G38" s="35" t="n">
        <v>1589.85</v>
      </c>
      <c r="H38" s="35" t="n">
        <v>881.61</v>
      </c>
      <c r="I38" s="35" t="n">
        <v>878.34</v>
      </c>
      <c r="J38" s="35" t="n">
        <v>-105.41</v>
      </c>
      <c r="K38" s="35" t="n">
        <v>934.6199999999999</v>
      </c>
      <c r="L38" s="35" t="n">
        <v>782.97</v>
      </c>
      <c r="M38" s="35" t="n">
        <v>1267.92</v>
      </c>
      <c r="N38" s="36">
        <f>SUM(B38:M38)</f>
        <v/>
      </c>
      <c r="O38" s="37" t="n">
        <v>1165.02</v>
      </c>
      <c r="P38" s="37" t="n">
        <v>1535.61</v>
      </c>
      <c r="Q38" s="37" t="n">
        <v>964.24</v>
      </c>
      <c r="R38" s="37" t="n">
        <v>1026.99</v>
      </c>
      <c r="S38" s="37" t="n">
        <v>802.77</v>
      </c>
      <c r="T38" s="37" t="n">
        <v>584.99</v>
      </c>
      <c r="U38" s="37" t="n">
        <v>1484.64</v>
      </c>
      <c r="V38" s="38" t="n">
        <v>1038</v>
      </c>
      <c r="W38" s="38" t="n">
        <v>1038</v>
      </c>
      <c r="X38" s="38" t="n">
        <v>1038</v>
      </c>
      <c r="Y38" s="38" t="n">
        <v>1038</v>
      </c>
      <c r="Z38" s="38" t="n">
        <v>1038</v>
      </c>
      <c r="AA38" s="36">
        <f>SUM(O38:U38)</f>
        <v/>
      </c>
      <c r="AB38" s="36">
        <f>SUM(O38:Z38)</f>
        <v/>
      </c>
      <c r="AC38" s="38" t="n">
        <v>1038</v>
      </c>
      <c r="AD38" s="38" t="n">
        <v>1038</v>
      </c>
      <c r="AE38" s="38" t="n">
        <v>1038</v>
      </c>
      <c r="AF38" s="38" t="n">
        <v>1038</v>
      </c>
      <c r="AG38" s="38" t="n">
        <v>1038</v>
      </c>
      <c r="AH38" s="38" t="n">
        <v>1038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383.82</v>
      </c>
      <c r="C39" s="35" t="n">
        <v>21.9</v>
      </c>
      <c r="D39" s="35" t="n">
        <v>102.21</v>
      </c>
      <c r="E39" s="35" t="n">
        <v>9.359999999999999</v>
      </c>
      <c r="F39" s="35" t="n">
        <v>220.56</v>
      </c>
      <c r="G39" s="35" t="n">
        <v>278.76</v>
      </c>
      <c r="H39" s="35" t="n">
        <v>0</v>
      </c>
      <c r="I39" s="35" t="n">
        <v>0</v>
      </c>
      <c r="J39" s="35" t="n">
        <v>107.67</v>
      </c>
      <c r="K39" s="35" t="n">
        <v>169.3</v>
      </c>
      <c r="L39" s="35" t="n">
        <v>179.1</v>
      </c>
      <c r="M39" s="35" t="n">
        <v>428.4</v>
      </c>
      <c r="N39" s="36">
        <f>SUM(B39:M39)</f>
        <v/>
      </c>
      <c r="O39" s="37" t="n">
        <v>14.08</v>
      </c>
      <c r="P39" s="37" t="n">
        <v>548.3</v>
      </c>
      <c r="Q39" s="37" t="n">
        <v>12.58</v>
      </c>
      <c r="R39" s="37" t="n">
        <v>82.67</v>
      </c>
      <c r="S39" s="37" t="n">
        <v>20.55</v>
      </c>
      <c r="T39" s="37" t="n">
        <v>270.84</v>
      </c>
      <c r="U39" s="37" t="n">
        <v>222.69</v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310.57</v>
      </c>
      <c r="C40" s="35" t="n">
        <v>254.08</v>
      </c>
      <c r="D40" s="35" t="n">
        <v>248.65</v>
      </c>
      <c r="E40" s="35" t="n">
        <v>308.98</v>
      </c>
      <c r="F40" s="35" t="n">
        <v>101.99</v>
      </c>
      <c r="G40" s="35" t="n">
        <v>261.22</v>
      </c>
      <c r="H40" s="35" t="n">
        <v>245.36</v>
      </c>
      <c r="I40" s="35" t="n">
        <v>395.58</v>
      </c>
      <c r="J40" s="35" t="n">
        <v>143.96</v>
      </c>
      <c r="K40" s="35" t="n">
        <v>306.08</v>
      </c>
      <c r="L40" s="35" t="n">
        <v>192.07</v>
      </c>
      <c r="M40" s="35" t="n">
        <v>240.79</v>
      </c>
      <c r="N40" s="36">
        <f>SUM(B40:M40)</f>
        <v/>
      </c>
      <c r="O40" s="37" t="n">
        <v>180.35</v>
      </c>
      <c r="P40" s="37" t="n">
        <v>484.77</v>
      </c>
      <c r="Q40" s="37" t="n">
        <v>176.66</v>
      </c>
      <c r="R40" s="37" t="n">
        <v>192.3</v>
      </c>
      <c r="S40" s="37" t="n">
        <v>431.13</v>
      </c>
      <c r="T40" s="37" t="n">
        <v>252.79</v>
      </c>
      <c r="U40" s="37" t="n">
        <v>375.8000000000001</v>
      </c>
      <c r="V40" s="38" t="n">
        <v>257</v>
      </c>
      <c r="W40" s="38" t="n">
        <v>257</v>
      </c>
      <c r="X40" s="38" t="n">
        <v>257</v>
      </c>
      <c r="Y40" s="38" t="n">
        <v>257</v>
      </c>
      <c r="Z40" s="38" t="n">
        <v>257</v>
      </c>
      <c r="AA40" s="36">
        <f>SUM(O40:U40)</f>
        <v/>
      </c>
      <c r="AB40" s="36">
        <f>SUM(O40:Z40)</f>
        <v/>
      </c>
      <c r="AC40" s="38" t="n">
        <v>257</v>
      </c>
      <c r="AD40" s="38" t="n">
        <v>257</v>
      </c>
      <c r="AE40" s="38" t="n">
        <v>257</v>
      </c>
      <c r="AF40" s="38" t="n">
        <v>257</v>
      </c>
      <c r="AG40" s="38" t="n">
        <v>257</v>
      </c>
      <c r="AH40" s="38" t="n">
        <v>257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204</v>
      </c>
      <c r="C41" s="35" t="n">
        <v>247.44</v>
      </c>
      <c r="D41" s="35" t="n">
        <v>306.67</v>
      </c>
      <c r="E41" s="35" t="n">
        <v>213.65</v>
      </c>
      <c r="F41" s="35" t="n">
        <v>352.32</v>
      </c>
      <c r="G41" s="35" t="n">
        <v>369.11</v>
      </c>
      <c r="H41" s="35" t="n">
        <v>366.11</v>
      </c>
      <c r="I41" s="35" t="n">
        <v>323.55</v>
      </c>
      <c r="J41" s="35" t="n">
        <v>592.36</v>
      </c>
      <c r="K41" s="35" t="n">
        <v>323.56</v>
      </c>
      <c r="L41" s="35" t="n">
        <v>323.55</v>
      </c>
      <c r="M41" s="35" t="n">
        <v>477.7600000000001</v>
      </c>
      <c r="N41" s="36">
        <f>SUM(B41:M41)</f>
        <v/>
      </c>
      <c r="O41" s="37" t="n">
        <v>323.56</v>
      </c>
      <c r="P41" s="37" t="n">
        <v>332.86</v>
      </c>
      <c r="Q41" s="37" t="n">
        <v>436.67</v>
      </c>
      <c r="R41" s="37" t="n">
        <v>383.25</v>
      </c>
      <c r="S41" s="37" t="n">
        <v>467.92</v>
      </c>
      <c r="T41" s="37" t="n">
        <v>251.21</v>
      </c>
      <c r="U41" s="37" t="n">
        <v>428.82</v>
      </c>
      <c r="V41" s="38" t="n">
        <v>330</v>
      </c>
      <c r="W41" s="38" t="n">
        <v>330</v>
      </c>
      <c r="X41" s="38" t="n">
        <v>330</v>
      </c>
      <c r="Y41" s="38" t="n">
        <v>330</v>
      </c>
      <c r="Z41" s="38" t="n">
        <v>330</v>
      </c>
      <c r="AA41" s="36">
        <f>SUM(O41:U41)</f>
        <v/>
      </c>
      <c r="AB41" s="36">
        <f>SUM(O41:Z41)</f>
        <v/>
      </c>
      <c r="AC41" s="38" t="n">
        <v>330</v>
      </c>
      <c r="AD41" s="38" t="n">
        <v>330</v>
      </c>
      <c r="AE41" s="38" t="n">
        <v>330</v>
      </c>
      <c r="AF41" s="38" t="n">
        <v>330</v>
      </c>
      <c r="AG41" s="38" t="n">
        <v>330</v>
      </c>
      <c r="AH41" s="38" t="n">
        <v>330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51.84</v>
      </c>
      <c r="C42" s="35" t="n">
        <v>71.55</v>
      </c>
      <c r="D42" s="35" t="n">
        <v>38.53</v>
      </c>
      <c r="E42" s="35" t="n">
        <v>53.47</v>
      </c>
      <c r="F42" s="35" t="n">
        <v>25.52</v>
      </c>
      <c r="G42" s="35" t="n">
        <v>21.61</v>
      </c>
      <c r="H42" s="35" t="n">
        <v>43.68</v>
      </c>
      <c r="I42" s="35" t="n">
        <v>41.65</v>
      </c>
      <c r="J42" s="35" t="n">
        <v>40.84</v>
      </c>
      <c r="K42" s="35" t="n">
        <v>31.14</v>
      </c>
      <c r="L42" s="35" t="n">
        <v>22.14</v>
      </c>
      <c r="M42" s="35" t="n">
        <v>46.7</v>
      </c>
      <c r="N42" s="36">
        <f>SUM(B42:M42)</f>
        <v/>
      </c>
      <c r="O42" s="37" t="n">
        <v>31.84</v>
      </c>
      <c r="P42" s="37" t="n">
        <v>36.52</v>
      </c>
      <c r="Q42" s="37" t="n">
        <v>40.32</v>
      </c>
      <c r="R42" s="37" t="n">
        <v>21.9</v>
      </c>
      <c r="S42" s="37" t="n">
        <v>53.64999999999999</v>
      </c>
      <c r="T42" s="37" t="n">
        <v>30.78</v>
      </c>
      <c r="U42" s="37" t="n">
        <v>59.51000000000001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108</v>
      </c>
      <c r="Q43" s="37" t="n">
        <v>18</v>
      </c>
      <c r="R43" s="37" t="n">
        <v>0</v>
      </c>
      <c r="S43" s="37" t="n">
        <v>0</v>
      </c>
      <c r="T43" s="37" t="n">
        <v>0</v>
      </c>
      <c r="U43" s="37" t="n">
        <v>0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SUMIF('SST TB'!$R:$R,'SST P&amp;L'!$A44,'SST TB'!C:C)</f>
        <v/>
      </c>
      <c r="P44" s="37">
        <f>SUMIF('SST TB'!$R:$R,'SST P&amp;L'!$A44,'SST TB'!D:D)</f>
        <v/>
      </c>
      <c r="Q44" s="37">
        <f>SUMIF('SST TB'!$R:$R,'SST P&amp;L'!$A44,'SST TB'!E:E)</f>
        <v/>
      </c>
      <c r="R44" s="37">
        <f>SUMIF('SST TB'!$R:$R,'SST P&amp;L'!$A44,'SST TB'!F:F)</f>
        <v/>
      </c>
      <c r="S44" s="37">
        <f>SUMIF('SST TB'!$R:$R,'SST P&amp;L'!$A44,'SST TB'!G:G)</f>
        <v/>
      </c>
      <c r="T44" s="37">
        <f>SUMIF('SST TB'!$R:$R,'SST P&amp;L'!$A44,'SST TB'!H:H)</f>
        <v/>
      </c>
      <c r="U44" s="37">
        <f>SUMIF('SST TB'!$R:$R,'SST P&amp;L'!$A44,'SST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135.22</v>
      </c>
      <c r="E45" s="35" t="n">
        <v>0</v>
      </c>
      <c r="F45" s="35" t="n">
        <v>0</v>
      </c>
      <c r="G45" s="35" t="n">
        <v>45</v>
      </c>
      <c r="H45" s="35" t="n">
        <v>117.88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87</v>
      </c>
      <c r="P45" s="37" t="n">
        <v>0</v>
      </c>
      <c r="Q45" s="37" t="n">
        <v>18.75</v>
      </c>
      <c r="R45" s="37" t="n">
        <v>105</v>
      </c>
      <c r="S45" s="37" t="n">
        <v>0</v>
      </c>
      <c r="T45" s="37" t="n">
        <v>0</v>
      </c>
      <c r="U45" s="37" t="n">
        <v>14.98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SUMIF('SST TB'!$R:$R,'SST P&amp;L'!$A46,'SST TB'!C:C)</f>
        <v/>
      </c>
      <c r="P46" s="37">
        <f>SUMIF('SST TB'!$R:$R,'SST P&amp;L'!$A46,'SST TB'!D:D)</f>
        <v/>
      </c>
      <c r="Q46" s="37">
        <f>SUMIF('SST TB'!$R:$R,'SST P&amp;L'!$A46,'SST TB'!E:E)</f>
        <v/>
      </c>
      <c r="R46" s="37">
        <f>SUMIF('SST TB'!$R:$R,'SST P&amp;L'!$A46,'SST TB'!F:F)</f>
        <v/>
      </c>
      <c r="S46" s="37">
        <f>SUMIF('SST TB'!$R:$R,'SST P&amp;L'!$A46,'SST TB'!G:G)</f>
        <v/>
      </c>
      <c r="T46" s="37">
        <f>SUMIF('SST TB'!$R:$R,'SST P&amp;L'!$A46,'SST TB'!H:H)</f>
        <v/>
      </c>
      <c r="U46" s="37">
        <f>SUMIF('SST TB'!$R:$R,'SST P&amp;L'!$A46,'SST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3902.96</v>
      </c>
      <c r="C47" s="42" t="n">
        <v>2492.77</v>
      </c>
      <c r="D47" s="42" t="n">
        <v>3610.73</v>
      </c>
      <c r="E47" s="42" t="n">
        <v>3194.32</v>
      </c>
      <c r="F47" s="42" t="n">
        <v>3025.83</v>
      </c>
      <c r="G47" s="42" t="n">
        <v>3948.200000000001</v>
      </c>
      <c r="H47" s="42" t="n">
        <v>3037.29</v>
      </c>
      <c r="I47" s="42" t="n">
        <v>3066.77</v>
      </c>
      <c r="J47" s="42" t="n">
        <v>2162.07</v>
      </c>
      <c r="K47" s="42" t="n">
        <v>3147.35</v>
      </c>
      <c r="L47" s="42" t="n">
        <v>2882.48</v>
      </c>
      <c r="M47" s="42" t="n">
        <v>3844.22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30153.51</v>
      </c>
      <c r="C48" s="23" t="n">
        <v>25311.88</v>
      </c>
      <c r="D48" s="23" t="n">
        <v>25611.59</v>
      </c>
      <c r="E48" s="23" t="n">
        <v>42903.57999999999</v>
      </c>
      <c r="F48" s="23" t="n">
        <v>28231.57</v>
      </c>
      <c r="G48" s="23" t="n">
        <v>29675.18</v>
      </c>
      <c r="H48" s="23" t="n">
        <v>27604.07</v>
      </c>
      <c r="I48" s="23" t="n">
        <v>25250.77</v>
      </c>
      <c r="J48" s="23" t="n">
        <v>19862.98</v>
      </c>
      <c r="K48" s="23" t="n">
        <v>29503.93</v>
      </c>
      <c r="L48" s="23" t="n">
        <v>31521.67</v>
      </c>
      <c r="M48" s="23" t="n">
        <v>33454.12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30964.44</v>
      </c>
      <c r="C50" s="55" t="n">
        <v>29972.41</v>
      </c>
      <c r="D50" s="55" t="n">
        <v>36620.25999999999</v>
      </c>
      <c r="E50" s="55" t="n">
        <v>20818.31000000001</v>
      </c>
      <c r="F50" s="55" t="n">
        <v>30102.84</v>
      </c>
      <c r="G50" s="55" t="n">
        <v>26391.71</v>
      </c>
      <c r="H50" s="55" t="n">
        <v>45691.59</v>
      </c>
      <c r="I50" s="55" t="n">
        <v>22876.30000000001</v>
      </c>
      <c r="J50" s="55" t="n">
        <v>27432.07</v>
      </c>
      <c r="K50" s="55" t="n">
        <v>19165.51000000001</v>
      </c>
      <c r="L50" s="55" t="n">
        <v>29540.50999999999</v>
      </c>
      <c r="M50" s="55" t="n">
        <v>36823.30999999999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SUMIF('SST TB'!$R:$R,'SST P&amp;L'!$A53,'SST TB'!C:C)</f>
        <v/>
      </c>
      <c r="P53" s="37">
        <f>SUMIF('SST TB'!$R:$R,'SST P&amp;L'!$A53,'SST TB'!D:D)</f>
        <v/>
      </c>
      <c r="Q53" s="37">
        <f>SUMIF('SST TB'!$R:$R,'SST P&amp;L'!$A53,'SST TB'!E:E)</f>
        <v/>
      </c>
      <c r="R53" s="37">
        <f>SUMIF('SST TB'!$R:$R,'SST P&amp;L'!$A53,'SST TB'!F:F)</f>
        <v/>
      </c>
      <c r="S53" s="37">
        <f>SUMIF('SST TB'!$R:$R,'SST P&amp;L'!$A53,'SST TB'!G:G)</f>
        <v/>
      </c>
      <c r="T53" s="37">
        <f>SUMIF('SST TB'!$R:$R,'SST P&amp;L'!$A53,'SST TB'!H:H)</f>
        <v/>
      </c>
      <c r="U53" s="37">
        <f>SUMIF('SST TB'!$R:$R,'SST P&amp;L'!$A53,'SST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SUMIF('SST TB'!$R:$R,'SST P&amp;L'!$A54,'SST TB'!C:C)</f>
        <v/>
      </c>
      <c r="P54" s="37">
        <f>SUMIF('SST TB'!$R:$R,'SST P&amp;L'!$A54,'SST TB'!D:D)</f>
        <v/>
      </c>
      <c r="Q54" s="37">
        <f>SUMIF('SST TB'!$R:$R,'SST P&amp;L'!$A54,'SST TB'!E:E)</f>
        <v/>
      </c>
      <c r="R54" s="37">
        <f>SUMIF('SST TB'!$R:$R,'SST P&amp;L'!$A54,'SST TB'!F:F)</f>
        <v/>
      </c>
      <c r="S54" s="37">
        <f>SUMIF('SST TB'!$R:$R,'SST P&amp;L'!$A54,'SST TB'!G:G)</f>
        <v/>
      </c>
      <c r="T54" s="37">
        <f>SUMIF('SST TB'!$R:$R,'SST P&amp;L'!$A54,'SST TB'!H:H)</f>
        <v/>
      </c>
      <c r="U54" s="37">
        <f>SUMIF('SST TB'!$R:$R,'SST P&amp;L'!$A54,'SST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SUMIF('SST TB'!$R:$R,'SST P&amp;L'!$A55,'SST TB'!C:C)</f>
        <v/>
      </c>
      <c r="P55" s="37">
        <f>SUMIF('SST TB'!$R:$R,'SST P&amp;L'!$A55,'SST TB'!D:D)</f>
        <v/>
      </c>
      <c r="Q55" s="37">
        <f>SUMIF('SST TB'!$R:$R,'SST P&amp;L'!$A55,'SST TB'!E:E)</f>
        <v/>
      </c>
      <c r="R55" s="37">
        <f>SUMIF('SST TB'!$R:$R,'SST P&amp;L'!$A55,'SST TB'!F:F)</f>
        <v/>
      </c>
      <c r="S55" s="37">
        <f>SUMIF('SST TB'!$R:$R,'SST P&amp;L'!$A55,'SST TB'!G:G)</f>
        <v/>
      </c>
      <c r="T55" s="37">
        <f>SUMIF('SST TB'!$R:$R,'SST P&amp;L'!$A55,'SST TB'!H:H)</f>
        <v/>
      </c>
      <c r="U55" s="37">
        <f>SUMIF('SST TB'!$R:$R,'SST P&amp;L'!$A55,'SST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SUMIF('SST TB'!$R:$R,'SST P&amp;L'!$A56,'SST TB'!C:C)</f>
        <v/>
      </c>
      <c r="P56" s="37">
        <f>SUMIF('SST TB'!$R:$R,'SST P&amp;L'!$A56,'SST TB'!D:D)</f>
        <v/>
      </c>
      <c r="Q56" s="37">
        <f>SUMIF('SST TB'!$R:$R,'SST P&amp;L'!$A56,'SST TB'!E:E)</f>
        <v/>
      </c>
      <c r="R56" s="37">
        <f>SUMIF('SST TB'!$R:$R,'SST P&amp;L'!$A56,'SST TB'!F:F)</f>
        <v/>
      </c>
      <c r="S56" s="37">
        <f>SUMIF('SST TB'!$R:$R,'SST P&amp;L'!$A56,'SST TB'!G:G)</f>
        <v/>
      </c>
      <c r="T56" s="37">
        <f>SUMIF('SST TB'!$R:$R,'SST P&amp;L'!$A56,'SST TB'!H:H)</f>
        <v/>
      </c>
      <c r="U56" s="37">
        <f>SUMIF('SST TB'!$R:$R,'SST P&amp;L'!$A56,'SST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243.93</v>
      </c>
      <c r="N57" s="36">
        <f>SUM(B57:M57)</f>
        <v/>
      </c>
      <c r="O57" s="37">
        <f>SUMIF('SST TB'!$R:$R,'SST P&amp;L'!$A57,'SST TB'!C:C)</f>
        <v/>
      </c>
      <c r="P57" s="37">
        <f>SUMIF('SST TB'!$R:$R,'SST P&amp;L'!$A57,'SST TB'!D:D)</f>
        <v/>
      </c>
      <c r="Q57" s="37">
        <f>SUMIF('SST TB'!$R:$R,'SST P&amp;L'!$A57,'SST TB'!E:E)</f>
        <v/>
      </c>
      <c r="R57" s="37">
        <f>SUMIF('SST TB'!$R:$R,'SST P&amp;L'!$A57,'SST TB'!F:F)</f>
        <v/>
      </c>
      <c r="S57" s="37">
        <f>SUMIF('SST TB'!$R:$R,'SST P&amp;L'!$A57,'SST TB'!G:G)</f>
        <v/>
      </c>
      <c r="T57" s="37">
        <f>SUMIF('SST TB'!$R:$R,'SST P&amp;L'!$A57,'SST TB'!H:H)</f>
        <v/>
      </c>
      <c r="U57" s="37">
        <f>SUMIF('SST TB'!$R:$R,'SST P&amp;L'!$A57,'SST TB'!I:I)</f>
        <v/>
      </c>
      <c r="V57" s="38" t="n"/>
      <c r="W57" s="38" t="n"/>
      <c r="X57" s="38" t="n"/>
      <c r="Y57" s="38" t="n"/>
      <c r="Z57" s="38">
        <f>30*12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SUMIF('SST TB'!$R:$R,'SST P&amp;L'!$A58,'SST TB'!C:C)</f>
        <v/>
      </c>
      <c r="P58" s="37">
        <f>SUMIF('SST TB'!$R:$R,'SST P&amp;L'!$A58,'SST TB'!D:D)</f>
        <v/>
      </c>
      <c r="Q58" s="37">
        <f>SUMIF('SST TB'!$R:$R,'SST P&amp;L'!$A58,'SST TB'!E:E)</f>
        <v/>
      </c>
      <c r="R58" s="37">
        <f>SUMIF('SST TB'!$R:$R,'SST P&amp;L'!$A58,'SST TB'!F:F)</f>
        <v/>
      </c>
      <c r="S58" s="37">
        <f>SUMIF('SST TB'!$R:$R,'SST P&amp;L'!$A58,'SST TB'!G:G)</f>
        <v/>
      </c>
      <c r="T58" s="37">
        <f>SUMIF('SST TB'!$R:$R,'SST P&amp;L'!$A58,'SST TB'!H:H)</f>
        <v/>
      </c>
      <c r="U58" s="37">
        <f>SUMIF('SST TB'!$R:$R,'SST P&amp;L'!$A58,'SST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6.6</v>
      </c>
      <c r="C60" s="35" t="n">
        <v>7.8</v>
      </c>
      <c r="D60" s="35" t="n">
        <v>7.8</v>
      </c>
      <c r="E60" s="35" t="n">
        <v>7.800000000000001</v>
      </c>
      <c r="F60" s="35" t="n">
        <v>10.2</v>
      </c>
      <c r="G60" s="35" t="n">
        <v>8.4</v>
      </c>
      <c r="H60" s="35" t="n">
        <v>7.8</v>
      </c>
      <c r="I60" s="35" t="n">
        <v>7.2</v>
      </c>
      <c r="J60" s="35" t="n">
        <v>7.8</v>
      </c>
      <c r="K60" s="35" t="n">
        <v>74.80000000000001</v>
      </c>
      <c r="L60" s="35" t="n">
        <v>6</v>
      </c>
      <c r="M60" s="35" t="n">
        <v>6.6</v>
      </c>
      <c r="N60" s="36">
        <f>SUM(B60:M60)</f>
        <v/>
      </c>
      <c r="O60" s="37" t="n">
        <v>6.6</v>
      </c>
      <c r="P60" s="37" t="n">
        <v>7.199999999999999</v>
      </c>
      <c r="Q60" s="37" t="n">
        <v>42.96</v>
      </c>
      <c r="R60" s="37" t="n">
        <v>4.8</v>
      </c>
      <c r="S60" s="37" t="n">
        <v>5.399999999999999</v>
      </c>
      <c r="T60" s="37" t="n">
        <v>6.6</v>
      </c>
      <c r="U60" s="37" t="n">
        <v>5.4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3.6</v>
      </c>
      <c r="G61" s="35" t="n">
        <v>46.78</v>
      </c>
      <c r="H61" s="35" t="n">
        <v>0</v>
      </c>
      <c r="I61" s="35" t="n">
        <v>0</v>
      </c>
      <c r="J61" s="35" t="n">
        <v>0</v>
      </c>
      <c r="K61" s="35" t="n">
        <v>13.65</v>
      </c>
      <c r="L61" s="35" t="n">
        <v>0</v>
      </c>
      <c r="M61" s="35" t="n">
        <v>33.4</v>
      </c>
      <c r="N61" s="36">
        <f>SUM(B61:M61)</f>
        <v/>
      </c>
      <c r="O61" s="37">
        <f>SUMIF('SST TB'!$R:$R,'SST P&amp;L'!$A61,'SST TB'!C:C)</f>
        <v/>
      </c>
      <c r="P61" s="37">
        <f>SUMIF('SST TB'!$R:$R,'SST P&amp;L'!$A61,'SST TB'!D:D)</f>
        <v/>
      </c>
      <c r="Q61" s="37">
        <f>SUMIF('SST TB'!$R:$R,'SST P&amp;L'!$A61,'SST TB'!E:E)</f>
        <v/>
      </c>
      <c r="R61" s="37">
        <f>SUMIF('SST TB'!$R:$R,'SST P&amp;L'!$A61,'SST TB'!F:F)</f>
        <v/>
      </c>
      <c r="S61" s="37">
        <f>SUMIF('SST TB'!$R:$R,'SST P&amp;L'!$A61,'SST TB'!G:G)</f>
        <v/>
      </c>
      <c r="T61" s="37">
        <f>SUMIF('SST TB'!$R:$R,'SST P&amp;L'!$A61,'SST TB'!H:H)</f>
        <v/>
      </c>
      <c r="U61" s="37">
        <f>SUMIF('SST TB'!$R:$R,'SST P&amp;L'!$A61,'SST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140</v>
      </c>
      <c r="D62" s="35" t="n">
        <v>180</v>
      </c>
      <c r="E62" s="35" t="n">
        <v>289.5</v>
      </c>
      <c r="F62" s="35" t="n">
        <v>409.5</v>
      </c>
      <c r="G62" s="35" t="n">
        <v>105</v>
      </c>
      <c r="H62" s="35" t="n">
        <v>40</v>
      </c>
      <c r="I62" s="35" t="n">
        <v>157</v>
      </c>
      <c r="J62" s="35" t="n">
        <v>340</v>
      </c>
      <c r="K62" s="35" t="n">
        <v>0</v>
      </c>
      <c r="L62" s="35" t="n">
        <v>40</v>
      </c>
      <c r="M62" s="35" t="n">
        <v>0</v>
      </c>
      <c r="N62" s="36">
        <f>SUM(B62:M62)</f>
        <v/>
      </c>
      <c r="O62" s="37" t="n">
        <v>65</v>
      </c>
      <c r="P62" s="37" t="n">
        <v>25</v>
      </c>
      <c r="Q62" s="37" t="n">
        <v>0</v>
      </c>
      <c r="R62" s="37" t="n">
        <v>62.34</v>
      </c>
      <c r="S62" s="37" t="n">
        <v>0</v>
      </c>
      <c r="T62" s="37" t="n">
        <v>0</v>
      </c>
      <c r="U62" s="37" t="n">
        <v>20.66</v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SUMIF('SST TB'!$R:$R,'SST P&amp;L'!$A63,'SST TB'!C:C)</f>
        <v/>
      </c>
      <c r="P63" s="37">
        <f>SUMIF('SST TB'!$R:$R,'SST P&amp;L'!$A63,'SST TB'!D:D)</f>
        <v/>
      </c>
      <c r="Q63" s="37">
        <f>SUMIF('SST TB'!$R:$R,'SST P&amp;L'!$A63,'SST TB'!E:E)</f>
        <v/>
      </c>
      <c r="R63" s="37">
        <f>SUMIF('SST TB'!$R:$R,'SST P&amp;L'!$A63,'SST TB'!F:F)</f>
        <v/>
      </c>
      <c r="S63" s="37">
        <f>SUMIF('SST TB'!$R:$R,'SST P&amp;L'!$A63,'SST TB'!G:G)</f>
        <v/>
      </c>
      <c r="T63" s="37">
        <f>SUMIF('SST TB'!$R:$R,'SST P&amp;L'!$A63,'SST TB'!H:H)</f>
        <v/>
      </c>
      <c r="U63" s="37">
        <f>SUMIF('SST TB'!$R:$R,'SST P&amp;L'!$A63,'SST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SUMIF('SST TB'!$R:$R,'SST P&amp;L'!$A64,'SST TB'!C:C)</f>
        <v/>
      </c>
      <c r="P64" s="37">
        <f>SUMIF('SST TB'!$R:$R,'SST P&amp;L'!$A64,'SST TB'!D:D)</f>
        <v/>
      </c>
      <c r="Q64" s="37">
        <f>SUMIF('SST TB'!$R:$R,'SST P&amp;L'!$A64,'SST TB'!E:E)</f>
        <v/>
      </c>
      <c r="R64" s="37">
        <f>SUMIF('SST TB'!$R:$R,'SST P&amp;L'!$A64,'SST TB'!F:F)</f>
        <v/>
      </c>
      <c r="S64" s="37">
        <f>SUMIF('SST TB'!$R:$R,'SST P&amp;L'!$A64,'SST TB'!G:G)</f>
        <v/>
      </c>
      <c r="T64" s="37">
        <f>SUMIF('SST TB'!$R:$R,'SST P&amp;L'!$A64,'SST TB'!H:H)</f>
        <v/>
      </c>
      <c r="U64" s="37">
        <f>SUMIF('SST TB'!$R:$R,'SST P&amp;L'!$A64,'SST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SUMIF('SST TB'!$R:$R,'SST P&amp;L'!$A65,'SST TB'!C:C)</f>
        <v/>
      </c>
      <c r="P65" s="37">
        <f>SUMIF('SST TB'!$R:$R,'SST P&amp;L'!$A65,'SST TB'!D:D)</f>
        <v/>
      </c>
      <c r="Q65" s="37">
        <f>SUMIF('SST TB'!$R:$R,'SST P&amp;L'!$A65,'SST TB'!E:E)</f>
        <v/>
      </c>
      <c r="R65" s="37">
        <f>SUMIF('SST TB'!$R:$R,'SST P&amp;L'!$A65,'SST TB'!F:F)</f>
        <v/>
      </c>
      <c r="S65" s="37">
        <f>SUMIF('SST TB'!$R:$R,'SST P&amp;L'!$A65,'SST TB'!G:G)</f>
        <v/>
      </c>
      <c r="T65" s="37">
        <f>SUMIF('SST TB'!$R:$R,'SST P&amp;L'!$A65,'SST TB'!H:H)</f>
        <v/>
      </c>
      <c r="U65" s="37">
        <f>SUMIF('SST TB'!$R:$R,'SST P&amp;L'!$A65,'SST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SUMIF('SST TB'!$R:$R,'SST P&amp;L'!$A66,'SST TB'!C:C)</f>
        <v/>
      </c>
      <c r="P66" s="37">
        <f>SUMIF('SST TB'!$R:$R,'SST P&amp;L'!$A66,'SST TB'!D:D)</f>
        <v/>
      </c>
      <c r="Q66" s="37">
        <f>SUMIF('SST TB'!$R:$R,'SST P&amp;L'!$A66,'SST TB'!E:E)</f>
        <v/>
      </c>
      <c r="R66" s="37">
        <f>SUMIF('SST TB'!$R:$R,'SST P&amp;L'!$A66,'SST TB'!F:F)</f>
        <v/>
      </c>
      <c r="S66" s="37">
        <f>SUMIF('SST TB'!$R:$R,'SST P&amp;L'!$A66,'SST TB'!G:G)</f>
        <v/>
      </c>
      <c r="T66" s="37">
        <f>SUMIF('SST TB'!$R:$R,'SST P&amp;L'!$A66,'SST TB'!H:H)</f>
        <v/>
      </c>
      <c r="U66" s="37">
        <f>SUMIF('SST TB'!$R:$R,'SST P&amp;L'!$A66,'SST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220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SUMIF('SST TB'!$R:$R,'SST P&amp;L'!$A67,'SST TB'!C:C)</f>
        <v/>
      </c>
      <c r="P67" s="37">
        <f>SUMIF('SST TB'!$R:$R,'SST P&amp;L'!$A67,'SST TB'!D:D)</f>
        <v/>
      </c>
      <c r="Q67" s="37">
        <f>SUMIF('SST TB'!$R:$R,'SST P&amp;L'!$A67,'SST TB'!E:E)</f>
        <v/>
      </c>
      <c r="R67" s="37">
        <f>SUMIF('SST TB'!$R:$R,'SST P&amp;L'!$A67,'SST TB'!F:F)</f>
        <v/>
      </c>
      <c r="S67" s="37">
        <f>SUMIF('SST TB'!$R:$R,'SST P&amp;L'!$A67,'SST TB'!G:G)</f>
        <v/>
      </c>
      <c r="T67" s="37">
        <f>SUMIF('SST TB'!$R:$R,'SST P&amp;L'!$A67,'SST TB'!H:H)</f>
        <v/>
      </c>
      <c r="U67" s="37">
        <f>SUMIF('SST TB'!$R:$R,'SST P&amp;L'!$A67,'SST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SUMIF('SST TB'!$R:$R,'SST P&amp;L'!$A68,'SST TB'!C:C)</f>
        <v/>
      </c>
      <c r="P68" s="37">
        <f>SUMIF('SST TB'!$R:$R,'SST P&amp;L'!$A68,'SST TB'!D:D)</f>
        <v/>
      </c>
      <c r="Q68" s="37">
        <f>SUMIF('SST TB'!$R:$R,'SST P&amp;L'!$A68,'SST TB'!E:E)</f>
        <v/>
      </c>
      <c r="R68" s="37">
        <f>SUMIF('SST TB'!$R:$R,'SST P&amp;L'!$A68,'SST TB'!F:F)</f>
        <v/>
      </c>
      <c r="S68" s="37">
        <f>SUMIF('SST TB'!$R:$R,'SST P&amp;L'!$A68,'SST TB'!G:G)</f>
        <v/>
      </c>
      <c r="T68" s="37">
        <f>SUMIF('SST TB'!$R:$R,'SST P&amp;L'!$A68,'SST TB'!H:H)</f>
        <v/>
      </c>
      <c r="U68" s="37">
        <f>SUMIF('SST TB'!$R:$R,'SST P&amp;L'!$A68,'SST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207.98</v>
      </c>
      <c r="C69" s="42" t="n">
        <v>349.18</v>
      </c>
      <c r="D69" s="42" t="n">
        <v>389.18</v>
      </c>
      <c r="E69" s="42" t="n">
        <v>498.68</v>
      </c>
      <c r="F69" s="42" t="n">
        <v>844.6799999999999</v>
      </c>
      <c r="G69" s="42" t="n">
        <v>361.56</v>
      </c>
      <c r="H69" s="42" t="n">
        <v>249.18</v>
      </c>
      <c r="I69" s="42" t="n">
        <v>365.58</v>
      </c>
      <c r="J69" s="42" t="n">
        <v>549.1800000000001</v>
      </c>
      <c r="K69" s="42" t="n">
        <v>303.25</v>
      </c>
      <c r="L69" s="42" t="n">
        <v>260.8</v>
      </c>
      <c r="M69" s="42" t="n">
        <v>498.73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30756.46</v>
      </c>
      <c r="C70" s="55" t="n">
        <v>29623.23</v>
      </c>
      <c r="D70" s="55" t="n">
        <v>36231.07999999999</v>
      </c>
      <c r="E70" s="55" t="n">
        <v>20319.63000000001</v>
      </c>
      <c r="F70" s="55" t="n">
        <v>29258.16</v>
      </c>
      <c r="G70" s="55" t="n">
        <v>26030.14999999999</v>
      </c>
      <c r="H70" s="55" t="n">
        <v>45442.41</v>
      </c>
      <c r="I70" s="55" t="n">
        <v>22510.72</v>
      </c>
      <c r="J70" s="55" t="n">
        <v>26882.89</v>
      </c>
      <c r="K70" s="55" t="n">
        <v>18862.26000000001</v>
      </c>
      <c r="L70" s="55" t="n">
        <v>29279.70999999999</v>
      </c>
      <c r="M70" s="55" t="n">
        <v>36324.57999999999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60" t="inlineStr">
        <is>
          <t>Direct - Sales</t>
        </is>
      </c>
      <c r="B74" s="60" t="n">
        <v>61117.95</v>
      </c>
      <c r="C74" s="60" t="n">
        <v>55284.29</v>
      </c>
      <c r="D74" s="60" t="n">
        <v>62231.85</v>
      </c>
      <c r="E74" s="60" t="n">
        <v>63721.89</v>
      </c>
      <c r="F74" s="60" t="n">
        <v>58334.41</v>
      </c>
      <c r="G74" s="60" t="n">
        <v>56066.89</v>
      </c>
      <c r="H74" s="60" t="n">
        <v>73295.66</v>
      </c>
      <c r="I74" s="60" t="n">
        <v>48127.07000000001</v>
      </c>
      <c r="J74" s="60" t="n">
        <v>47295.05</v>
      </c>
      <c r="K74" s="60" t="n">
        <v>48669.44</v>
      </c>
      <c r="L74" s="60" t="n">
        <v>61062.17999999999</v>
      </c>
      <c r="M74" s="8" t="n"/>
      <c r="N74" s="8" t="n"/>
      <c r="O74" s="60">
        <f>-SUMIF('SST TB'!$T:$T,'SST P&amp;L'!$A74,'SST TB'!C:C)</f>
        <v/>
      </c>
      <c r="P74" s="60">
        <f>-SUMIF('SST TB'!$T:$T,'SST P&amp;L'!$A74,'SST TB'!D:D)</f>
        <v/>
      </c>
      <c r="Q74" s="60">
        <f>-SUMIF('SST TB'!$T:$T,'SST P&amp;L'!$A74,'SST TB'!E:E)</f>
        <v/>
      </c>
      <c r="R74" s="60">
        <f>-SUMIF('SST TB'!$T:$T,'SST P&amp;L'!$A74,'SST TB'!F:F)</f>
        <v/>
      </c>
      <c r="S74" s="60">
        <f>-SUMIF('SST TB'!$T:$T,'SST P&amp;L'!$A74,'SST TB'!G:G)</f>
        <v/>
      </c>
      <c r="T74" s="60">
        <f>-SUMIF('SST TB'!$T:$T,'SST P&amp;L'!$A74,'SST TB'!H:H)</f>
        <v/>
      </c>
      <c r="U74" s="60">
        <f>-SUMIF('SST TB'!$T:$T,'SST P&amp;L'!$A74,'SST TB'!I:I)</f>
        <v/>
      </c>
      <c r="V74" s="60">
        <f>-SUMIF('SST TB'!$T:$T,'SST P&amp;L'!$A74,'SST TB'!J:J)</f>
        <v/>
      </c>
      <c r="W74" s="60">
        <f>-SUMIF('SST TB'!$T:$T,'SST P&amp;L'!$A74,'SST TB'!K:K)</f>
        <v/>
      </c>
      <c r="X74" s="60">
        <f>-SUMIF('SST TB'!$T:$T,'SST P&amp;L'!$A74,'SST TB'!L:L)</f>
        <v/>
      </c>
      <c r="Y74" s="60">
        <f>-SUMIF('SST TB'!$T:$T,'SST P&amp;L'!$A74,'SST TB'!M:M)</f>
        <v/>
      </c>
      <c r="Z74" s="60">
        <f>-SUMIF('SST TB'!$T:$T,'SST P&amp;L'!$A74,'SST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Direct - Staff Cost</t>
        </is>
      </c>
      <c r="B75" s="18" t="n">
        <v>-23799.23</v>
      </c>
      <c r="C75" s="18" t="n">
        <v>-20606.08</v>
      </c>
      <c r="D75" s="18" t="n">
        <v>-20653.85</v>
      </c>
      <c r="E75" s="18" t="n">
        <v>-38381.55999999999</v>
      </c>
      <c r="F75" s="18" t="n">
        <v>-23949.07</v>
      </c>
      <c r="G75" s="18" t="n">
        <v>-23893.35</v>
      </c>
      <c r="H75" s="18" t="n">
        <v>-23286.16</v>
      </c>
      <c r="I75" s="18" t="n">
        <v>-17854.27</v>
      </c>
      <c r="J75" s="18" t="n">
        <v>-15786.57</v>
      </c>
      <c r="K75" s="18" t="n">
        <v>-24526.62</v>
      </c>
      <c r="L75" s="18" t="n">
        <v>-26536.27</v>
      </c>
      <c r="M75" s="18" t="n"/>
      <c r="N75" s="8" t="n"/>
      <c r="O75" s="60">
        <f>-SUMIF('SST TB'!$T:$T,'SST P&amp;L'!$A75,'SST TB'!C:C)</f>
        <v/>
      </c>
      <c r="P75" s="60">
        <f>-SUMIF('SST TB'!$T:$T,'SST P&amp;L'!$A75,'SST TB'!D:D)</f>
        <v/>
      </c>
      <c r="Q75" s="60">
        <f>-SUMIF('SST TB'!$T:$T,'SST P&amp;L'!$A75,'SST TB'!E:E)</f>
        <v/>
      </c>
      <c r="R75" s="60">
        <f>-SUMIF('SST TB'!$T:$T,'SST P&amp;L'!$A75,'SST TB'!F:F)</f>
        <v/>
      </c>
      <c r="S75" s="60">
        <f>-SUMIF('SST TB'!$T:$T,'SST P&amp;L'!$A75,'SST TB'!G:G)</f>
        <v/>
      </c>
      <c r="T75" s="60">
        <f>-SUMIF('SST TB'!$T:$T,'SST P&amp;L'!$A75,'SST TB'!H:H)</f>
        <v/>
      </c>
      <c r="U75" s="60">
        <f>-SUMIF('SST TB'!$T:$T,'SST P&amp;L'!$A75,'SST TB'!I:I)</f>
        <v/>
      </c>
      <c r="V75" s="60">
        <f>-SUMIF('SST TB'!$T:$T,'SST P&amp;L'!$A75,'SST TB'!J:J)</f>
        <v/>
      </c>
      <c r="W75" s="60">
        <f>-SUMIF('SST TB'!$T:$T,'SST P&amp;L'!$A75,'SST TB'!K:K)</f>
        <v/>
      </c>
      <c r="X75" s="60">
        <f>-SUMIF('SST TB'!$T:$T,'SST P&amp;L'!$A75,'SST TB'!L:L)</f>
        <v/>
      </c>
      <c r="Y75" s="60">
        <f>-SUMIF('SST TB'!$T:$T,'SST P&amp;L'!$A75,'SST TB'!M:M)</f>
        <v/>
      </c>
      <c r="Z75" s="60">
        <f>-SUMIF('SST TB'!$T:$T,'SST P&amp;L'!$A75,'SST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60" t="inlineStr">
        <is>
          <t>Direct - Childcare Cost</t>
        </is>
      </c>
      <c r="B76" s="18" t="n">
        <v>-2451.32</v>
      </c>
      <c r="C76" s="18" t="n">
        <v>-2213.03</v>
      </c>
      <c r="D76" s="18" t="n">
        <v>-1347.01</v>
      </c>
      <c r="E76" s="18" t="n">
        <v>-1327.7</v>
      </c>
      <c r="F76" s="18" t="n">
        <v>-1256.67</v>
      </c>
      <c r="G76" s="18" t="n">
        <v>-1833.63</v>
      </c>
      <c r="H76" s="18" t="n">
        <v>-1280.62</v>
      </c>
      <c r="I76" s="18" t="n">
        <v>-4329.73</v>
      </c>
      <c r="J76" s="18" t="n">
        <v>-1914.34</v>
      </c>
      <c r="K76" s="18" t="n">
        <v>-1829.96</v>
      </c>
      <c r="L76" s="18" t="n">
        <v>-2102.92</v>
      </c>
      <c r="M76" s="18" t="n">
        <v>-1144.54</v>
      </c>
      <c r="N76" s="8" t="n"/>
      <c r="O76" s="60">
        <f>-SUMIF('SST TB'!$T:$T,'SST P&amp;L'!$A76,'SST TB'!C:C)</f>
        <v/>
      </c>
      <c r="P76" s="60">
        <f>-SUMIF('SST TB'!$T:$T,'SST P&amp;L'!$A76,'SST TB'!D:D)</f>
        <v/>
      </c>
      <c r="Q76" s="60">
        <f>-SUMIF('SST TB'!$T:$T,'SST P&amp;L'!$A76,'SST TB'!E:E)</f>
        <v/>
      </c>
      <c r="R76" s="60">
        <f>-SUMIF('SST TB'!$T:$T,'SST P&amp;L'!$A76,'SST TB'!F:F)</f>
        <v/>
      </c>
      <c r="S76" s="60">
        <f>-SUMIF('SST TB'!$T:$T,'SST P&amp;L'!$A76,'SST TB'!G:G)</f>
        <v/>
      </c>
      <c r="T76" s="60">
        <f>-SUMIF('SST TB'!$T:$T,'SST P&amp;L'!$A76,'SST TB'!H:H)</f>
        <v/>
      </c>
      <c r="U76" s="60">
        <f>-SUMIF('SST TB'!$T:$T,'SST P&amp;L'!$A76,'SST TB'!I:I)</f>
        <v/>
      </c>
      <c r="V76" s="60">
        <f>-SUMIF('SST TB'!$T:$T,'SST P&amp;L'!$A76,'SST TB'!J:J)</f>
        <v/>
      </c>
      <c r="W76" s="60">
        <f>-SUMIF('SST TB'!$T:$T,'SST P&amp;L'!$A76,'SST TB'!K:K)</f>
        <v/>
      </c>
      <c r="X76" s="60">
        <f>-SUMIF('SST TB'!$T:$T,'SST P&amp;L'!$A76,'SST TB'!L:L)</f>
        <v/>
      </c>
      <c r="Y76" s="60">
        <f>-SUMIF('SST TB'!$T:$T,'SST P&amp;L'!$A76,'SST TB'!M:M)</f>
        <v/>
      </c>
      <c r="Z76" s="60">
        <f>-SUMIF('SST TB'!$T:$T,'SST P&amp;L'!$A76,'SST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Direct - Premises &amp; Admin</t>
        </is>
      </c>
      <c r="B77" s="18" t="n">
        <v>-3902.96</v>
      </c>
      <c r="C77" s="18" t="n">
        <v>-2492.77</v>
      </c>
      <c r="D77" s="18" t="n">
        <v>-3610.73</v>
      </c>
      <c r="E77" s="18" t="n">
        <v>-3194.32</v>
      </c>
      <c r="F77" s="18" t="n">
        <v>-3025.83</v>
      </c>
      <c r="G77" s="18" t="n">
        <v>-3948.200000000001</v>
      </c>
      <c r="H77" s="18" t="n">
        <v>-3037.29</v>
      </c>
      <c r="I77" s="18" t="n">
        <v>-3066.77</v>
      </c>
      <c r="J77" s="18" t="n">
        <v>-2162.070000000001</v>
      </c>
      <c r="K77" s="18" t="n">
        <v>-3147.35</v>
      </c>
      <c r="L77" s="18" t="n">
        <v>-2882.48</v>
      </c>
      <c r="M77" s="18" t="n">
        <v>-3844.22</v>
      </c>
      <c r="N77" s="8" t="n"/>
      <c r="O77" s="60">
        <f>-SUMIF('SST TB'!$T:$T,'SST P&amp;L'!$A77,'SST TB'!C:C)</f>
        <v/>
      </c>
      <c r="P77" s="60">
        <f>-SUMIF('SST TB'!$T:$T,'SST P&amp;L'!$A77,'SST TB'!D:D)</f>
        <v/>
      </c>
      <c r="Q77" s="60">
        <f>-SUMIF('SST TB'!$T:$T,'SST P&amp;L'!$A77,'SST TB'!E:E)</f>
        <v/>
      </c>
      <c r="R77" s="60">
        <f>-SUMIF('SST TB'!$T:$T,'SST P&amp;L'!$A77,'SST TB'!F:F)</f>
        <v/>
      </c>
      <c r="S77" s="60">
        <f>-SUMIF('SST TB'!$T:$T,'SST P&amp;L'!$A77,'SST TB'!G:G)</f>
        <v/>
      </c>
      <c r="T77" s="60">
        <f>-SUMIF('SST TB'!$T:$T,'SST P&amp;L'!$A77,'SST TB'!H:H)</f>
        <v/>
      </c>
      <c r="U77" s="60">
        <f>-SUMIF('SST TB'!$T:$T,'SST P&amp;L'!$A77,'SST TB'!I:I)</f>
        <v/>
      </c>
      <c r="V77" s="60">
        <f>-SUMIF('SST TB'!$T:$T,'SST P&amp;L'!$A77,'SST TB'!J:J)</f>
        <v/>
      </c>
      <c r="W77" s="60">
        <f>-SUMIF('SST TB'!$T:$T,'SST P&amp;L'!$A77,'SST TB'!K:K)</f>
        <v/>
      </c>
      <c r="X77" s="60">
        <f>-SUMIF('SST TB'!$T:$T,'SST P&amp;L'!$A77,'SST TB'!L:L)</f>
        <v/>
      </c>
      <c r="Y77" s="60">
        <f>-SUMIF('SST TB'!$T:$T,'SST P&amp;L'!$A77,'SST TB'!M:M)</f>
        <v/>
      </c>
      <c r="Z77" s="60">
        <f>-SUMIF('SST TB'!$T:$T,'SST P&amp;L'!$A77,'SST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-SUMIF('SST TB'!$T:$T,'SST P&amp;L'!$A78,'SST TB'!C:C)</f>
        <v/>
      </c>
      <c r="P78" s="60">
        <f>-SUMIF('SST TB'!$T:$T,'SST P&amp;L'!$A78,'SST TB'!D:D)</f>
        <v/>
      </c>
      <c r="Q78" s="60">
        <f>-SUMIF('SST TB'!$T:$T,'SST P&amp;L'!$A78,'SST TB'!E:E)</f>
        <v/>
      </c>
      <c r="R78" s="60">
        <f>-SUMIF('SST TB'!$T:$T,'SST P&amp;L'!$A78,'SST TB'!F:F)</f>
        <v/>
      </c>
      <c r="S78" s="60">
        <f>-SUMIF('SST TB'!$T:$T,'SST P&amp;L'!$A78,'SST TB'!G:G)</f>
        <v/>
      </c>
      <c r="T78" s="60">
        <f>-SUMIF('SST TB'!$T:$T,'SST P&amp;L'!$A78,'SST TB'!H:H)</f>
        <v/>
      </c>
      <c r="U78" s="60">
        <f>-SUMIF('SST TB'!$T:$T,'SST P&amp;L'!$A78,'SST TB'!I:I)</f>
        <v/>
      </c>
      <c r="V78" s="60">
        <f>-SUMIF('SST TB'!$T:$T,'SST P&amp;L'!$A78,'SST TB'!J:J)</f>
        <v/>
      </c>
      <c r="W78" s="60">
        <f>-SUMIF('SST TB'!$T:$T,'SST P&amp;L'!$A78,'SST TB'!K:K)</f>
        <v/>
      </c>
      <c r="X78" s="60">
        <f>-SUMIF('SST TB'!$T:$T,'SST P&amp;L'!$A78,'SST TB'!L:L)</f>
        <v/>
      </c>
      <c r="Y78" s="60">
        <f>-SUMIF('SST TB'!$T:$T,'SST P&amp;L'!$A78,'SST TB'!M:M)</f>
        <v/>
      </c>
      <c r="Z78" s="60">
        <f>-SUMIF('SST TB'!$T:$T,'SST P&amp;L'!$A78,'SST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60" t="inlineStr">
        <is>
          <t>In-Direct - Overheads</t>
        </is>
      </c>
      <c r="B79" s="18" t="n">
        <v>-207.98</v>
      </c>
      <c r="C79" s="18" t="n">
        <v>-349.18</v>
      </c>
      <c r="D79" s="18" t="n">
        <v>-389.18</v>
      </c>
      <c r="E79" s="18" t="n">
        <v>-498.68</v>
      </c>
      <c r="F79" s="18" t="n">
        <v>-844.6799999999999</v>
      </c>
      <c r="G79" s="18" t="n">
        <v>-361.56</v>
      </c>
      <c r="H79" s="18" t="n">
        <v>-249.18</v>
      </c>
      <c r="I79" s="18" t="n">
        <v>-365.58</v>
      </c>
      <c r="J79" s="18" t="n">
        <v>-549.1800000000001</v>
      </c>
      <c r="K79" s="18" t="n">
        <v>-303.25</v>
      </c>
      <c r="L79" s="18" t="n">
        <v>-260.8</v>
      </c>
      <c r="M79" s="18" t="n">
        <v>-498.73</v>
      </c>
      <c r="N79" s="8" t="n"/>
      <c r="O79" s="60">
        <f>-SUMIF('SST TB'!$T:$T,'SST P&amp;L'!$A79,'SST TB'!C:C)</f>
        <v/>
      </c>
      <c r="P79" s="60">
        <f>-SUMIF('SST TB'!$T:$T,'SST P&amp;L'!$A79,'SST TB'!D:D)</f>
        <v/>
      </c>
      <c r="Q79" s="60">
        <f>-SUMIF('SST TB'!$T:$T,'SST P&amp;L'!$A79,'SST TB'!E:E)</f>
        <v/>
      </c>
      <c r="R79" s="60">
        <f>-SUMIF('SST TB'!$T:$T,'SST P&amp;L'!$A79,'SST TB'!F:F)</f>
        <v/>
      </c>
      <c r="S79" s="60">
        <f>-SUMIF('SST TB'!$T:$T,'SST P&amp;L'!$A79,'SST TB'!G:G)</f>
        <v/>
      </c>
      <c r="T79" s="60">
        <f>-SUMIF('SST TB'!$T:$T,'SST P&amp;L'!$A79,'SST TB'!H:H)</f>
        <v/>
      </c>
      <c r="U79" s="60">
        <f>-SUMIF('SST TB'!$T:$T,'SST P&amp;L'!$A79,'SST TB'!I:I)</f>
        <v/>
      </c>
      <c r="V79" s="60">
        <f>-SUMIF('SST TB'!$T:$T,'SST P&amp;L'!$A79,'SST TB'!J:J)</f>
        <v/>
      </c>
      <c r="W79" s="60">
        <f>-SUMIF('SST TB'!$T:$T,'SST P&amp;L'!$A79,'SST TB'!K:K)</f>
        <v/>
      </c>
      <c r="X79" s="60">
        <f>-SUMIF('SST TB'!$T:$T,'SST P&amp;L'!$A79,'SST TB'!L:L)</f>
        <v/>
      </c>
      <c r="Y79" s="60">
        <f>-SUMIF('SST TB'!$T:$T,'SST P&amp;L'!$A79,'SST TB'!M:M)</f>
        <v/>
      </c>
      <c r="Z79" s="60">
        <f>-SUMIF('SST TB'!$T:$T,'SST P&amp;L'!$A79,'SST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67" t="n">
        <v>30756.46</v>
      </c>
      <c r="C80" s="67" t="n">
        <v>29623.23000000001</v>
      </c>
      <c r="D80" s="67" t="n">
        <v>36231.07999999999</v>
      </c>
      <c r="E80" s="67" t="n">
        <v>20319.63000000001</v>
      </c>
      <c r="F80" s="67" t="n">
        <v>29258.16</v>
      </c>
      <c r="G80" s="67" t="n">
        <v>26030.14999999999</v>
      </c>
      <c r="H80" s="67" t="n">
        <v>45442.41</v>
      </c>
      <c r="I80" s="67" t="n">
        <v>22510.72</v>
      </c>
      <c r="J80" s="67" t="n">
        <v>26882.89</v>
      </c>
      <c r="K80" s="67" t="n">
        <v>18862.26000000001</v>
      </c>
      <c r="L80" s="67" t="n">
        <v>29279.70999999999</v>
      </c>
      <c r="M80" s="67" t="n">
        <v>-5487.49</v>
      </c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8" t="n"/>
      <c r="AJ80" s="64" t="n"/>
      <c r="AK80" s="64" t="n"/>
      <c r="AL80" s="64" t="n"/>
      <c r="AM80" s="64" t="n"/>
      <c r="AN80" s="64" t="n"/>
      <c r="AO80" s="64" t="n"/>
      <c r="AP80" s="64" t="n"/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0</v>
      </c>
      <c r="K81" s="18" t="n">
        <v>0</v>
      </c>
      <c r="L81" s="18" t="n">
        <v>0</v>
      </c>
      <c r="M81" s="18" t="n">
        <v>41812.06999999999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0</v>
      </c>
      <c r="G83" s="18" t="n">
        <v>0</v>
      </c>
      <c r="H83" s="18" t="n">
        <v>0</v>
      </c>
      <c r="I83" s="18" t="n">
        <v>0</v>
      </c>
      <c r="J83" s="18" t="n">
        <v>0</v>
      </c>
      <c r="K83" s="18" t="n">
        <v>0</v>
      </c>
      <c r="L83" s="18" t="n">
        <v>0</v>
      </c>
      <c r="M83" s="18" t="n">
        <v>-41812.06999999999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18" t="n">
        <v>-30756.45999999999</v>
      </c>
      <c r="C84" s="18" t="n">
        <v>-29623.22999999999</v>
      </c>
      <c r="D84" s="18" t="n">
        <v>-36231.08</v>
      </c>
      <c r="E84" s="18" t="n">
        <v>-20319.62999999999</v>
      </c>
      <c r="F84" s="18" t="n">
        <v>-29258.16000000001</v>
      </c>
      <c r="G84" s="18" t="n">
        <v>-26030.14999999999</v>
      </c>
      <c r="H84" s="18" t="n">
        <v>-45442.41000000001</v>
      </c>
      <c r="I84" s="18" t="n">
        <v>-22510.72</v>
      </c>
      <c r="J84" s="18" t="n">
        <v>-26882.89</v>
      </c>
      <c r="K84" s="18" t="n">
        <v>-18862.26</v>
      </c>
      <c r="L84" s="18" t="n">
        <v>-29279.71</v>
      </c>
      <c r="M84" s="18" t="n">
        <v>-36324.57999999999</v>
      </c>
      <c r="N84" s="8" t="n"/>
      <c r="O84" s="60">
        <f>SUM('SST TB'!C2:C44)</f>
        <v/>
      </c>
      <c r="P84" s="60">
        <f>SUM('SST TB'!D2:D44)</f>
        <v/>
      </c>
      <c r="Q84" s="60">
        <f>SUM('SST TB'!E2:E44)</f>
        <v/>
      </c>
      <c r="R84" s="60">
        <f>SUM('SST TB'!F2:F44)</f>
        <v/>
      </c>
      <c r="S84" s="60">
        <f>SUM('SST TB'!G2:G44)</f>
        <v/>
      </c>
      <c r="T84" s="60">
        <f>SUM('SST TB'!H2:H44)</f>
        <v/>
      </c>
      <c r="U84" s="60">
        <f>SUM('SST TB'!I2:I44)</f>
        <v/>
      </c>
      <c r="V84" s="60">
        <f>SUM('SST TB'!J2:J44)</f>
        <v/>
      </c>
      <c r="W84" s="60">
        <f>SUM('SST TB'!K2:K44)</f>
        <v/>
      </c>
      <c r="X84" s="60">
        <f>SUM('SST TB'!L2:L44)</f>
        <v/>
      </c>
      <c r="Y84" s="60">
        <f>SUM('SST TB'!M2:M44)</f>
        <v/>
      </c>
      <c r="Z84" s="60">
        <f>SUM('SST TB'!N2:N44)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Woosehill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46878.47</v>
      </c>
      <c r="C8" s="35" t="n">
        <v>39504.51</v>
      </c>
      <c r="D8" s="35" t="n">
        <v>40145.68</v>
      </c>
      <c r="E8" s="35" t="n">
        <v>48708.67</v>
      </c>
      <c r="F8" s="35" t="n">
        <v>42205.54</v>
      </c>
      <c r="G8" s="35" t="n">
        <v>34613.52</v>
      </c>
      <c r="H8" s="35" t="n">
        <v>42245.26</v>
      </c>
      <c r="I8" s="35" t="n">
        <v>33672.63</v>
      </c>
      <c r="J8" s="35" t="n">
        <v>25033.76</v>
      </c>
      <c r="K8" s="35" t="n">
        <v>26253.02</v>
      </c>
      <c r="L8" s="35" t="n">
        <v>21180.81</v>
      </c>
      <c r="M8" s="35" t="n">
        <v>28282.41</v>
      </c>
      <c r="N8" s="36">
        <f>SUM(B8:M8)</f>
        <v/>
      </c>
      <c r="O8" s="37" t="n">
        <v>23976.63</v>
      </c>
      <c r="P8" s="37" t="n">
        <v>23696.56</v>
      </c>
      <c r="Q8" s="37" t="n">
        <v>25469.58</v>
      </c>
      <c r="R8" s="37" t="n">
        <v>30200.56</v>
      </c>
      <c r="S8" s="37" t="n">
        <v>31166.02</v>
      </c>
      <c r="T8" s="37" t="n">
        <v>30767.52</v>
      </c>
      <c r="U8" s="37" t="n">
        <v>35467.3</v>
      </c>
      <c r="V8" s="38" t="n">
        <v>32680.41</v>
      </c>
      <c r="W8" s="38" t="n">
        <v>23942</v>
      </c>
      <c r="X8" s="38" t="n">
        <v>24553</v>
      </c>
      <c r="Y8" s="38" t="n">
        <v>23399</v>
      </c>
      <c r="Z8" s="38" t="n">
        <v>30884</v>
      </c>
      <c r="AA8" s="36">
        <f>SUM(O8:U8)</f>
        <v/>
      </c>
      <c r="AB8" s="36">
        <f>SUM(O8:Z8)</f>
        <v/>
      </c>
      <c r="AC8" s="38" t="n">
        <v>41588.67</v>
      </c>
      <c r="AD8" s="38" t="n">
        <v>39304.87</v>
      </c>
      <c r="AE8" s="38" t="n">
        <v>45975.67</v>
      </c>
      <c r="AF8" s="38" t="n">
        <v>44447.98</v>
      </c>
      <c r="AG8" s="38" t="n">
        <v>44789.08</v>
      </c>
      <c r="AH8" s="38" t="n">
        <v>46211.46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13609.7</v>
      </c>
      <c r="C9" s="35" t="n">
        <v>13565.2</v>
      </c>
      <c r="D9" s="35" t="n">
        <v>18208.75</v>
      </c>
      <c r="E9" s="35" t="n">
        <v>10311.05</v>
      </c>
      <c r="F9" s="35" t="n">
        <v>10311.05</v>
      </c>
      <c r="G9" s="35" t="n">
        <v>10311.05</v>
      </c>
      <c r="H9" s="35" t="n">
        <v>19083.82</v>
      </c>
      <c r="I9" s="35" t="n">
        <v>0</v>
      </c>
      <c r="J9" s="35" t="n">
        <v>11153.12</v>
      </c>
      <c r="K9" s="35" t="n">
        <v>11153.12</v>
      </c>
      <c r="L9" s="35" t="n">
        <v>14192.63</v>
      </c>
      <c r="M9" s="35" t="n">
        <v>14500.48</v>
      </c>
      <c r="N9" s="36">
        <f>SUM(B9:M9)</f>
        <v/>
      </c>
      <c r="O9" s="37" t="n">
        <v>14064.26</v>
      </c>
      <c r="P9" s="37" t="n">
        <v>14064.26</v>
      </c>
      <c r="Q9" s="37" t="n">
        <v>10942.29</v>
      </c>
      <c r="R9" s="37" t="n">
        <v>15118.85</v>
      </c>
      <c r="S9" s="37" t="n">
        <v>15118.85</v>
      </c>
      <c r="T9" s="37" t="n">
        <v>13296.96</v>
      </c>
      <c r="U9" s="37" t="n">
        <v>14511.56</v>
      </c>
      <c r="V9" s="38" t="n"/>
      <c r="W9" s="38" t="n">
        <v>15880</v>
      </c>
      <c r="X9" s="38" t="n">
        <v>14790</v>
      </c>
      <c r="Y9" s="38" t="n">
        <v>18944</v>
      </c>
      <c r="Z9" s="38" t="n">
        <v>13616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3087.1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-SUMIF('YBHN WH TB'!$R:$R,'WH P&amp;L'!$A10,'YBHN WH TB'!C:C)</f>
        <v/>
      </c>
      <c r="P10" s="37">
        <f>-SUMIF('YBHN WH TB'!$R:$R,'WH P&amp;L'!$A10,'YBHN WH TB'!D:D)</f>
        <v/>
      </c>
      <c r="Q10" s="37">
        <f>-SUMIF('YBHN WH TB'!$R:$R,'WH P&amp;L'!$A10,'YBHN WH TB'!E:E)</f>
        <v/>
      </c>
      <c r="R10" s="37">
        <f>-SUMIF('YBHN WH TB'!$R:$R,'WH P&amp;L'!$A10,'YBHN WH TB'!F:F)</f>
        <v/>
      </c>
      <c r="S10" s="37">
        <f>-SUMIF('YBHN WH TB'!$R:$R,'WH P&amp;L'!$A10,'YBHN WH TB'!G:G)</f>
        <v/>
      </c>
      <c r="T10" s="37">
        <f>-SUMIF('YBHN WH TB'!$R:$R,'WH P&amp;L'!$A10,'YBHN WH TB'!H:H)</f>
        <v/>
      </c>
      <c r="U10" s="37">
        <f>-SUMIF('YBHN WH TB'!$R:$R,'WH P&amp;L'!$A10,'YBHN WH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60488.17</v>
      </c>
      <c r="C11" s="42" t="n">
        <v>53069.71000000001</v>
      </c>
      <c r="D11" s="42" t="n">
        <v>58354.43</v>
      </c>
      <c r="E11" s="42" t="n">
        <v>59019.72</v>
      </c>
      <c r="F11" s="42" t="n">
        <v>52516.59</v>
      </c>
      <c r="G11" s="42" t="n">
        <v>44924.56999999999</v>
      </c>
      <c r="H11" s="42" t="n">
        <v>61329.08</v>
      </c>
      <c r="I11" s="42" t="n">
        <v>36759.73</v>
      </c>
      <c r="J11" s="42" t="n">
        <v>36186.88</v>
      </c>
      <c r="K11" s="42" t="n">
        <v>37406.14</v>
      </c>
      <c r="L11" s="42" t="n">
        <v>35373.44</v>
      </c>
      <c r="M11" s="42" t="n">
        <v>42782.89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20756.36</v>
      </c>
      <c r="C16" s="35" t="n">
        <v>19806.86</v>
      </c>
      <c r="D16" s="35" t="n">
        <v>20531.46</v>
      </c>
      <c r="E16" s="35" t="n">
        <v>19402.01</v>
      </c>
      <c r="F16" s="35" t="n">
        <v>22124.86</v>
      </c>
      <c r="G16" s="35" t="n">
        <v>22021.86</v>
      </c>
      <c r="H16" s="35" t="n">
        <v>24315.4</v>
      </c>
      <c r="I16" s="35" t="n">
        <v>24581.26</v>
      </c>
      <c r="J16" s="35" t="n">
        <v>23919.17</v>
      </c>
      <c r="K16" s="35" t="n">
        <v>23372.12</v>
      </c>
      <c r="L16" s="35" t="n">
        <v>23435.07</v>
      </c>
      <c r="M16" s="35" t="n">
        <v>23209.45</v>
      </c>
      <c r="N16" s="36">
        <f>SUM(B16:M16)</f>
        <v/>
      </c>
      <c r="O16" s="37" t="n">
        <v>24889.92</v>
      </c>
      <c r="P16" s="37" t="n">
        <v>22510.1</v>
      </c>
      <c r="Q16" s="37" t="n">
        <v>21677.19</v>
      </c>
      <c r="R16" s="37" t="n">
        <v>23069.23</v>
      </c>
      <c r="S16" s="37" t="n">
        <v>23667.51</v>
      </c>
      <c r="T16" s="37" t="n">
        <v>24501.65</v>
      </c>
      <c r="U16" s="37" t="n">
        <v>24044.23</v>
      </c>
      <c r="V16" s="38" t="n">
        <v>23746</v>
      </c>
      <c r="W16" s="38" t="n">
        <v>23746</v>
      </c>
      <c r="X16" s="38" t="n">
        <v>23746</v>
      </c>
      <c r="Y16" s="38" t="n">
        <v>23746</v>
      </c>
      <c r="Z16" s="38" t="n">
        <v>23746</v>
      </c>
      <c r="AA16" s="36">
        <f>SUM(O16:U16)</f>
        <v/>
      </c>
      <c r="AB16" s="36">
        <f>SUM(O16:Z16)</f>
        <v/>
      </c>
      <c r="AC16" s="38" t="n">
        <v>23746</v>
      </c>
      <c r="AD16" s="38" t="n">
        <v>23746</v>
      </c>
      <c r="AE16" s="38" t="n">
        <v>23746</v>
      </c>
      <c r="AF16" s="38" t="n">
        <v>23746</v>
      </c>
      <c r="AG16" s="38" t="n">
        <v>23746</v>
      </c>
      <c r="AH16" s="38" t="n">
        <v>23746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1655.57</v>
      </c>
      <c r="C17" s="35" t="n">
        <v>1539.05</v>
      </c>
      <c r="D17" s="35" t="n">
        <v>1352.02</v>
      </c>
      <c r="E17" s="35" t="n">
        <v>2052.92</v>
      </c>
      <c r="F17" s="35" t="n">
        <v>2333.4</v>
      </c>
      <c r="G17" s="35" t="n">
        <v>2443.45</v>
      </c>
      <c r="H17" s="35" t="n">
        <v>2653.22</v>
      </c>
      <c r="I17" s="35" t="n">
        <v>2586.83</v>
      </c>
      <c r="J17" s="35" t="n">
        <v>2580.16</v>
      </c>
      <c r="K17" s="35" t="n">
        <v>2539.9</v>
      </c>
      <c r="L17" s="35" t="n">
        <v>2560.76</v>
      </c>
      <c r="M17" s="35" t="n">
        <v>2576.25</v>
      </c>
      <c r="N17" s="36">
        <f>SUM(B17:M17)</f>
        <v/>
      </c>
      <c r="O17" s="37" t="n">
        <v>2704.66</v>
      </c>
      <c r="P17" s="37" t="n">
        <v>2448.49</v>
      </c>
      <c r="Q17" s="37" t="n">
        <v>2421.63</v>
      </c>
      <c r="R17" s="37" t="n">
        <v>2617.02</v>
      </c>
      <c r="S17" s="37" t="n">
        <v>2786.79</v>
      </c>
      <c r="T17" s="37" t="n">
        <v>2757.06</v>
      </c>
      <c r="U17" s="37" t="n">
        <v>2718.53</v>
      </c>
      <c r="V17" s="38" t="n">
        <v>2720</v>
      </c>
      <c r="W17" s="38" t="n">
        <v>2720</v>
      </c>
      <c r="X17" s="38" t="n">
        <v>2720</v>
      </c>
      <c r="Y17" s="38" t="n">
        <v>2720</v>
      </c>
      <c r="Z17" s="38" t="n">
        <v>2720</v>
      </c>
      <c r="AA17" s="36">
        <f>SUM(O17:U17)</f>
        <v/>
      </c>
      <c r="AB17" s="36">
        <f>SUM(O17:Z17)</f>
        <v/>
      </c>
      <c r="AC17" s="38" t="n">
        <v>2720</v>
      </c>
      <c r="AD17" s="38" t="n">
        <v>2720</v>
      </c>
      <c r="AE17" s="38" t="n">
        <v>2720</v>
      </c>
      <c r="AF17" s="38" t="n">
        <v>2720</v>
      </c>
      <c r="AG17" s="38" t="n">
        <v>2720</v>
      </c>
      <c r="AH17" s="38" t="n">
        <v>2720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417.15</v>
      </c>
      <c r="C18" s="35" t="n">
        <v>385.03</v>
      </c>
      <c r="D18" s="35" t="n">
        <v>349.16</v>
      </c>
      <c r="E18" s="35" t="n">
        <v>295.5</v>
      </c>
      <c r="F18" s="35" t="n">
        <v>316.81</v>
      </c>
      <c r="G18" s="35" t="n">
        <v>324.97</v>
      </c>
      <c r="H18" s="35" t="n">
        <v>296.65</v>
      </c>
      <c r="I18" s="35" t="n">
        <v>300.58</v>
      </c>
      <c r="J18" s="35" t="n">
        <v>267.24</v>
      </c>
      <c r="K18" s="35" t="n">
        <v>328.1</v>
      </c>
      <c r="L18" s="35" t="n">
        <v>388.4</v>
      </c>
      <c r="M18" s="35" t="n">
        <v>392.25</v>
      </c>
      <c r="N18" s="36">
        <f>SUM(B18:M18)</f>
        <v/>
      </c>
      <c r="O18" s="37" t="n">
        <v>411.41</v>
      </c>
      <c r="P18" s="37" t="n">
        <v>379.79</v>
      </c>
      <c r="Q18" s="37" t="n">
        <v>374.65</v>
      </c>
      <c r="R18" s="37" t="n">
        <v>408.21</v>
      </c>
      <c r="S18" s="37" t="n">
        <v>391.92</v>
      </c>
      <c r="T18" s="37" t="n">
        <v>393.36</v>
      </c>
      <c r="U18" s="37" t="n">
        <v>376.05</v>
      </c>
      <c r="V18" s="38" t="n">
        <v>398</v>
      </c>
      <c r="W18" s="38" t="n">
        <v>398</v>
      </c>
      <c r="X18" s="38" t="n">
        <v>398</v>
      </c>
      <c r="Y18" s="38" t="n">
        <v>398</v>
      </c>
      <c r="Z18" s="38" t="n">
        <v>398</v>
      </c>
      <c r="AA18" s="36">
        <f>SUM(O18:U18)</f>
        <v/>
      </c>
      <c r="AB18" s="36">
        <f>SUM(O18:Z18)</f>
        <v/>
      </c>
      <c r="AC18" s="38" t="n">
        <v>398</v>
      </c>
      <c r="AD18" s="38" t="n">
        <v>398</v>
      </c>
      <c r="AE18" s="38" t="n">
        <v>398</v>
      </c>
      <c r="AF18" s="38" t="n">
        <v>398</v>
      </c>
      <c r="AG18" s="38" t="n">
        <v>398</v>
      </c>
      <c r="AH18" s="38" t="n">
        <v>398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102.56</v>
      </c>
      <c r="C19" s="35" t="n">
        <v>0</v>
      </c>
      <c r="D19" s="35" t="n">
        <v>132.9</v>
      </c>
      <c r="E19" s="35" t="n">
        <v>0</v>
      </c>
      <c r="F19" s="35" t="n">
        <v>0</v>
      </c>
      <c r="G19" s="35" t="n">
        <v>0</v>
      </c>
      <c r="H19" s="35" t="n">
        <v>365.88</v>
      </c>
      <c r="I19" s="35" t="n">
        <v>0</v>
      </c>
      <c r="J19" s="35" t="n">
        <v>10.99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210.3</v>
      </c>
      <c r="T19" s="37" t="n">
        <v>0</v>
      </c>
      <c r="U19" s="37" t="n">
        <v>183</v>
      </c>
      <c r="V19" s="38" t="n">
        <v>59</v>
      </c>
      <c r="W19" s="38" t="n">
        <v>59</v>
      </c>
      <c r="X19" s="38" t="n">
        <v>59</v>
      </c>
      <c r="Y19" s="38" t="n">
        <v>59</v>
      </c>
      <c r="Z19" s="38" t="n">
        <v>59</v>
      </c>
      <c r="AA19" s="36">
        <f>SUM(O19:U19)</f>
        <v/>
      </c>
      <c r="AB19" s="36">
        <f>SUM(O19:Z19)</f>
        <v/>
      </c>
      <c r="AC19" s="38" t="n">
        <v>59</v>
      </c>
      <c r="AD19" s="38" t="n">
        <v>59</v>
      </c>
      <c r="AE19" s="38" t="n">
        <v>59</v>
      </c>
      <c r="AF19" s="38" t="n">
        <v>59</v>
      </c>
      <c r="AG19" s="38" t="n">
        <v>59</v>
      </c>
      <c r="AH19" s="38" t="n">
        <v>59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13.99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120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330.62</v>
      </c>
      <c r="M20" s="35" t="n">
        <v>0</v>
      </c>
      <c r="N20" s="36">
        <f>SUM(B20:M20)</f>
        <v/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26.25</v>
      </c>
      <c r="T20" s="37" t="n">
        <v>26.25</v>
      </c>
      <c r="U20" s="37" t="n">
        <v>26.25</v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156.89</v>
      </c>
      <c r="C21" s="35" t="n">
        <v>118.99</v>
      </c>
      <c r="D21" s="35" t="n">
        <v>0</v>
      </c>
      <c r="E21" s="35" t="n">
        <v>37.22</v>
      </c>
      <c r="F21" s="35" t="n">
        <v>40.65</v>
      </c>
      <c r="G21" s="35" t="n">
        <v>61.78</v>
      </c>
      <c r="H21" s="35" t="n">
        <v>45.84</v>
      </c>
      <c r="I21" s="35" t="n">
        <v>85.55</v>
      </c>
      <c r="J21" s="35" t="n">
        <v>36.86</v>
      </c>
      <c r="K21" s="35" t="n">
        <v>107.12</v>
      </c>
      <c r="L21" s="35" t="n">
        <v>53.8</v>
      </c>
      <c r="M21" s="35" t="n">
        <v>71.59999999999999</v>
      </c>
      <c r="N21" s="36">
        <f>SUM(B21:M21)</f>
        <v/>
      </c>
      <c r="O21" s="37" t="n">
        <v>49.95</v>
      </c>
      <c r="P21" s="37" t="n">
        <v>48.32</v>
      </c>
      <c r="Q21" s="37" t="n">
        <v>130.4</v>
      </c>
      <c r="R21" s="37" t="n">
        <v>92.13</v>
      </c>
      <c r="S21" s="37" t="n">
        <v>81.95</v>
      </c>
      <c r="T21" s="37" t="n">
        <v>84.83</v>
      </c>
      <c r="U21" s="37" t="n">
        <v>95.39</v>
      </c>
      <c r="V21" s="38" t="n">
        <v>120</v>
      </c>
      <c r="W21" s="38" t="n">
        <v>120</v>
      </c>
      <c r="X21" s="38" t="n">
        <v>120</v>
      </c>
      <c r="Y21" s="38" t="n">
        <v>120</v>
      </c>
      <c r="Z21" s="38" t="n">
        <v>120</v>
      </c>
      <c r="AA21" s="36">
        <f>SUM(O21:U21)</f>
        <v/>
      </c>
      <c r="AB21" s="36">
        <f>SUM(O21:Z21)</f>
        <v/>
      </c>
      <c r="AC21" s="38" t="n">
        <v>120</v>
      </c>
      <c r="AD21" s="38" t="n">
        <v>120</v>
      </c>
      <c r="AE21" s="38" t="n">
        <v>120</v>
      </c>
      <c r="AF21" s="38" t="n">
        <v>120</v>
      </c>
      <c r="AG21" s="38" t="n">
        <v>120</v>
      </c>
      <c r="AH21" s="38" t="n">
        <v>120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SUMIF('YBHN WH TB'!$R:$R,'WH P&amp;L'!$A22,'YBHN WH TB'!C:C)</f>
        <v/>
      </c>
      <c r="P22" s="37">
        <f>SUMIF('YBHN WH TB'!$R:$R,'WH P&amp;L'!$A22,'YBHN WH TB'!D:D)</f>
        <v/>
      </c>
      <c r="Q22" s="37">
        <f>SUMIF('YBHN WH TB'!$R:$R,'WH P&amp;L'!$A22,'YBHN WH TB'!E:E)</f>
        <v/>
      </c>
      <c r="R22" s="37">
        <f>SUMIF('YBHN WH TB'!$R:$R,'WH P&amp;L'!$A22,'YBHN WH TB'!F:F)</f>
        <v/>
      </c>
      <c r="S22" s="37">
        <f>SUMIF('YBHN WH TB'!$R:$R,'WH P&amp;L'!$A22,'YBHN WH TB'!G:G)</f>
        <v/>
      </c>
      <c r="T22" s="37">
        <f>SUMIF('YBHN WH TB'!$R:$R,'WH P&amp;L'!$A22,'YBHN WH TB'!H:H)</f>
        <v/>
      </c>
      <c r="U22" s="37">
        <f>SUMIF('YBHN WH TB'!$R:$R,'WH P&amp;L'!$A22,'YBHN WH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SUMIF('YBHN WH TB'!$R:$R,'WH P&amp;L'!$A23,'YBHN WH TB'!C:C)</f>
        <v/>
      </c>
      <c r="P23" s="37">
        <f>SUMIF('YBHN WH TB'!$R:$R,'WH P&amp;L'!$A23,'YBHN WH TB'!D:D)</f>
        <v/>
      </c>
      <c r="Q23" s="37">
        <f>SUMIF('YBHN WH TB'!$R:$R,'WH P&amp;L'!$A23,'YBHN WH TB'!E:E)</f>
        <v/>
      </c>
      <c r="R23" s="37">
        <f>SUMIF('YBHN WH TB'!$R:$R,'WH P&amp;L'!$A23,'YBHN WH TB'!F:F)</f>
        <v/>
      </c>
      <c r="S23" s="37">
        <f>SUMIF('YBHN WH TB'!$R:$R,'WH P&amp;L'!$A23,'YBHN WH TB'!G:G)</f>
        <v/>
      </c>
      <c r="T23" s="37">
        <f>SUMIF('YBHN WH TB'!$R:$R,'WH P&amp;L'!$A23,'YBHN WH TB'!H:H)</f>
        <v/>
      </c>
      <c r="U23" s="37">
        <f>SUMIF('YBHN WH TB'!$R:$R,'WH P&amp;L'!$A23,'YBHN WH TB'!I:I)</f>
        <v/>
      </c>
      <c r="V23" s="38" t="n">
        <v>50</v>
      </c>
      <c r="W23" s="38" t="n">
        <v>50</v>
      </c>
      <c r="X23" s="38" t="n">
        <v>50</v>
      </c>
      <c r="Y23" s="38" t="n">
        <v>50</v>
      </c>
      <c r="Z23" s="38" t="n">
        <v>50</v>
      </c>
      <c r="AA23" s="36">
        <f>SUM(O23:U23)</f>
        <v/>
      </c>
      <c r="AB23" s="36">
        <f>SUM(O23:Z23)</f>
        <v/>
      </c>
      <c r="AC23" s="38" t="n">
        <v>50</v>
      </c>
      <c r="AD23" s="38" t="n">
        <v>50</v>
      </c>
      <c r="AE23" s="38" t="n">
        <v>50</v>
      </c>
      <c r="AF23" s="38" t="n">
        <v>50</v>
      </c>
      <c r="AG23" s="38" t="n">
        <v>50</v>
      </c>
      <c r="AH23" s="38" t="n">
        <v>50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SUMIF('YBHN WH TB'!$R:$R,'WH P&amp;L'!$A24,'YBHN WH TB'!C:C)</f>
        <v/>
      </c>
      <c r="P24" s="37">
        <f>SUMIF('YBHN WH TB'!$R:$R,'WH P&amp;L'!$A24,'YBHN WH TB'!D:D)</f>
        <v/>
      </c>
      <c r="Q24" s="37">
        <f>SUMIF('YBHN WH TB'!$R:$R,'WH P&amp;L'!$A24,'YBHN WH TB'!E:E)</f>
        <v/>
      </c>
      <c r="R24" s="37">
        <f>SUMIF('YBHN WH TB'!$R:$R,'WH P&amp;L'!$A24,'YBHN WH TB'!F:F)</f>
        <v/>
      </c>
      <c r="S24" s="37">
        <f>SUMIF('YBHN WH TB'!$R:$R,'WH P&amp;L'!$A24,'YBHN WH TB'!G:G)</f>
        <v/>
      </c>
      <c r="T24" s="37">
        <f>SUMIF('YBHN WH TB'!$R:$R,'WH P&amp;L'!$A24,'YBHN WH TB'!H:H)</f>
        <v/>
      </c>
      <c r="U24" s="37">
        <f>SUMIF('YBHN WH TB'!$R:$R,'WH P&amp;L'!$A24,'YBHN WH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23102.52</v>
      </c>
      <c r="C25" s="42" t="n">
        <v>21849.93</v>
      </c>
      <c r="D25" s="42" t="n">
        <v>22365.54</v>
      </c>
      <c r="E25" s="42" t="n">
        <v>21787.65</v>
      </c>
      <c r="F25" s="42" t="n">
        <v>24815.72</v>
      </c>
      <c r="G25" s="42" t="n">
        <v>24972.06</v>
      </c>
      <c r="H25" s="42" t="n">
        <v>27676.99000000001</v>
      </c>
      <c r="I25" s="42" t="n">
        <v>27554.22</v>
      </c>
      <c r="J25" s="42" t="n">
        <v>26814.42</v>
      </c>
      <c r="K25" s="42" t="n">
        <v>26347.24</v>
      </c>
      <c r="L25" s="42" t="n">
        <v>26768.65</v>
      </c>
      <c r="M25" s="42" t="n">
        <v>26249.55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1049.2</v>
      </c>
      <c r="C27" s="35" t="n">
        <v>1062.81</v>
      </c>
      <c r="D27" s="35" t="n">
        <v>1232.3</v>
      </c>
      <c r="E27" s="35" t="n">
        <v>574.0400000000001</v>
      </c>
      <c r="F27" s="35" t="n">
        <v>921.63</v>
      </c>
      <c r="G27" s="35" t="n">
        <v>838.97</v>
      </c>
      <c r="H27" s="35" t="n">
        <v>794.59</v>
      </c>
      <c r="I27" s="35" t="n">
        <v>714.28</v>
      </c>
      <c r="J27" s="35" t="n">
        <v>588.1</v>
      </c>
      <c r="K27" s="35" t="n">
        <v>808.9399999999999</v>
      </c>
      <c r="L27" s="35" t="n">
        <v>585.75</v>
      </c>
      <c r="M27" s="35" t="n">
        <v>647.7600000000001</v>
      </c>
      <c r="N27" s="36">
        <f>SUM(B27:M27)</f>
        <v/>
      </c>
      <c r="O27" s="37" t="n">
        <v>906.8599999999999</v>
      </c>
      <c r="P27" s="37" t="n">
        <v>696.4000000000001</v>
      </c>
      <c r="Q27" s="37" t="n">
        <v>694.97</v>
      </c>
      <c r="R27" s="37" t="n">
        <v>855.39</v>
      </c>
      <c r="S27" s="37" t="n">
        <v>659.86</v>
      </c>
      <c r="T27" s="37" t="n">
        <v>698.38</v>
      </c>
      <c r="U27" s="37" t="n">
        <v>939.7800000000001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56.48</v>
      </c>
      <c r="C28" s="35" t="n">
        <v>2434.38</v>
      </c>
      <c r="D28" s="35" t="n">
        <v>198.96</v>
      </c>
      <c r="E28" s="35" t="n">
        <v>106.88</v>
      </c>
      <c r="F28" s="35" t="n">
        <v>171.09</v>
      </c>
      <c r="G28" s="35" t="n">
        <v>0</v>
      </c>
      <c r="H28" s="35" t="n">
        <v>0</v>
      </c>
      <c r="I28" s="35" t="n">
        <v>145.55</v>
      </c>
      <c r="J28" s="35" t="n">
        <v>0</v>
      </c>
      <c r="K28" s="35" t="n">
        <v>14.99</v>
      </c>
      <c r="L28" s="35" t="n">
        <v>30</v>
      </c>
      <c r="M28" s="35" t="n">
        <v>0</v>
      </c>
      <c r="N28" s="36">
        <f>SUM(B28:M28)</f>
        <v/>
      </c>
      <c r="O28" s="37" t="n">
        <v>89.94</v>
      </c>
      <c r="P28" s="37" t="n">
        <v>132.89</v>
      </c>
      <c r="Q28" s="37" t="n">
        <v>77.36</v>
      </c>
      <c r="R28" s="37" t="n">
        <v>20.99</v>
      </c>
      <c r="S28" s="37" t="n">
        <v>0</v>
      </c>
      <c r="T28" s="37" t="n">
        <v>48.62</v>
      </c>
      <c r="U28" s="37" t="n">
        <v>15.42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187.9</v>
      </c>
      <c r="C29" s="35" t="n">
        <v>351.06</v>
      </c>
      <c r="D29" s="35" t="n">
        <v>170.57</v>
      </c>
      <c r="E29" s="35" t="n">
        <v>47.49</v>
      </c>
      <c r="F29" s="35" t="n">
        <v>128.06</v>
      </c>
      <c r="G29" s="35" t="n">
        <v>77.17999999999999</v>
      </c>
      <c r="H29" s="35" t="n">
        <v>48.36</v>
      </c>
      <c r="I29" s="35" t="n">
        <v>110.18</v>
      </c>
      <c r="J29" s="35" t="n">
        <v>80.65000000000001</v>
      </c>
      <c r="K29" s="35" t="n">
        <v>33.87</v>
      </c>
      <c r="L29" s="35" t="n">
        <v>144.55</v>
      </c>
      <c r="M29" s="35" t="n">
        <v>7.78</v>
      </c>
      <c r="N29" s="36">
        <f>SUM(B29:M29)</f>
        <v/>
      </c>
      <c r="O29" s="37" t="n">
        <v>194.94</v>
      </c>
      <c r="P29" s="37" t="n">
        <v>32.95</v>
      </c>
      <c r="Q29" s="37" t="n">
        <v>99.97</v>
      </c>
      <c r="R29" s="37" t="n">
        <v>73.15000000000001</v>
      </c>
      <c r="S29" s="37" t="n">
        <v>9.98</v>
      </c>
      <c r="T29" s="37" t="n">
        <v>211.57</v>
      </c>
      <c r="U29" s="37" t="n">
        <v>115.11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0.00312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SUMIF('YBHN WH TB'!$R:$R,'WH P&amp;L'!$A30,'YBHN WH TB'!C:C)</f>
        <v/>
      </c>
      <c r="P30" s="37">
        <f>SUMIF('YBHN WH TB'!$R:$R,'WH P&amp;L'!$A30,'YBHN WH TB'!D:D)</f>
        <v/>
      </c>
      <c r="Q30" s="37">
        <f>SUMIF('YBHN WH TB'!$R:$R,'WH P&amp;L'!$A30,'YBHN WH TB'!E:E)</f>
        <v/>
      </c>
      <c r="R30" s="37">
        <f>SUMIF('YBHN WH TB'!$R:$R,'WH P&amp;L'!$A30,'YBHN WH TB'!F:F)</f>
        <v/>
      </c>
      <c r="S30" s="37">
        <f>SUMIF('YBHN WH TB'!$R:$R,'WH P&amp;L'!$A30,'YBHN WH TB'!G:G)</f>
        <v/>
      </c>
      <c r="T30" s="37">
        <f>SUMIF('YBHN WH TB'!$R:$R,'WH P&amp;L'!$A30,'YBHN WH TB'!H:H)</f>
        <v/>
      </c>
      <c r="U30" s="37">
        <f>SUMIF('YBHN WH TB'!$R:$R,'WH P&amp;L'!$A30,'YBHN WH TB'!I:I)</f>
        <v/>
      </c>
      <c r="V30" s="38" t="n">
        <v>0</v>
      </c>
      <c r="W30" s="38" t="n">
        <v>0</v>
      </c>
      <c r="X30" s="38" t="n">
        <v>0</v>
      </c>
      <c r="Y30" s="38" t="n">
        <v>0</v>
      </c>
      <c r="Z30" s="38" t="n">
        <v>0</v>
      </c>
      <c r="AA30" s="36">
        <f>SUM(O30:U30)</f>
        <v/>
      </c>
      <c r="AB30" s="36">
        <f>SUM(O30:Z30)</f>
        <v/>
      </c>
      <c r="AC30" s="38" t="n">
        <v>0</v>
      </c>
      <c r="AD30" s="38" t="n">
        <v>0</v>
      </c>
      <c r="AE30" s="38" t="n">
        <v>0</v>
      </c>
      <c r="AF30" s="38" t="n">
        <v>0</v>
      </c>
      <c r="AG30" s="38" t="n">
        <v>0</v>
      </c>
      <c r="AH30" s="38" t="n">
        <v>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80.35000000000001</v>
      </c>
      <c r="C31" s="35" t="n">
        <v>250.49</v>
      </c>
      <c r="D31" s="35" t="n">
        <v>70.2</v>
      </c>
      <c r="E31" s="35" t="n">
        <v>35.98</v>
      </c>
      <c r="F31" s="35" t="n">
        <v>0</v>
      </c>
      <c r="G31" s="35" t="n">
        <v>0</v>
      </c>
      <c r="H31" s="35" t="n">
        <v>88.72</v>
      </c>
      <c r="I31" s="35" t="n">
        <v>126.39</v>
      </c>
      <c r="J31" s="35" t="n">
        <v>514.62</v>
      </c>
      <c r="K31" s="35" t="n">
        <v>0</v>
      </c>
      <c r="L31" s="35" t="n">
        <v>46.66999999999999</v>
      </c>
      <c r="M31" s="35" t="n">
        <v>44.19</v>
      </c>
      <c r="N31" s="36">
        <f>SUM(B31:M31)</f>
        <v/>
      </c>
      <c r="O31" s="37" t="n">
        <v>122.4</v>
      </c>
      <c r="P31" s="37" t="n">
        <v>0</v>
      </c>
      <c r="Q31" s="37" t="n">
        <v>57.8</v>
      </c>
      <c r="R31" s="37" t="n">
        <v>32.62</v>
      </c>
      <c r="S31" s="37" t="n">
        <v>27.14</v>
      </c>
      <c r="T31" s="37" t="n">
        <v>28.94</v>
      </c>
      <c r="U31" s="37" t="n">
        <v>28.29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124.1</v>
      </c>
      <c r="C32" s="35" t="n">
        <v>44.78</v>
      </c>
      <c r="D32" s="35" t="n">
        <v>0</v>
      </c>
      <c r="E32" s="35" t="n">
        <v>99.52</v>
      </c>
      <c r="F32" s="35" t="n">
        <v>139.21</v>
      </c>
      <c r="G32" s="35" t="n">
        <v>57.26</v>
      </c>
      <c r="H32" s="35" t="n">
        <v>193.75</v>
      </c>
      <c r="I32" s="35" t="n">
        <v>133.31</v>
      </c>
      <c r="J32" s="35" t="n">
        <v>99.92999999999999</v>
      </c>
      <c r="K32" s="35" t="n">
        <v>94.45</v>
      </c>
      <c r="L32" s="35" t="n">
        <v>185.97</v>
      </c>
      <c r="M32" s="35" t="n">
        <v>214.41</v>
      </c>
      <c r="N32" s="36">
        <f>SUM(B32:M32)</f>
        <v/>
      </c>
      <c r="O32" s="37" t="n">
        <v>145.71</v>
      </c>
      <c r="P32" s="37" t="n">
        <v>147.53</v>
      </c>
      <c r="Q32" s="37" t="n">
        <v>158.74</v>
      </c>
      <c r="R32" s="37" t="n">
        <v>182.53</v>
      </c>
      <c r="S32" s="37" t="n">
        <v>355.95</v>
      </c>
      <c r="T32" s="37" t="n">
        <v>192.73</v>
      </c>
      <c r="U32" s="37" t="n">
        <v>329.9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SUMIF('YBHN WH TB'!$R:$R,'WH P&amp;L'!$A33,'YBHN WH TB'!C:C)</f>
        <v/>
      </c>
      <c r="P33" s="37">
        <f>SUMIF('YBHN WH TB'!$R:$R,'WH P&amp;L'!$A33,'YBHN WH TB'!D:D)</f>
        <v/>
      </c>
      <c r="Q33" s="37">
        <f>SUMIF('YBHN WH TB'!$R:$R,'WH P&amp;L'!$A33,'YBHN WH TB'!E:E)</f>
        <v/>
      </c>
      <c r="R33" s="37">
        <f>SUMIF('YBHN WH TB'!$R:$R,'WH P&amp;L'!$A33,'YBHN WH TB'!F:F)</f>
        <v/>
      </c>
      <c r="S33" s="37">
        <f>SUMIF('YBHN WH TB'!$R:$R,'WH P&amp;L'!$A33,'YBHN WH TB'!G:G)</f>
        <v/>
      </c>
      <c r="T33" s="37">
        <f>SUMIF('YBHN WH TB'!$R:$R,'WH P&amp;L'!$A33,'YBHN WH TB'!H:H)</f>
        <v/>
      </c>
      <c r="U33" s="37">
        <f>SUMIF('YBHN WH TB'!$R:$R,'WH P&amp;L'!$A33,'YBHN WH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1498.03</v>
      </c>
      <c r="C34" s="42" t="n">
        <v>4143.52</v>
      </c>
      <c r="D34" s="42" t="n">
        <v>1672.03</v>
      </c>
      <c r="E34" s="42" t="n">
        <v>863.9100000000001</v>
      </c>
      <c r="F34" s="42" t="n">
        <v>1359.99</v>
      </c>
      <c r="G34" s="42" t="n">
        <v>973.41</v>
      </c>
      <c r="H34" s="42" t="n">
        <v>1125.42</v>
      </c>
      <c r="I34" s="42" t="n">
        <v>1229.71</v>
      </c>
      <c r="J34" s="42" t="n">
        <v>1283.3</v>
      </c>
      <c r="K34" s="42" t="n">
        <v>952.25</v>
      </c>
      <c r="L34" s="42" t="n">
        <v>992.9399999999999</v>
      </c>
      <c r="M34" s="42" t="n">
        <v>914.14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458.33</v>
      </c>
      <c r="C36" s="35" t="n">
        <v>458.33</v>
      </c>
      <c r="D36" s="35" t="n">
        <v>458.33</v>
      </c>
      <c r="E36" s="35" t="n">
        <v>458.33</v>
      </c>
      <c r="F36" s="35" t="n">
        <v>458.33</v>
      </c>
      <c r="G36" s="35" t="n">
        <v>458.33</v>
      </c>
      <c r="H36" s="35" t="n">
        <v>458.34</v>
      </c>
      <c r="I36" s="35" t="n">
        <v>458.33</v>
      </c>
      <c r="J36" s="35" t="n">
        <v>458.33</v>
      </c>
      <c r="K36" s="35" t="n">
        <v>458.33</v>
      </c>
      <c r="L36" s="35" t="n">
        <v>458.33</v>
      </c>
      <c r="M36" s="35" t="n">
        <v>458.34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1912.83</v>
      </c>
      <c r="C37" s="35" t="n">
        <v>1912.83</v>
      </c>
      <c r="D37" s="35" t="n">
        <v>1912.83</v>
      </c>
      <c r="E37" s="35" t="n">
        <v>1912.83</v>
      </c>
      <c r="F37" s="35" t="n">
        <v>1912.82</v>
      </c>
      <c r="G37" s="35" t="n">
        <v>1912.83</v>
      </c>
      <c r="H37" s="35" t="n">
        <v>1912.83</v>
      </c>
      <c r="I37" s="35" t="n">
        <v>1912.83</v>
      </c>
      <c r="J37" s="35" t="n">
        <v>1912.83</v>
      </c>
      <c r="K37" s="35" t="n">
        <v>1912.83</v>
      </c>
      <c r="L37" s="35" t="n">
        <v>1912.83</v>
      </c>
      <c r="M37" s="35" t="n">
        <v>1912.83</v>
      </c>
      <c r="N37" s="36">
        <f>SUM(B37:M37)</f>
        <v/>
      </c>
      <c r="O37" s="37" t="n">
        <v>1912.85</v>
      </c>
      <c r="P37" s="37" t="n">
        <v>1912.84</v>
      </c>
      <c r="Q37" s="37" t="n">
        <v>1912.84</v>
      </c>
      <c r="R37" s="37" t="n">
        <v>2199.76</v>
      </c>
      <c r="S37" s="37" t="n">
        <v>2199.76</v>
      </c>
      <c r="T37" s="37" t="n">
        <v>2199.76</v>
      </c>
      <c r="U37" s="37" t="n">
        <v>2199.75</v>
      </c>
      <c r="V37" s="38" t="n">
        <v>2199.758333333333</v>
      </c>
      <c r="W37" s="38" t="n">
        <v>2199.758333333333</v>
      </c>
      <c r="X37" s="38" t="n">
        <v>2199.758333333333</v>
      </c>
      <c r="Y37" s="38" t="n">
        <v>2199.758333333333</v>
      </c>
      <c r="Z37" s="38" t="n">
        <v>2199.758333333333</v>
      </c>
      <c r="AA37" s="36">
        <f>SUM(O37:U37)</f>
        <v/>
      </c>
      <c r="AB37" s="36">
        <f>SUM(O37:Z37)</f>
        <v/>
      </c>
      <c r="AC37" s="38" t="n">
        <v>2199.758333333333</v>
      </c>
      <c r="AD37" s="38" t="n">
        <v>2199.758333333333</v>
      </c>
      <c r="AE37" s="38" t="n">
        <v>2199.758333333333</v>
      </c>
      <c r="AF37" s="38" t="n">
        <v>2199.758333333333</v>
      </c>
      <c r="AG37" s="38" t="n">
        <v>2199.758333333333</v>
      </c>
      <c r="AH37" s="38" t="n">
        <v>2199.758333333333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2331.47</v>
      </c>
      <c r="C38" s="35" t="n">
        <v>1807.76</v>
      </c>
      <c r="D38" s="35" t="n">
        <v>1837.04</v>
      </c>
      <c r="E38" s="35" t="n">
        <v>5561.08</v>
      </c>
      <c r="F38" s="35" t="n">
        <v>2515.04</v>
      </c>
      <c r="G38" s="35" t="n">
        <v>809.6</v>
      </c>
      <c r="H38" s="35" t="n">
        <v>-627.6799999999998</v>
      </c>
      <c r="I38" s="35" t="n">
        <v>1420.78</v>
      </c>
      <c r="J38" s="35" t="n">
        <v>-916.72</v>
      </c>
      <c r="K38" s="35" t="n">
        <v>793.16</v>
      </c>
      <c r="L38" s="35" t="n">
        <v>1189.91</v>
      </c>
      <c r="M38" s="35" t="n">
        <v>1813.66</v>
      </c>
      <c r="N38" s="36">
        <f>SUM(B38:M38)</f>
        <v/>
      </c>
      <c r="O38" s="37" t="n">
        <v>2595.94</v>
      </c>
      <c r="P38" s="37" t="n">
        <v>2644.67</v>
      </c>
      <c r="Q38" s="37" t="n">
        <v>2314.76</v>
      </c>
      <c r="R38" s="37" t="n">
        <v>2077.75</v>
      </c>
      <c r="S38" s="37" t="n">
        <v>1585.76</v>
      </c>
      <c r="T38" s="37" t="n">
        <v>942.4300000000001</v>
      </c>
      <c r="U38" s="37" t="n">
        <v>874.91</v>
      </c>
      <c r="V38" s="38" t="n">
        <v>1655</v>
      </c>
      <c r="W38" s="38" t="n">
        <v>1655</v>
      </c>
      <c r="X38" s="38" t="n">
        <v>1655</v>
      </c>
      <c r="Y38" s="38" t="n">
        <v>1655</v>
      </c>
      <c r="Z38" s="38" t="n">
        <v>1655</v>
      </c>
      <c r="AA38" s="36">
        <f>SUM(O38:U38)</f>
        <v/>
      </c>
      <c r="AB38" s="36">
        <f>SUM(O38:Z38)</f>
        <v/>
      </c>
      <c r="AC38" s="38" t="n">
        <v>1655</v>
      </c>
      <c r="AD38" s="38" t="n">
        <v>1655</v>
      </c>
      <c r="AE38" s="38" t="n">
        <v>1655</v>
      </c>
      <c r="AF38" s="38" t="n">
        <v>1655</v>
      </c>
      <c r="AG38" s="38" t="n">
        <v>1655</v>
      </c>
      <c r="AH38" s="38" t="n">
        <v>1655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469.71</v>
      </c>
      <c r="C39" s="35" t="n">
        <v>670.26</v>
      </c>
      <c r="D39" s="35" t="n">
        <v>951.96</v>
      </c>
      <c r="E39" s="35" t="n">
        <v>162</v>
      </c>
      <c r="F39" s="35" t="n">
        <v>0</v>
      </c>
      <c r="G39" s="35" t="n">
        <v>0</v>
      </c>
      <c r="H39" s="35" t="n">
        <v>28.16</v>
      </c>
      <c r="I39" s="35" t="n">
        <v>0</v>
      </c>
      <c r="J39" s="35" t="n">
        <v>11.4</v>
      </c>
      <c r="K39" s="35" t="n">
        <v>0</v>
      </c>
      <c r="L39" s="35" t="n">
        <v>0</v>
      </c>
      <c r="M39" s="35" t="n">
        <v>125.66</v>
      </c>
      <c r="N39" s="36">
        <f>SUM(B39:M39)</f>
        <v/>
      </c>
      <c r="O39" s="37" t="n">
        <v>55.1</v>
      </c>
      <c r="P39" s="37" t="n">
        <v>109.27</v>
      </c>
      <c r="Q39" s="37" t="n">
        <v>0</v>
      </c>
      <c r="R39" s="37" t="n">
        <v>0</v>
      </c>
      <c r="S39" s="37" t="n">
        <v>0</v>
      </c>
      <c r="T39" s="37" t="n">
        <v>7.77</v>
      </c>
      <c r="U39" s="37" t="n">
        <v>369.46</v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224.18</v>
      </c>
      <c r="C40" s="35" t="n">
        <v>146.78</v>
      </c>
      <c r="D40" s="35" t="n">
        <v>513.5799999999999</v>
      </c>
      <c r="E40" s="35" t="n">
        <v>443.7099999999999</v>
      </c>
      <c r="F40" s="35" t="n">
        <v>466.8200000000001</v>
      </c>
      <c r="G40" s="35" t="n">
        <v>228.26</v>
      </c>
      <c r="H40" s="35" t="n">
        <v>233.02</v>
      </c>
      <c r="I40" s="35" t="n">
        <v>200.11</v>
      </c>
      <c r="J40" s="35" t="n">
        <v>110.69</v>
      </c>
      <c r="K40" s="35" t="n">
        <v>311.4399999999999</v>
      </c>
      <c r="L40" s="35" t="n">
        <v>302.55</v>
      </c>
      <c r="M40" s="35" t="n">
        <v>77.78</v>
      </c>
      <c r="N40" s="36">
        <f>SUM(B40:M40)</f>
        <v/>
      </c>
      <c r="O40" s="37" t="n">
        <v>312.05</v>
      </c>
      <c r="P40" s="37" t="n">
        <v>159.81</v>
      </c>
      <c r="Q40" s="37" t="n">
        <v>90.3</v>
      </c>
      <c r="R40" s="37" t="n">
        <v>184.06</v>
      </c>
      <c r="S40" s="37" t="n">
        <v>182.25</v>
      </c>
      <c r="T40" s="37" t="n">
        <v>181</v>
      </c>
      <c r="U40" s="37" t="n">
        <v>479.6300000000001</v>
      </c>
      <c r="V40" s="38" t="n">
        <v>287</v>
      </c>
      <c r="W40" s="38" t="n">
        <v>287</v>
      </c>
      <c r="X40" s="38" t="n">
        <v>287</v>
      </c>
      <c r="Y40" s="38" t="n">
        <v>287</v>
      </c>
      <c r="Z40" s="38" t="n">
        <v>287</v>
      </c>
      <c r="AA40" s="36">
        <f>SUM(O40:U40)</f>
        <v/>
      </c>
      <c r="AB40" s="36">
        <f>SUM(O40:Z40)</f>
        <v/>
      </c>
      <c r="AC40" s="38" t="n">
        <v>287</v>
      </c>
      <c r="AD40" s="38" t="n">
        <v>287</v>
      </c>
      <c r="AE40" s="38" t="n">
        <v>287</v>
      </c>
      <c r="AF40" s="38" t="n">
        <v>287</v>
      </c>
      <c r="AG40" s="38" t="n">
        <v>287</v>
      </c>
      <c r="AH40" s="38" t="n">
        <v>287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305.84</v>
      </c>
      <c r="C41" s="35" t="n">
        <v>267.48</v>
      </c>
      <c r="D41" s="35" t="n">
        <v>329.28</v>
      </c>
      <c r="E41" s="35" t="n">
        <v>272.3</v>
      </c>
      <c r="F41" s="35" t="n">
        <v>269.13</v>
      </c>
      <c r="G41" s="35" t="n">
        <v>322.55</v>
      </c>
      <c r="H41" s="35" t="n">
        <v>346.55</v>
      </c>
      <c r="I41" s="35" t="n">
        <v>440.11</v>
      </c>
      <c r="J41" s="35" t="n">
        <v>295.53</v>
      </c>
      <c r="K41" s="35" t="n">
        <v>269.13</v>
      </c>
      <c r="L41" s="35" t="n">
        <v>301.56</v>
      </c>
      <c r="M41" s="35" t="n">
        <v>342</v>
      </c>
      <c r="N41" s="36">
        <f>SUM(B41:M41)</f>
        <v/>
      </c>
      <c r="O41" s="37" t="n">
        <v>288.59</v>
      </c>
      <c r="P41" s="37" t="n">
        <v>288.59</v>
      </c>
      <c r="Q41" s="37" t="n">
        <v>299.99</v>
      </c>
      <c r="R41" s="37" t="n">
        <v>342.61</v>
      </c>
      <c r="S41" s="37" t="n">
        <v>509.74</v>
      </c>
      <c r="T41" s="37" t="n">
        <v>529.5</v>
      </c>
      <c r="U41" s="37" t="n">
        <v>567.21</v>
      </c>
      <c r="V41" s="38" t="n">
        <v>313</v>
      </c>
      <c r="W41" s="38" t="n">
        <v>313</v>
      </c>
      <c r="X41" s="38" t="n">
        <v>313</v>
      </c>
      <c r="Y41" s="38" t="n">
        <v>313</v>
      </c>
      <c r="Z41" s="38" t="n">
        <v>313</v>
      </c>
      <c r="AA41" s="36">
        <f>SUM(O41:U41)</f>
        <v/>
      </c>
      <c r="AB41" s="36">
        <f>SUM(O41:Z41)</f>
        <v/>
      </c>
      <c r="AC41" s="38" t="n">
        <v>313</v>
      </c>
      <c r="AD41" s="38" t="n">
        <v>313</v>
      </c>
      <c r="AE41" s="38" t="n">
        <v>313</v>
      </c>
      <c r="AF41" s="38" t="n">
        <v>313</v>
      </c>
      <c r="AG41" s="38" t="n">
        <v>313</v>
      </c>
      <c r="AH41" s="38" t="n">
        <v>313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52.2</v>
      </c>
      <c r="C42" s="35" t="n">
        <v>53.91</v>
      </c>
      <c r="D42" s="35" t="n">
        <v>34.9</v>
      </c>
      <c r="E42" s="35" t="n">
        <v>57.92</v>
      </c>
      <c r="F42" s="35" t="n">
        <v>15.71</v>
      </c>
      <c r="G42" s="35" t="n">
        <v>40.2</v>
      </c>
      <c r="H42" s="35" t="n">
        <v>21.38</v>
      </c>
      <c r="I42" s="35" t="n">
        <v>95.39999999999999</v>
      </c>
      <c r="J42" s="35" t="n">
        <v>21.18</v>
      </c>
      <c r="K42" s="35" t="n">
        <v>65.27</v>
      </c>
      <c r="L42" s="35" t="n">
        <v>30.78</v>
      </c>
      <c r="M42" s="35" t="n">
        <v>23.14</v>
      </c>
      <c r="N42" s="36">
        <f>SUM(B42:M42)</f>
        <v/>
      </c>
      <c r="O42" s="37" t="n">
        <v>74.81999999999999</v>
      </c>
      <c r="P42" s="37" t="n">
        <v>34.98</v>
      </c>
      <c r="Q42" s="37" t="n">
        <v>40.59</v>
      </c>
      <c r="R42" s="37" t="n">
        <v>23.32</v>
      </c>
      <c r="S42" s="37" t="n">
        <v>16.91</v>
      </c>
      <c r="T42" s="37" t="n">
        <v>47.48999999999999</v>
      </c>
      <c r="U42" s="37" t="n">
        <v>33.83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0</v>
      </c>
      <c r="Q43" s="37" t="n">
        <v>5.95</v>
      </c>
      <c r="R43" s="37" t="n">
        <v>0</v>
      </c>
      <c r="S43" s="37" t="n">
        <v>176</v>
      </c>
      <c r="T43" s="37" t="n">
        <v>0</v>
      </c>
      <c r="U43" s="37" t="n">
        <v>18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SUMIF('YBHN WH TB'!$R:$R,'WH P&amp;L'!$A44,'YBHN WH TB'!C:C)</f>
        <v/>
      </c>
      <c r="P44" s="37">
        <f>SUMIF('YBHN WH TB'!$R:$R,'WH P&amp;L'!$A44,'YBHN WH TB'!D:D)</f>
        <v/>
      </c>
      <c r="Q44" s="37">
        <f>SUMIF('YBHN WH TB'!$R:$R,'WH P&amp;L'!$A44,'YBHN WH TB'!E:E)</f>
        <v/>
      </c>
      <c r="R44" s="37">
        <f>SUMIF('YBHN WH TB'!$R:$R,'WH P&amp;L'!$A44,'YBHN WH TB'!F:F)</f>
        <v/>
      </c>
      <c r="S44" s="37">
        <f>SUMIF('YBHN WH TB'!$R:$R,'WH P&amp;L'!$A44,'YBHN WH TB'!G:G)</f>
        <v/>
      </c>
      <c r="T44" s="37">
        <f>SUMIF('YBHN WH TB'!$R:$R,'WH P&amp;L'!$A44,'YBHN WH TB'!H:H)</f>
        <v/>
      </c>
      <c r="U44" s="37">
        <f>SUMIF('YBHN WH TB'!$R:$R,'WH P&amp;L'!$A44,'YBHN WH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SUMIF('YBHN WH TB'!$R:$R,'WH P&amp;L'!$A45,'YBHN WH TB'!C:C)</f>
        <v/>
      </c>
      <c r="P45" s="37">
        <f>SUMIF('YBHN WH TB'!$R:$R,'WH P&amp;L'!$A45,'YBHN WH TB'!D:D)</f>
        <v/>
      </c>
      <c r="Q45" s="37">
        <f>SUMIF('YBHN WH TB'!$R:$R,'WH P&amp;L'!$A45,'YBHN WH TB'!E:E)</f>
        <v/>
      </c>
      <c r="R45" s="37">
        <f>SUMIF('YBHN WH TB'!$R:$R,'WH P&amp;L'!$A45,'YBHN WH TB'!F:F)</f>
        <v/>
      </c>
      <c r="S45" s="37">
        <f>SUMIF('YBHN WH TB'!$R:$R,'WH P&amp;L'!$A45,'YBHN WH TB'!G:G)</f>
        <v/>
      </c>
      <c r="T45" s="37">
        <f>SUMIF('YBHN WH TB'!$R:$R,'WH P&amp;L'!$A45,'YBHN WH TB'!H:H)</f>
        <v/>
      </c>
      <c r="U45" s="37">
        <f>SUMIF('YBHN WH TB'!$R:$R,'WH P&amp;L'!$A45,'YBHN WH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SUMIF('YBHN WH TB'!$R:$R,'WH P&amp;L'!$A46,'YBHN WH TB'!C:C)</f>
        <v/>
      </c>
      <c r="P46" s="37">
        <f>SUMIF('YBHN WH TB'!$R:$R,'WH P&amp;L'!$A46,'YBHN WH TB'!D:D)</f>
        <v/>
      </c>
      <c r="Q46" s="37">
        <f>SUMIF('YBHN WH TB'!$R:$R,'WH P&amp;L'!$A46,'YBHN WH TB'!E:E)</f>
        <v/>
      </c>
      <c r="R46" s="37">
        <f>SUMIF('YBHN WH TB'!$R:$R,'WH P&amp;L'!$A46,'YBHN WH TB'!F:F)</f>
        <v/>
      </c>
      <c r="S46" s="37">
        <f>SUMIF('YBHN WH TB'!$R:$R,'WH P&amp;L'!$A46,'YBHN WH TB'!G:G)</f>
        <v/>
      </c>
      <c r="T46" s="37">
        <f>SUMIF('YBHN WH TB'!$R:$R,'WH P&amp;L'!$A46,'YBHN WH TB'!H:H)</f>
        <v/>
      </c>
      <c r="U46" s="37">
        <f>SUMIF('YBHN WH TB'!$R:$R,'WH P&amp;L'!$A46,'YBHN WH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5754.559999999999</v>
      </c>
      <c r="C47" s="42" t="n">
        <v>5317.35</v>
      </c>
      <c r="D47" s="42" t="n">
        <v>6037.919999999999</v>
      </c>
      <c r="E47" s="42" t="n">
        <v>8868.169999999998</v>
      </c>
      <c r="F47" s="42" t="n">
        <v>5637.85</v>
      </c>
      <c r="G47" s="42" t="n">
        <v>3771.77</v>
      </c>
      <c r="H47" s="42" t="n">
        <v>2372.6</v>
      </c>
      <c r="I47" s="42" t="n">
        <v>4527.559999999999</v>
      </c>
      <c r="J47" s="42" t="n">
        <v>1893.24</v>
      </c>
      <c r="K47" s="42" t="n">
        <v>3810.16</v>
      </c>
      <c r="L47" s="42" t="n">
        <v>4195.96</v>
      </c>
      <c r="M47" s="42" t="n">
        <v>4753.41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30355.11</v>
      </c>
      <c r="C48" s="23" t="n">
        <v>31310.8</v>
      </c>
      <c r="D48" s="23" t="n">
        <v>30075.49</v>
      </c>
      <c r="E48" s="23" t="n">
        <v>31519.73</v>
      </c>
      <c r="F48" s="23" t="n">
        <v>31813.56</v>
      </c>
      <c r="G48" s="23" t="n">
        <v>29717.24</v>
      </c>
      <c r="H48" s="23" t="n">
        <v>31175.01</v>
      </c>
      <c r="I48" s="23" t="n">
        <v>33311.49</v>
      </c>
      <c r="J48" s="23" t="n">
        <v>29990.96</v>
      </c>
      <c r="K48" s="23" t="n">
        <v>31109.65</v>
      </c>
      <c r="L48" s="23" t="n">
        <v>31957.55</v>
      </c>
      <c r="M48" s="23" t="n">
        <v>31917.1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30133.06</v>
      </c>
      <c r="C50" s="55" t="n">
        <v>21758.91000000001</v>
      </c>
      <c r="D50" s="55" t="n">
        <v>28278.94</v>
      </c>
      <c r="E50" s="55" t="n">
        <v>27499.99</v>
      </c>
      <c r="F50" s="55" t="n">
        <v>20703.03</v>
      </c>
      <c r="G50" s="55" t="n">
        <v>15207.32999999999</v>
      </c>
      <c r="H50" s="55" t="n">
        <v>30154.07</v>
      </c>
      <c r="I50" s="55" t="n">
        <v>3448.239999999998</v>
      </c>
      <c r="J50" s="55" t="n">
        <v>6195.919999999995</v>
      </c>
      <c r="K50" s="55" t="n">
        <v>6296.490000000002</v>
      </c>
      <c r="L50" s="55" t="n">
        <v>3415.890000000003</v>
      </c>
      <c r="M50" s="55" t="n">
        <v>10865.79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SUMIF('YBHN WH TB'!$R:$R,'WH P&amp;L'!$A53,'YBHN WH TB'!C:C)</f>
        <v/>
      </c>
      <c r="P53" s="37">
        <f>SUMIF('YBHN WH TB'!$R:$R,'WH P&amp;L'!$A53,'YBHN WH TB'!D:D)</f>
        <v/>
      </c>
      <c r="Q53" s="37">
        <f>SUMIF('YBHN WH TB'!$R:$R,'WH P&amp;L'!$A53,'YBHN WH TB'!E:E)</f>
        <v/>
      </c>
      <c r="R53" s="37">
        <f>SUMIF('YBHN WH TB'!$R:$R,'WH P&amp;L'!$A53,'YBHN WH TB'!F:F)</f>
        <v/>
      </c>
      <c r="S53" s="37">
        <f>SUMIF('YBHN WH TB'!$R:$R,'WH P&amp;L'!$A53,'YBHN WH TB'!G:G)</f>
        <v/>
      </c>
      <c r="T53" s="37">
        <f>SUMIF('YBHN WH TB'!$R:$R,'WH P&amp;L'!$A53,'YBHN WH TB'!H:H)</f>
        <v/>
      </c>
      <c r="U53" s="37">
        <f>SUMIF('YBHN WH TB'!$R:$R,'WH P&amp;L'!$A53,'YBHN WH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SUMIF('YBHN WH TB'!$R:$R,'WH P&amp;L'!$A54,'YBHN WH TB'!C:C)</f>
        <v/>
      </c>
      <c r="P54" s="37">
        <f>SUMIF('YBHN WH TB'!$R:$R,'WH P&amp;L'!$A54,'YBHN WH TB'!D:D)</f>
        <v/>
      </c>
      <c r="Q54" s="37">
        <f>SUMIF('YBHN WH TB'!$R:$R,'WH P&amp;L'!$A54,'YBHN WH TB'!E:E)</f>
        <v/>
      </c>
      <c r="R54" s="37">
        <f>SUMIF('YBHN WH TB'!$R:$R,'WH P&amp;L'!$A54,'YBHN WH TB'!F:F)</f>
        <v/>
      </c>
      <c r="S54" s="37">
        <f>SUMIF('YBHN WH TB'!$R:$R,'WH P&amp;L'!$A54,'YBHN WH TB'!G:G)</f>
        <v/>
      </c>
      <c r="T54" s="37">
        <f>SUMIF('YBHN WH TB'!$R:$R,'WH P&amp;L'!$A54,'YBHN WH TB'!H:H)</f>
        <v/>
      </c>
      <c r="U54" s="37">
        <f>SUMIF('YBHN WH TB'!$R:$R,'WH P&amp;L'!$A54,'YBHN WH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SUMIF('YBHN WH TB'!$R:$R,'WH P&amp;L'!$A55,'YBHN WH TB'!C:C)</f>
        <v/>
      </c>
      <c r="P55" s="37">
        <f>SUMIF('YBHN WH TB'!$R:$R,'WH P&amp;L'!$A55,'YBHN WH TB'!D:D)</f>
        <v/>
      </c>
      <c r="Q55" s="37">
        <f>SUMIF('YBHN WH TB'!$R:$R,'WH P&amp;L'!$A55,'YBHN WH TB'!E:E)</f>
        <v/>
      </c>
      <c r="R55" s="37">
        <f>SUMIF('YBHN WH TB'!$R:$R,'WH P&amp;L'!$A55,'YBHN WH TB'!F:F)</f>
        <v/>
      </c>
      <c r="S55" s="37">
        <f>SUMIF('YBHN WH TB'!$R:$R,'WH P&amp;L'!$A55,'YBHN WH TB'!G:G)</f>
        <v/>
      </c>
      <c r="T55" s="37">
        <f>SUMIF('YBHN WH TB'!$R:$R,'WH P&amp;L'!$A55,'YBHN WH TB'!H:H)</f>
        <v/>
      </c>
      <c r="U55" s="37">
        <f>SUMIF('YBHN WH TB'!$R:$R,'WH P&amp;L'!$A55,'YBHN WH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SUMIF('YBHN WH TB'!$R:$R,'WH P&amp;L'!$A56,'YBHN WH TB'!C:C)</f>
        <v/>
      </c>
      <c r="P56" s="37">
        <f>SUMIF('YBHN WH TB'!$R:$R,'WH P&amp;L'!$A56,'YBHN WH TB'!D:D)</f>
        <v/>
      </c>
      <c r="Q56" s="37">
        <f>SUMIF('YBHN WH TB'!$R:$R,'WH P&amp;L'!$A56,'YBHN WH TB'!E:E)</f>
        <v/>
      </c>
      <c r="R56" s="37">
        <f>SUMIF('YBHN WH TB'!$R:$R,'WH P&amp;L'!$A56,'YBHN WH TB'!F:F)</f>
        <v/>
      </c>
      <c r="S56" s="37">
        <f>SUMIF('YBHN WH TB'!$R:$R,'WH P&amp;L'!$A56,'YBHN WH TB'!G:G)</f>
        <v/>
      </c>
      <c r="T56" s="37">
        <f>SUMIF('YBHN WH TB'!$R:$R,'WH P&amp;L'!$A56,'YBHN WH TB'!H:H)</f>
        <v/>
      </c>
      <c r="U56" s="37">
        <f>SUMIF('YBHN WH TB'!$R:$R,'WH P&amp;L'!$A56,'YBHN WH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200</v>
      </c>
      <c r="M57" s="35" t="n">
        <v>0</v>
      </c>
      <c r="N57" s="36">
        <f>SUM(B57:M57)</f>
        <v/>
      </c>
      <c r="O57" s="37">
        <f>SUMIF('YBHN WH TB'!$R:$R,'WH P&amp;L'!$A57,'YBHN WH TB'!C:C)</f>
        <v/>
      </c>
      <c r="P57" s="37">
        <f>SUMIF('YBHN WH TB'!$R:$R,'WH P&amp;L'!$A57,'YBHN WH TB'!D:D)</f>
        <v/>
      </c>
      <c r="Q57" s="37">
        <f>SUMIF('YBHN WH TB'!$R:$R,'WH P&amp;L'!$A57,'YBHN WH TB'!E:E)</f>
        <v/>
      </c>
      <c r="R57" s="37">
        <f>SUMIF('YBHN WH TB'!$R:$R,'WH P&amp;L'!$A57,'YBHN WH TB'!F:F)</f>
        <v/>
      </c>
      <c r="S57" s="37">
        <f>SUMIF('YBHN WH TB'!$R:$R,'WH P&amp;L'!$A57,'YBHN WH TB'!G:G)</f>
        <v/>
      </c>
      <c r="T57" s="37">
        <f>SUMIF('YBHN WH TB'!$R:$R,'WH P&amp;L'!$A57,'YBHN WH TB'!H:H)</f>
        <v/>
      </c>
      <c r="U57" s="37">
        <f>SUMIF('YBHN WH TB'!$R:$R,'WH P&amp;L'!$A57,'YBHN WH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SUMIF('YBHN WH TB'!$R:$R,'WH P&amp;L'!$A58,'YBHN WH TB'!C:C)</f>
        <v/>
      </c>
      <c r="P58" s="37">
        <f>SUMIF('YBHN WH TB'!$R:$R,'WH P&amp;L'!$A58,'YBHN WH TB'!D:D)</f>
        <v/>
      </c>
      <c r="Q58" s="37">
        <f>SUMIF('YBHN WH TB'!$R:$R,'WH P&amp;L'!$A58,'YBHN WH TB'!E:E)</f>
        <v/>
      </c>
      <c r="R58" s="37">
        <f>SUMIF('YBHN WH TB'!$R:$R,'WH P&amp;L'!$A58,'YBHN WH TB'!F:F)</f>
        <v/>
      </c>
      <c r="S58" s="37">
        <f>SUMIF('YBHN WH TB'!$R:$R,'WH P&amp;L'!$A58,'YBHN WH TB'!G:G)</f>
        <v/>
      </c>
      <c r="T58" s="37">
        <f>SUMIF('YBHN WH TB'!$R:$R,'WH P&amp;L'!$A58,'YBHN WH TB'!H:H)</f>
        <v/>
      </c>
      <c r="U58" s="37">
        <f>SUMIF('YBHN WH TB'!$R:$R,'WH P&amp;L'!$A58,'YBHN WH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1.2</v>
      </c>
      <c r="C60" s="35" t="n">
        <v>3</v>
      </c>
      <c r="D60" s="35" t="n">
        <v>137.02</v>
      </c>
      <c r="E60" s="35" t="n">
        <v>294.06</v>
      </c>
      <c r="F60" s="35" t="n">
        <v>2.4</v>
      </c>
      <c r="G60" s="35" t="n">
        <v>266.8</v>
      </c>
      <c r="H60" s="35" t="n">
        <v>1.8</v>
      </c>
      <c r="I60" s="35" t="n">
        <v>13.05</v>
      </c>
      <c r="J60" s="35" t="n">
        <v>1.8</v>
      </c>
      <c r="K60" s="35" t="n">
        <v>68.19999999999999</v>
      </c>
      <c r="L60" s="35" t="n">
        <v>45.96</v>
      </c>
      <c r="M60" s="35" t="n">
        <v>1.2</v>
      </c>
      <c r="N60" s="36">
        <f>SUM(B60:M60)</f>
        <v/>
      </c>
      <c r="O60" s="37" t="n">
        <v>61.8</v>
      </c>
      <c r="P60" s="37" t="n">
        <v>1.2</v>
      </c>
      <c r="Q60" s="37" t="n">
        <v>1.2</v>
      </c>
      <c r="R60" s="37" t="n">
        <v>380.88</v>
      </c>
      <c r="S60" s="37" t="n">
        <v>14.4</v>
      </c>
      <c r="T60" s="37" t="n">
        <v>14.4</v>
      </c>
      <c r="U60" s="37" t="n">
        <v>14.4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119</v>
      </c>
      <c r="H61" s="35" t="n">
        <v>92.28</v>
      </c>
      <c r="I61" s="35" t="n">
        <v>0</v>
      </c>
      <c r="J61" s="35" t="n">
        <v>0</v>
      </c>
      <c r="K61" s="35" t="n">
        <v>13.99</v>
      </c>
      <c r="L61" s="35" t="n">
        <v>0</v>
      </c>
      <c r="M61" s="35" t="n">
        <v>0</v>
      </c>
      <c r="N61" s="36">
        <f>SUM(B61:M61)</f>
        <v/>
      </c>
      <c r="O61" s="37">
        <f>SUMIF('YBHN WH TB'!$R:$R,'WH P&amp;L'!$A61,'YBHN WH TB'!C:C)</f>
        <v/>
      </c>
      <c r="P61" s="37">
        <f>SUMIF('YBHN WH TB'!$R:$R,'WH P&amp;L'!$A61,'YBHN WH TB'!D:D)</f>
        <v/>
      </c>
      <c r="Q61" s="37">
        <f>SUMIF('YBHN WH TB'!$R:$R,'WH P&amp;L'!$A61,'YBHN WH TB'!E:E)</f>
        <v/>
      </c>
      <c r="R61" s="37">
        <f>SUMIF('YBHN WH TB'!$R:$R,'WH P&amp;L'!$A61,'YBHN WH TB'!F:F)</f>
        <v/>
      </c>
      <c r="S61" s="37">
        <f>SUMIF('YBHN WH TB'!$R:$R,'WH P&amp;L'!$A61,'YBHN WH TB'!G:G)</f>
        <v/>
      </c>
      <c r="T61" s="37">
        <f>SUMIF('YBHN WH TB'!$R:$R,'WH P&amp;L'!$A61,'YBHN WH TB'!H:H)</f>
        <v/>
      </c>
      <c r="U61" s="37">
        <f>SUMIF('YBHN WH TB'!$R:$R,'WH P&amp;L'!$A61,'YBHN WH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50</v>
      </c>
      <c r="C62" s="35" t="n">
        <v>581.26</v>
      </c>
      <c r="D62" s="35" t="n">
        <v>391.9</v>
      </c>
      <c r="E62" s="35" t="n">
        <v>90</v>
      </c>
      <c r="F62" s="35" t="n">
        <v>55</v>
      </c>
      <c r="G62" s="35" t="n">
        <v>55</v>
      </c>
      <c r="H62" s="35" t="n">
        <v>62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SUMIF('YBHN WH TB'!$R:$R,'WH P&amp;L'!$A62,'YBHN WH TB'!C:C)</f>
        <v/>
      </c>
      <c r="P62" s="37">
        <f>SUMIF('YBHN WH TB'!$R:$R,'WH P&amp;L'!$A62,'YBHN WH TB'!D:D)</f>
        <v/>
      </c>
      <c r="Q62" s="37">
        <f>SUMIF('YBHN WH TB'!$R:$R,'WH P&amp;L'!$A62,'YBHN WH TB'!E:E)</f>
        <v/>
      </c>
      <c r="R62" s="37">
        <f>SUMIF('YBHN WH TB'!$R:$R,'WH P&amp;L'!$A62,'YBHN WH TB'!F:F)</f>
        <v/>
      </c>
      <c r="S62" s="37">
        <f>SUMIF('YBHN WH TB'!$R:$R,'WH P&amp;L'!$A62,'YBHN WH TB'!G:G)</f>
        <v/>
      </c>
      <c r="T62" s="37">
        <f>SUMIF('YBHN WH TB'!$R:$R,'WH P&amp;L'!$A62,'YBHN WH TB'!H:H)</f>
        <v/>
      </c>
      <c r="U62" s="37">
        <f>SUMIF('YBHN WH TB'!$R:$R,'WH P&amp;L'!$A62,'YBHN WH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SUMIF('YBHN WH TB'!$R:$R,'WH P&amp;L'!$A63,'YBHN WH TB'!C:C)</f>
        <v/>
      </c>
      <c r="P63" s="37">
        <f>SUMIF('YBHN WH TB'!$R:$R,'WH P&amp;L'!$A63,'YBHN WH TB'!D:D)</f>
        <v/>
      </c>
      <c r="Q63" s="37">
        <f>SUMIF('YBHN WH TB'!$R:$R,'WH P&amp;L'!$A63,'YBHN WH TB'!E:E)</f>
        <v/>
      </c>
      <c r="R63" s="37">
        <f>SUMIF('YBHN WH TB'!$R:$R,'WH P&amp;L'!$A63,'YBHN WH TB'!F:F)</f>
        <v/>
      </c>
      <c r="S63" s="37">
        <f>SUMIF('YBHN WH TB'!$R:$R,'WH P&amp;L'!$A63,'YBHN WH TB'!G:G)</f>
        <v/>
      </c>
      <c r="T63" s="37">
        <f>SUMIF('YBHN WH TB'!$R:$R,'WH P&amp;L'!$A63,'YBHN WH TB'!H:H)</f>
        <v/>
      </c>
      <c r="U63" s="37">
        <f>SUMIF('YBHN WH TB'!$R:$R,'WH P&amp;L'!$A63,'YBHN WH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SUMIF('YBHN WH TB'!$R:$R,'WH P&amp;L'!$A64,'YBHN WH TB'!C:C)</f>
        <v/>
      </c>
      <c r="P64" s="37">
        <f>SUMIF('YBHN WH TB'!$R:$R,'WH P&amp;L'!$A64,'YBHN WH TB'!D:D)</f>
        <v/>
      </c>
      <c r="Q64" s="37">
        <f>SUMIF('YBHN WH TB'!$R:$R,'WH P&amp;L'!$A64,'YBHN WH TB'!E:E)</f>
        <v/>
      </c>
      <c r="R64" s="37">
        <f>SUMIF('YBHN WH TB'!$R:$R,'WH P&amp;L'!$A64,'YBHN WH TB'!F:F)</f>
        <v/>
      </c>
      <c r="S64" s="37">
        <f>SUMIF('YBHN WH TB'!$R:$R,'WH P&amp;L'!$A64,'YBHN WH TB'!G:G)</f>
        <v/>
      </c>
      <c r="T64" s="37">
        <f>SUMIF('YBHN WH TB'!$R:$R,'WH P&amp;L'!$A64,'YBHN WH TB'!H:H)</f>
        <v/>
      </c>
      <c r="U64" s="37">
        <f>SUMIF('YBHN WH TB'!$R:$R,'WH P&amp;L'!$A64,'YBHN WH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SUMIF('YBHN WH TB'!$R:$R,'WH P&amp;L'!$A65,'YBHN WH TB'!C:C)</f>
        <v/>
      </c>
      <c r="P65" s="37">
        <f>SUMIF('YBHN WH TB'!$R:$R,'WH P&amp;L'!$A65,'YBHN WH TB'!D:D)</f>
        <v/>
      </c>
      <c r="Q65" s="37">
        <f>SUMIF('YBHN WH TB'!$R:$R,'WH P&amp;L'!$A65,'YBHN WH TB'!E:E)</f>
        <v/>
      </c>
      <c r="R65" s="37">
        <f>SUMIF('YBHN WH TB'!$R:$R,'WH P&amp;L'!$A65,'YBHN WH TB'!F:F)</f>
        <v/>
      </c>
      <c r="S65" s="37">
        <f>SUMIF('YBHN WH TB'!$R:$R,'WH P&amp;L'!$A65,'YBHN WH TB'!G:G)</f>
        <v/>
      </c>
      <c r="T65" s="37">
        <f>SUMIF('YBHN WH TB'!$R:$R,'WH P&amp;L'!$A65,'YBHN WH TB'!H:H)</f>
        <v/>
      </c>
      <c r="U65" s="37">
        <f>SUMIF('YBHN WH TB'!$R:$R,'WH P&amp;L'!$A65,'YBHN WH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SUMIF('YBHN WH TB'!$R:$R,'WH P&amp;L'!$A66,'YBHN WH TB'!C:C)</f>
        <v/>
      </c>
      <c r="P66" s="37">
        <f>SUMIF('YBHN WH TB'!$R:$R,'WH P&amp;L'!$A66,'YBHN WH TB'!D:D)</f>
        <v/>
      </c>
      <c r="Q66" s="37">
        <f>SUMIF('YBHN WH TB'!$R:$R,'WH P&amp;L'!$A66,'YBHN WH TB'!E:E)</f>
        <v/>
      </c>
      <c r="R66" s="37">
        <f>SUMIF('YBHN WH TB'!$R:$R,'WH P&amp;L'!$A66,'YBHN WH TB'!F:F)</f>
        <v/>
      </c>
      <c r="S66" s="37">
        <f>SUMIF('YBHN WH TB'!$R:$R,'WH P&amp;L'!$A66,'YBHN WH TB'!G:G)</f>
        <v/>
      </c>
      <c r="T66" s="37">
        <f>SUMIF('YBHN WH TB'!$R:$R,'WH P&amp;L'!$A66,'YBHN WH TB'!H:H)</f>
        <v/>
      </c>
      <c r="U66" s="37">
        <f>SUMIF('YBHN WH TB'!$R:$R,'WH P&amp;L'!$A66,'YBHN WH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SUMIF('YBHN WH TB'!$R:$R,'WH P&amp;L'!$A67,'YBHN WH TB'!C:C)</f>
        <v/>
      </c>
      <c r="P67" s="37">
        <f>SUMIF('YBHN WH TB'!$R:$R,'WH P&amp;L'!$A67,'YBHN WH TB'!D:D)</f>
        <v/>
      </c>
      <c r="Q67" s="37">
        <f>SUMIF('YBHN WH TB'!$R:$R,'WH P&amp;L'!$A67,'YBHN WH TB'!E:E)</f>
        <v/>
      </c>
      <c r="R67" s="37">
        <f>SUMIF('YBHN WH TB'!$R:$R,'WH P&amp;L'!$A67,'YBHN WH TB'!F:F)</f>
        <v/>
      </c>
      <c r="S67" s="37">
        <f>SUMIF('YBHN WH TB'!$R:$R,'WH P&amp;L'!$A67,'YBHN WH TB'!G:G)</f>
        <v/>
      </c>
      <c r="T67" s="37">
        <f>SUMIF('YBHN WH TB'!$R:$R,'WH P&amp;L'!$A67,'YBHN WH TB'!H:H)</f>
        <v/>
      </c>
      <c r="U67" s="37">
        <f>SUMIF('YBHN WH TB'!$R:$R,'WH P&amp;L'!$A67,'YBHN WH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SUMIF('YBHN WH TB'!$R:$R,'WH P&amp;L'!$A68,'YBHN WH TB'!C:C)</f>
        <v/>
      </c>
      <c r="P68" s="37">
        <f>SUMIF('YBHN WH TB'!$R:$R,'WH P&amp;L'!$A68,'YBHN WH TB'!D:D)</f>
        <v/>
      </c>
      <c r="Q68" s="37">
        <f>SUMIF('YBHN WH TB'!$R:$R,'WH P&amp;L'!$A68,'YBHN WH TB'!E:E)</f>
        <v/>
      </c>
      <c r="R68" s="37">
        <f>SUMIF('YBHN WH TB'!$R:$R,'WH P&amp;L'!$A68,'YBHN WH TB'!F:F)</f>
        <v/>
      </c>
      <c r="S68" s="37">
        <f>SUMIF('YBHN WH TB'!$R:$R,'WH P&amp;L'!$A68,'YBHN WH TB'!G:G)</f>
        <v/>
      </c>
      <c r="T68" s="37">
        <f>SUMIF('YBHN WH TB'!$R:$R,'WH P&amp;L'!$A68,'YBHN WH TB'!H:H)</f>
        <v/>
      </c>
      <c r="U68" s="37">
        <f>SUMIF('YBHN WH TB'!$R:$R,'WH P&amp;L'!$A68,'YBHN WH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252.58</v>
      </c>
      <c r="C69" s="42" t="n">
        <v>785.64</v>
      </c>
      <c r="D69" s="42" t="n">
        <v>730.3</v>
      </c>
      <c r="E69" s="42" t="n">
        <v>585.4400000000001</v>
      </c>
      <c r="F69" s="42" t="n">
        <v>258.77</v>
      </c>
      <c r="G69" s="42" t="n">
        <v>642.1800000000001</v>
      </c>
      <c r="H69" s="42" t="n">
        <v>357.46</v>
      </c>
      <c r="I69" s="42" t="n">
        <v>214.43</v>
      </c>
      <c r="J69" s="42" t="n">
        <v>203.18</v>
      </c>
      <c r="K69" s="42" t="n">
        <v>296.99</v>
      </c>
      <c r="L69" s="42" t="n">
        <v>460.76</v>
      </c>
      <c r="M69" s="42" t="n">
        <v>216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29880.48</v>
      </c>
      <c r="C70" s="55" t="n">
        <v>20973.27000000001</v>
      </c>
      <c r="D70" s="55" t="n">
        <v>27548.64</v>
      </c>
      <c r="E70" s="55" t="n">
        <v>26914.55</v>
      </c>
      <c r="F70" s="55" t="n">
        <v>20444.26</v>
      </c>
      <c r="G70" s="55" t="n">
        <v>14565.14999999999</v>
      </c>
      <c r="H70" s="55" t="n">
        <v>29796.61</v>
      </c>
      <c r="I70" s="55" t="n">
        <v>3233.809999999998</v>
      </c>
      <c r="J70" s="55" t="n">
        <v>5992.739999999994</v>
      </c>
      <c r="K70" s="55" t="n">
        <v>5999.500000000002</v>
      </c>
      <c r="L70" s="55" t="n">
        <v>2955.130000000003</v>
      </c>
      <c r="M70" s="55" t="n">
        <v>10649.79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29880.48</v>
      </c>
      <c r="C79" s="57" t="n">
        <v>20973.27000000001</v>
      </c>
      <c r="D79" s="57" t="n">
        <v>27548.64</v>
      </c>
      <c r="E79" s="57" t="n">
        <v>26914.55</v>
      </c>
      <c r="F79" s="57" t="n">
        <v>20444.26</v>
      </c>
      <c r="G79" s="57" t="n">
        <v>14565.14999999999</v>
      </c>
      <c r="H79" s="57" t="n">
        <v>29796.61</v>
      </c>
      <c r="I79" s="57" t="n">
        <v>3233.809999999998</v>
      </c>
      <c r="J79" s="57" t="n">
        <v>5992.739999999994</v>
      </c>
      <c r="K79" s="57" t="n">
        <v>5999.500000000002</v>
      </c>
      <c r="L79" s="57" t="n">
        <v>2955.130000000003</v>
      </c>
      <c r="M79" s="57" t="n">
        <v>10649.79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60488.17</v>
      </c>
      <c r="C87" s="60" t="n">
        <v>53069.71000000001</v>
      </c>
      <c r="D87" s="60" t="n">
        <v>58354.43</v>
      </c>
      <c r="E87" s="60" t="n">
        <v>59019.72</v>
      </c>
      <c r="F87" s="60" t="n">
        <v>52516.59</v>
      </c>
      <c r="G87" s="60" t="n">
        <v>44924.56999999999</v>
      </c>
      <c r="H87" s="60" t="n">
        <v>61329.08</v>
      </c>
      <c r="I87" s="60" t="n">
        <v>36759.73</v>
      </c>
      <c r="J87" s="60" t="n">
        <v>36186.88</v>
      </c>
      <c r="K87" s="60" t="n">
        <v>37406.14</v>
      </c>
      <c r="L87" s="60" t="n">
        <v>35373.44</v>
      </c>
      <c r="M87" s="8" t="n"/>
      <c r="N87" s="8" t="n"/>
      <c r="O87" s="60">
        <f>-SUMIF('YBHN WH TB'!$T:$T,'WH P&amp;L'!$A87,'YBHN WH TB'!C:C)</f>
        <v/>
      </c>
      <c r="P87" s="60">
        <f>-SUMIF('YBHN WH TB'!$T:$T,'WH P&amp;L'!$A87,'YBHN WH TB'!D:D)</f>
        <v/>
      </c>
      <c r="Q87" s="60">
        <f>-SUMIF('YBHN WH TB'!$T:$T,'WH P&amp;L'!$A87,'YBHN WH TB'!E:E)</f>
        <v/>
      </c>
      <c r="R87" s="60">
        <f>-SUMIF('YBHN WH TB'!$T:$T,'WH P&amp;L'!$A87,'YBHN WH TB'!F:F)</f>
        <v/>
      </c>
      <c r="S87" s="60">
        <f>-SUMIF('YBHN WH TB'!$T:$T,'WH P&amp;L'!$A87,'YBHN WH TB'!G:G)</f>
        <v/>
      </c>
      <c r="T87" s="60">
        <f>-SUMIF('YBHN WH TB'!$T:$T,'WH P&amp;L'!$A87,'YBHN WH TB'!H:H)</f>
        <v/>
      </c>
      <c r="U87" s="60">
        <f>-SUMIF('YBHN WH TB'!$T:$T,'WH P&amp;L'!$A87,'YBHN WH TB'!I:I)</f>
        <v/>
      </c>
      <c r="V87" s="60">
        <f>-SUMIF('YBHN WH TB'!$T:$T,'WH P&amp;L'!$A87,'YBHN WH TB'!J:J)</f>
        <v/>
      </c>
      <c r="W87" s="60">
        <f>-SUMIF('YBHN WH TB'!$T:$T,'WH P&amp;L'!$A87,'YBHN WH TB'!K:K)</f>
        <v/>
      </c>
      <c r="X87" s="60">
        <f>-SUMIF('YBHN WH TB'!$T:$T,'WH P&amp;L'!$A87,'YBHN WH TB'!L:L)</f>
        <v/>
      </c>
      <c r="Y87" s="60">
        <f>-SUMIF('YBHN WH TB'!$T:$T,'WH P&amp;L'!$A87,'YBHN WH TB'!M:M)</f>
        <v/>
      </c>
      <c r="Z87" s="60">
        <f>-SUMIF('YBHN WH TB'!$T:$T,'WH P&amp;L'!$A87,'YBHN WH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34" t="inlineStr">
        <is>
          <t>Direct - Staff Cost</t>
        </is>
      </c>
      <c r="B88" s="18" t="n">
        <v>-23102.52</v>
      </c>
      <c r="C88" s="18" t="n">
        <v>-21849.93</v>
      </c>
      <c r="D88" s="18" t="n">
        <v>-22365.54</v>
      </c>
      <c r="E88" s="18" t="n">
        <v>-21787.65</v>
      </c>
      <c r="F88" s="18" t="n">
        <v>-24815.72</v>
      </c>
      <c r="G88" s="18" t="n">
        <v>-24972.06</v>
      </c>
      <c r="H88" s="18" t="n">
        <v>-27676.99000000001</v>
      </c>
      <c r="I88" s="18" t="n">
        <v>-27554.22</v>
      </c>
      <c r="J88" s="18" t="n">
        <v>-26814.42</v>
      </c>
      <c r="K88" s="18" t="n">
        <v>-26347.24</v>
      </c>
      <c r="L88" s="18" t="n">
        <v>-26768.65</v>
      </c>
      <c r="M88" s="18" t="n"/>
      <c r="N88" s="8" t="n"/>
      <c r="O88" s="60">
        <f>-SUMIF('YBHN WH TB'!$T:$T,'WH P&amp;L'!$A88,'YBHN WH TB'!C:C)</f>
        <v/>
      </c>
      <c r="P88" s="60">
        <f>-SUMIF('YBHN WH TB'!$T:$T,'WH P&amp;L'!$A88,'YBHN WH TB'!D:D)</f>
        <v/>
      </c>
      <c r="Q88" s="60">
        <f>-SUMIF('YBHN WH TB'!$T:$T,'WH P&amp;L'!$A88,'YBHN WH TB'!E:E)</f>
        <v/>
      </c>
      <c r="R88" s="60">
        <f>-SUMIF('YBHN WH TB'!$T:$T,'WH P&amp;L'!$A88,'YBHN WH TB'!F:F)</f>
        <v/>
      </c>
      <c r="S88" s="60">
        <f>-SUMIF('YBHN WH TB'!$T:$T,'WH P&amp;L'!$A88,'YBHN WH TB'!G:G)</f>
        <v/>
      </c>
      <c r="T88" s="60">
        <f>-SUMIF('YBHN WH TB'!$T:$T,'WH P&amp;L'!$A88,'YBHN WH TB'!H:H)</f>
        <v/>
      </c>
      <c r="U88" s="60">
        <f>-SUMIF('YBHN WH TB'!$T:$T,'WH P&amp;L'!$A88,'YBHN WH TB'!I:I)</f>
        <v/>
      </c>
      <c r="V88" s="60">
        <f>-SUMIF('YBHN WH TB'!$T:$T,'WH P&amp;L'!$A88,'YBHN WH TB'!J:J)</f>
        <v/>
      </c>
      <c r="W88" s="60">
        <f>-SUMIF('YBHN WH TB'!$T:$T,'WH P&amp;L'!$A88,'YBHN WH TB'!K:K)</f>
        <v/>
      </c>
      <c r="X88" s="60">
        <f>-SUMIF('YBHN WH TB'!$T:$T,'WH P&amp;L'!$A88,'YBHN WH TB'!L:L)</f>
        <v/>
      </c>
      <c r="Y88" s="60">
        <f>-SUMIF('YBHN WH TB'!$T:$T,'WH P&amp;L'!$A88,'YBHN WH TB'!M:M)</f>
        <v/>
      </c>
      <c r="Z88" s="60">
        <f>-SUMIF('YBHN WH TB'!$T:$T,'WH P&amp;L'!$A88,'YBHN WH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60" t="inlineStr">
        <is>
          <t>Direct - Childcare Cost</t>
        </is>
      </c>
      <c r="B89" s="18" t="n">
        <v>-1498.03</v>
      </c>
      <c r="C89" s="18" t="n">
        <v>-4143.52</v>
      </c>
      <c r="D89" s="18" t="n">
        <v>-1672.03</v>
      </c>
      <c r="E89" s="18" t="n">
        <v>-863.9100000000001</v>
      </c>
      <c r="F89" s="18" t="n">
        <v>-1359.99</v>
      </c>
      <c r="G89" s="18" t="n">
        <v>-973.41</v>
      </c>
      <c r="H89" s="18" t="n">
        <v>-1125.42</v>
      </c>
      <c r="I89" s="18" t="n">
        <v>-1229.71</v>
      </c>
      <c r="J89" s="18" t="n">
        <v>-1283.3</v>
      </c>
      <c r="K89" s="18" t="n">
        <v>-952.25</v>
      </c>
      <c r="L89" s="18" t="n">
        <v>-992.9399999999999</v>
      </c>
      <c r="M89" s="18" t="n">
        <v>-914.14</v>
      </c>
      <c r="N89" s="8" t="n"/>
      <c r="O89" s="60">
        <f>-SUMIF('YBHN WH TB'!$T:$T,'WH P&amp;L'!$A89,'YBHN WH TB'!C:C)</f>
        <v/>
      </c>
      <c r="P89" s="60">
        <f>-SUMIF('YBHN WH TB'!$T:$T,'WH P&amp;L'!$A89,'YBHN WH TB'!D:D)</f>
        <v/>
      </c>
      <c r="Q89" s="60">
        <f>-SUMIF('YBHN WH TB'!$T:$T,'WH P&amp;L'!$A89,'YBHN WH TB'!E:E)</f>
        <v/>
      </c>
      <c r="R89" s="60">
        <f>-SUMIF('YBHN WH TB'!$T:$T,'WH P&amp;L'!$A89,'YBHN WH TB'!F:F)</f>
        <v/>
      </c>
      <c r="S89" s="60">
        <f>-SUMIF('YBHN WH TB'!$T:$T,'WH P&amp;L'!$A89,'YBHN WH TB'!G:G)</f>
        <v/>
      </c>
      <c r="T89" s="60">
        <f>-SUMIF('YBHN WH TB'!$T:$T,'WH P&amp;L'!$A89,'YBHN WH TB'!H:H)</f>
        <v/>
      </c>
      <c r="U89" s="60">
        <f>-SUMIF('YBHN WH TB'!$T:$T,'WH P&amp;L'!$A89,'YBHN WH TB'!I:I)</f>
        <v/>
      </c>
      <c r="V89" s="60">
        <f>-SUMIF('YBHN WH TB'!$T:$T,'WH P&amp;L'!$A89,'YBHN WH TB'!J:J)</f>
        <v/>
      </c>
      <c r="W89" s="60">
        <f>-SUMIF('YBHN WH TB'!$T:$T,'WH P&amp;L'!$A89,'YBHN WH TB'!K:K)</f>
        <v/>
      </c>
      <c r="X89" s="60">
        <f>-SUMIF('YBHN WH TB'!$T:$T,'WH P&amp;L'!$A89,'YBHN WH TB'!L:L)</f>
        <v/>
      </c>
      <c r="Y89" s="60">
        <f>-SUMIF('YBHN WH TB'!$T:$T,'WH P&amp;L'!$A89,'YBHN WH TB'!M:M)</f>
        <v/>
      </c>
      <c r="Z89" s="60">
        <f>-SUMIF('YBHN WH TB'!$T:$T,'WH P&amp;L'!$A89,'YBHN WH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60" t="inlineStr">
        <is>
          <t>Direct - Premises &amp; Admin</t>
        </is>
      </c>
      <c r="B90" s="18" t="n">
        <v>-5754.559999999999</v>
      </c>
      <c r="C90" s="18" t="n">
        <v>-5317.35</v>
      </c>
      <c r="D90" s="18" t="n">
        <v>-6037.919999999999</v>
      </c>
      <c r="E90" s="18" t="n">
        <v>-8868.169999999998</v>
      </c>
      <c r="F90" s="18" t="n">
        <v>-5637.85</v>
      </c>
      <c r="G90" s="18" t="n">
        <v>-3771.77</v>
      </c>
      <c r="H90" s="18" t="n">
        <v>-2372.6</v>
      </c>
      <c r="I90" s="18" t="n">
        <v>-4527.559999999999</v>
      </c>
      <c r="J90" s="18" t="n">
        <v>-1893.24</v>
      </c>
      <c r="K90" s="18" t="n">
        <v>-3810.16</v>
      </c>
      <c r="L90" s="18" t="n">
        <v>-4195.96</v>
      </c>
      <c r="M90" s="18" t="n">
        <v>-4753.41</v>
      </c>
      <c r="N90" s="8" t="n"/>
      <c r="O90" s="60">
        <f>-SUMIF('YBHN WH TB'!$T:$T,'WH P&amp;L'!$A90,'YBHN WH TB'!C:C)</f>
        <v/>
      </c>
      <c r="P90" s="60">
        <f>-SUMIF('YBHN WH TB'!$T:$T,'WH P&amp;L'!$A90,'YBHN WH TB'!D:D)</f>
        <v/>
      </c>
      <c r="Q90" s="60">
        <f>-SUMIF('YBHN WH TB'!$T:$T,'WH P&amp;L'!$A90,'YBHN WH TB'!E:E)</f>
        <v/>
      </c>
      <c r="R90" s="60">
        <f>-SUMIF('YBHN WH TB'!$T:$T,'WH P&amp;L'!$A90,'YBHN WH TB'!F:F)</f>
        <v/>
      </c>
      <c r="S90" s="60">
        <f>-SUMIF('YBHN WH TB'!$T:$T,'WH P&amp;L'!$A90,'YBHN WH TB'!G:G)</f>
        <v/>
      </c>
      <c r="T90" s="60">
        <f>-SUMIF('YBHN WH TB'!$T:$T,'WH P&amp;L'!$A90,'YBHN WH TB'!H:H)</f>
        <v/>
      </c>
      <c r="U90" s="60">
        <f>-SUMIF('YBHN WH TB'!$T:$T,'WH P&amp;L'!$A90,'YBHN WH TB'!I:I)</f>
        <v/>
      </c>
      <c r="V90" s="60">
        <f>-SUMIF('YBHN WH TB'!$T:$T,'WH P&amp;L'!$A90,'YBHN WH TB'!J:J)</f>
        <v/>
      </c>
      <c r="W90" s="60">
        <f>-SUMIF('YBHN WH TB'!$T:$T,'WH P&amp;L'!$A90,'YBHN WH TB'!K:K)</f>
        <v/>
      </c>
      <c r="X90" s="60">
        <f>-SUMIF('YBHN WH TB'!$T:$T,'WH P&amp;L'!$A90,'YBHN WH TB'!L:L)</f>
        <v/>
      </c>
      <c r="Y90" s="60">
        <f>-SUMIF('YBHN WH TB'!$T:$T,'WH P&amp;L'!$A90,'YBHN WH TB'!M:M)</f>
        <v/>
      </c>
      <c r="Z90" s="60">
        <f>-SUMIF('YBHN WH TB'!$T:$T,'WH P&amp;L'!$A90,'YBHN WH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-SUMIF('YBHN WH TB'!$T:$T,'WH P&amp;L'!$A91,'YBHN WH TB'!C:C)</f>
        <v/>
      </c>
      <c r="P91" s="60">
        <f>-SUMIF('YBHN WH TB'!$T:$T,'WH P&amp;L'!$A91,'YBHN WH TB'!D:D)</f>
        <v/>
      </c>
      <c r="Q91" s="60">
        <f>-SUMIF('YBHN WH TB'!$T:$T,'WH P&amp;L'!$A91,'YBHN WH TB'!E:E)</f>
        <v/>
      </c>
      <c r="R91" s="60">
        <f>-SUMIF('YBHN WH TB'!$T:$T,'WH P&amp;L'!$A91,'YBHN WH TB'!F:F)</f>
        <v/>
      </c>
      <c r="S91" s="60">
        <f>-SUMIF('YBHN WH TB'!$T:$T,'WH P&amp;L'!$A91,'YBHN WH TB'!G:G)</f>
        <v/>
      </c>
      <c r="T91" s="60">
        <f>-SUMIF('YBHN WH TB'!$T:$T,'WH P&amp;L'!$A91,'YBHN WH TB'!H:H)</f>
        <v/>
      </c>
      <c r="U91" s="60">
        <f>-SUMIF('YBHN WH TB'!$T:$T,'WH P&amp;L'!$A91,'YBHN WH TB'!I:I)</f>
        <v/>
      </c>
      <c r="V91" s="60">
        <f>-SUMIF('YBHN WH TB'!$T:$T,'WH P&amp;L'!$A91,'YBHN WH TB'!J:J)</f>
        <v/>
      </c>
      <c r="W91" s="60">
        <f>-SUMIF('YBHN WH TB'!$T:$T,'WH P&amp;L'!$A91,'YBHN WH TB'!K:K)</f>
        <v/>
      </c>
      <c r="X91" s="60">
        <f>-SUMIF('YBHN WH TB'!$T:$T,'WH P&amp;L'!$A91,'YBHN WH TB'!L:L)</f>
        <v/>
      </c>
      <c r="Y91" s="60">
        <f>-SUMIF('YBHN WH TB'!$T:$T,'WH P&amp;L'!$A91,'YBHN WH TB'!M:M)</f>
        <v/>
      </c>
      <c r="Z91" s="60">
        <f>-SUMIF('YBHN WH TB'!$T:$T,'WH P&amp;L'!$A91,'YBHN WH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60" t="inlineStr">
        <is>
          <t>In-Direct - Overheads</t>
        </is>
      </c>
      <c r="B92" s="18" t="n">
        <v>-252.58</v>
      </c>
      <c r="C92" s="18" t="n">
        <v>-785.64</v>
      </c>
      <c r="D92" s="18" t="n">
        <v>-730.3</v>
      </c>
      <c r="E92" s="18" t="n">
        <v>-585.4400000000001</v>
      </c>
      <c r="F92" s="18" t="n">
        <v>-258.77</v>
      </c>
      <c r="G92" s="18" t="n">
        <v>-642.1800000000001</v>
      </c>
      <c r="H92" s="18" t="n">
        <v>-357.46</v>
      </c>
      <c r="I92" s="18" t="n">
        <v>-214.43</v>
      </c>
      <c r="J92" s="18" t="n">
        <v>-203.18</v>
      </c>
      <c r="K92" s="18" t="n">
        <v>-296.99</v>
      </c>
      <c r="L92" s="18" t="n">
        <v>-460.76</v>
      </c>
      <c r="M92" s="18" t="n">
        <v>-216</v>
      </c>
      <c r="N92" s="8" t="n"/>
      <c r="O92" s="60">
        <f>-SUMIF('YBHN WH TB'!$T:$T,'WH P&amp;L'!$A92,'YBHN WH TB'!C:C)</f>
        <v/>
      </c>
      <c r="P92" s="60">
        <f>-SUMIF('YBHN WH TB'!$T:$T,'WH P&amp;L'!$A92,'YBHN WH TB'!D:D)</f>
        <v/>
      </c>
      <c r="Q92" s="60">
        <f>-SUMIF('YBHN WH TB'!$T:$T,'WH P&amp;L'!$A92,'YBHN WH TB'!E:E)</f>
        <v/>
      </c>
      <c r="R92" s="60">
        <f>-SUMIF('YBHN WH TB'!$T:$T,'WH P&amp;L'!$A92,'YBHN WH TB'!F:F)</f>
        <v/>
      </c>
      <c r="S92" s="60">
        <f>-SUMIF('YBHN WH TB'!$T:$T,'WH P&amp;L'!$A92,'YBHN WH TB'!G:G)</f>
        <v/>
      </c>
      <c r="T92" s="60">
        <f>-SUMIF('YBHN WH TB'!$T:$T,'WH P&amp;L'!$A92,'YBHN WH TB'!H:H)</f>
        <v/>
      </c>
      <c r="U92" s="60">
        <f>-SUMIF('YBHN WH TB'!$T:$T,'WH P&amp;L'!$A92,'YBHN WH TB'!I:I)</f>
        <v/>
      </c>
      <c r="V92" s="60">
        <f>-SUMIF('YBHN WH TB'!$T:$T,'WH P&amp;L'!$A92,'YBHN WH TB'!J:J)</f>
        <v/>
      </c>
      <c r="W92" s="60">
        <f>-SUMIF('YBHN WH TB'!$T:$T,'WH P&amp;L'!$A92,'YBHN WH TB'!K:K)</f>
        <v/>
      </c>
      <c r="X92" s="60">
        <f>-SUMIF('YBHN WH TB'!$T:$T,'WH P&amp;L'!$A92,'YBHN WH TB'!L:L)</f>
        <v/>
      </c>
      <c r="Y92" s="60">
        <f>-SUMIF('YBHN WH TB'!$T:$T,'WH P&amp;L'!$A92,'YBHN WH TB'!M:M)</f>
        <v/>
      </c>
      <c r="Z92" s="60">
        <f>-SUMIF('YBHN WH TB'!$T:$T,'WH P&amp;L'!$A92,'YBHN WH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 ht="15.75" customHeight="1">
      <c r="A93" s="8" t="n"/>
      <c r="B93" s="67" t="n">
        <v>29880.48</v>
      </c>
      <c r="C93" s="67" t="n">
        <v>20973.27000000001</v>
      </c>
      <c r="D93" s="67" t="n">
        <v>27548.64</v>
      </c>
      <c r="E93" s="67" t="n">
        <v>26914.55</v>
      </c>
      <c r="F93" s="67" t="n">
        <v>20444.26</v>
      </c>
      <c r="G93" s="67" t="n">
        <v>14565.14999999999</v>
      </c>
      <c r="H93" s="67" t="n">
        <v>29796.61</v>
      </c>
      <c r="I93" s="67" t="n">
        <v>3233.809999999999</v>
      </c>
      <c r="J93" s="67" t="n">
        <v>5992.739999999995</v>
      </c>
      <c r="K93" s="67" t="n">
        <v>5999.500000000002</v>
      </c>
      <c r="L93" s="67" t="n">
        <v>2955.130000000001</v>
      </c>
      <c r="M93" s="67" t="n">
        <v>-5883.55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16533.34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0</v>
      </c>
      <c r="L96" s="18" t="n">
        <v>0</v>
      </c>
      <c r="M96" s="18" t="n">
        <v>-16533.34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>
        <v>-29880.47999999999</v>
      </c>
      <c r="C97" s="18" t="n">
        <v>-20973.27</v>
      </c>
      <c r="D97" s="18" t="n">
        <v>-27548.63999999999</v>
      </c>
      <c r="E97" s="18" t="n">
        <v>-26914.55000000001</v>
      </c>
      <c r="F97" s="18" t="n">
        <v>-20444.25999999999</v>
      </c>
      <c r="G97" s="18" t="n">
        <v>-14565.14999999999</v>
      </c>
      <c r="H97" s="18" t="n">
        <v>-29796.61000000001</v>
      </c>
      <c r="I97" s="18" t="n">
        <v>-3233.809999999997</v>
      </c>
      <c r="J97" s="18" t="n">
        <v>-5992.74</v>
      </c>
      <c r="K97" s="18" t="n">
        <v>-5999.499999999998</v>
      </c>
      <c r="L97" s="18" t="n">
        <v>-2955.130000000002</v>
      </c>
      <c r="M97" s="18" t="n">
        <v>-10649.79</v>
      </c>
      <c r="N97" s="8" t="n"/>
      <c r="O97" s="60">
        <f>SUM('YBHN WH TB'!C2:C44)</f>
        <v/>
      </c>
      <c r="P97" s="60">
        <f>SUM('YBHN WH TB'!D2:D44)</f>
        <v/>
      </c>
      <c r="Q97" s="60">
        <f>SUM('YBHN WH TB'!E2:E44)</f>
        <v/>
      </c>
      <c r="R97" s="60">
        <f>SUM('YBHN WH TB'!F2:F44)</f>
        <v/>
      </c>
      <c r="S97" s="60">
        <f>SUM('YBHN WH TB'!G2:G44)</f>
        <v/>
      </c>
      <c r="T97" s="60">
        <f>SUM('YBHN WH TB'!H2:H44)</f>
        <v/>
      </c>
      <c r="U97" s="60">
        <f>SUM('YBHN WH TB'!I2:I44)</f>
        <v/>
      </c>
      <c r="V97" s="60">
        <f>SUM('YBHN WH TB'!J2:J44)</f>
        <v/>
      </c>
      <c r="W97" s="60">
        <f>SUM('YBHN WH TB'!K2:K44)</f>
        <v/>
      </c>
      <c r="X97" s="60">
        <f>SUM('YBHN WH TB'!L2:L44)</f>
        <v/>
      </c>
      <c r="Y97" s="60">
        <f>SUM('YBHN WH TB'!M2:M44)</f>
        <v/>
      </c>
      <c r="Z97" s="60">
        <f>SUM('YBHN WH TB'!N2:N44)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13547.64</v>
      </c>
      <c r="C8" s="35" t="n">
        <v>13678.94</v>
      </c>
      <c r="D8" s="35" t="n">
        <v>12493.24</v>
      </c>
      <c r="E8" s="35" t="n">
        <v>13668.68</v>
      </c>
      <c r="F8" s="35" t="n">
        <v>12240.43</v>
      </c>
      <c r="G8" s="35" t="n">
        <v>11294.85</v>
      </c>
      <c r="H8" s="35" t="n">
        <v>13915.66</v>
      </c>
      <c r="I8" s="35" t="n">
        <v>9820.360000000001</v>
      </c>
      <c r="J8" s="35" t="n">
        <v>6134.57</v>
      </c>
      <c r="K8" s="35" t="n">
        <v>6959.25</v>
      </c>
      <c r="L8" s="35" t="n">
        <v>4849.44</v>
      </c>
      <c r="M8" s="35" t="n">
        <v>5437.48</v>
      </c>
      <c r="N8" s="36">
        <f>SUM(B8:M8)</f>
        <v/>
      </c>
      <c r="O8" s="37" t="n">
        <v>3354.85</v>
      </c>
      <c r="P8" s="37" t="n">
        <v>3323.69</v>
      </c>
      <c r="Q8" s="37" t="n">
        <v>6666.78</v>
      </c>
      <c r="R8" s="37" t="n">
        <v>5593.219999999999</v>
      </c>
      <c r="S8" s="37" t="n">
        <v>5717.570000000001</v>
      </c>
      <c r="T8" s="37" t="n">
        <v>5699</v>
      </c>
      <c r="U8" s="37" t="n">
        <v>8330</v>
      </c>
      <c r="V8" s="38" t="n">
        <v>5166</v>
      </c>
      <c r="W8" s="38" t="n">
        <v>3078</v>
      </c>
      <c r="X8" s="38" t="n">
        <v>6342</v>
      </c>
      <c r="Y8" s="38" t="n">
        <v>6001</v>
      </c>
      <c r="Z8" s="38" t="n">
        <v>6888</v>
      </c>
      <c r="AA8" s="36">
        <f>SUM(O8:U8)</f>
        <v/>
      </c>
      <c r="AB8" s="36">
        <f>SUM(O8:Z8)</f>
        <v/>
      </c>
      <c r="AC8" s="38" t="n">
        <v>18243.24</v>
      </c>
      <c r="AD8" s="38" t="n">
        <v>15179.01</v>
      </c>
      <c r="AE8" s="38" t="n">
        <v>21987.99</v>
      </c>
      <c r="AF8" s="38" t="n">
        <v>22298.56</v>
      </c>
      <c r="AG8" s="38" t="n">
        <v>14630.48</v>
      </c>
      <c r="AH8" s="38" t="n">
        <v>16601.21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6570.19</v>
      </c>
      <c r="C9" s="35" t="n">
        <v>6570.19</v>
      </c>
      <c r="D9" s="35" t="n">
        <v>14078.26</v>
      </c>
      <c r="E9" s="35" t="n">
        <v>6162.6</v>
      </c>
      <c r="F9" s="35" t="n">
        <v>6162.6</v>
      </c>
      <c r="G9" s="35" t="n">
        <v>6162.6</v>
      </c>
      <c r="H9" s="35" t="n">
        <v>10121.39</v>
      </c>
      <c r="I9" s="35" t="n">
        <v>0</v>
      </c>
      <c r="J9" s="35" t="n">
        <v>7065.1</v>
      </c>
      <c r="K9" s="35" t="n">
        <v>7065.1</v>
      </c>
      <c r="L9" s="35" t="n">
        <v>7823.9</v>
      </c>
      <c r="M9" s="35" t="n">
        <v>33221.15</v>
      </c>
      <c r="N9" s="36">
        <f>SUM(B9:M9)</f>
        <v/>
      </c>
      <c r="O9" s="37" t="n">
        <v>10507.32</v>
      </c>
      <c r="P9" s="37" t="n">
        <v>10507.32</v>
      </c>
      <c r="Q9" s="37" t="n">
        <v>-3957.84</v>
      </c>
      <c r="R9" s="37" t="n">
        <v>9029.950000000001</v>
      </c>
      <c r="S9" s="37" t="n">
        <v>9029.950000000001</v>
      </c>
      <c r="T9" s="37" t="n">
        <v>12012</v>
      </c>
      <c r="U9" s="37" t="n">
        <v>6983</v>
      </c>
      <c r="V9" s="38" t="n"/>
      <c r="W9" s="38" t="n">
        <v>10658</v>
      </c>
      <c r="X9" s="38" t="n">
        <v>10683</v>
      </c>
      <c r="Y9" s="38" t="n">
        <v>13438</v>
      </c>
      <c r="Z9" s="38" t="n">
        <v>8848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1110.33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-SUMIF('YBN FH TB'!$R:$R,'FH P&amp;L'!$A10,'YBN FH TB'!C:C)</f>
        <v/>
      </c>
      <c r="P10" s="37">
        <f>-SUMIF('YBN FH TB'!$R:$R,'FH P&amp;L'!$A10,'YBN FH TB'!D:D)</f>
        <v/>
      </c>
      <c r="Q10" s="37">
        <f>-SUMIF('YBN FH TB'!$R:$R,'FH P&amp;L'!$A10,'YBN FH TB'!E:E)</f>
        <v/>
      </c>
      <c r="R10" s="37">
        <f>-SUMIF('YBN FH TB'!$R:$R,'FH P&amp;L'!$A10,'YBN FH TB'!F:F)</f>
        <v/>
      </c>
      <c r="S10" s="37">
        <f>-SUMIF('YBN FH TB'!$R:$R,'FH P&amp;L'!$A10,'YBN FH TB'!G:G)</f>
        <v/>
      </c>
      <c r="T10" s="37">
        <f>-SUMIF('YBN FH TB'!$R:$R,'FH P&amp;L'!$A10,'YBN FH TB'!H:H)</f>
        <v/>
      </c>
      <c r="U10" s="37">
        <f>-SUMIF('YBN FH TB'!$R:$R,'FH P&amp;L'!$A10,'YBN FH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20117.83</v>
      </c>
      <c r="C11" s="42" t="n">
        <v>20249.13</v>
      </c>
      <c r="D11" s="42" t="n">
        <v>26571.5</v>
      </c>
      <c r="E11" s="42" t="n">
        <v>19831.28</v>
      </c>
      <c r="F11" s="42" t="n">
        <v>18403.03</v>
      </c>
      <c r="G11" s="42" t="n">
        <v>17457.45</v>
      </c>
      <c r="H11" s="42" t="n">
        <v>24037.05</v>
      </c>
      <c r="I11" s="42" t="n">
        <v>10930.69</v>
      </c>
      <c r="J11" s="42" t="n">
        <v>13199.67</v>
      </c>
      <c r="K11" s="42" t="n">
        <v>14024.35</v>
      </c>
      <c r="L11" s="42" t="n">
        <v>12673.34</v>
      </c>
      <c r="M11" s="42" t="n">
        <v>38658.63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13853.25</v>
      </c>
      <c r="C16" s="35" t="n">
        <v>13920.39</v>
      </c>
      <c r="D16" s="35" t="n">
        <v>10885.86</v>
      </c>
      <c r="E16" s="35" t="n">
        <v>11734.94</v>
      </c>
      <c r="F16" s="35" t="n">
        <v>11884.27</v>
      </c>
      <c r="G16" s="35" t="n">
        <v>11731.04</v>
      </c>
      <c r="H16" s="35" t="n">
        <v>15058.12</v>
      </c>
      <c r="I16" s="35" t="n">
        <v>12658.92</v>
      </c>
      <c r="J16" s="35" t="n">
        <v>12033.38</v>
      </c>
      <c r="K16" s="35" t="n">
        <v>14221.18</v>
      </c>
      <c r="L16" s="35" t="n">
        <v>14943.61</v>
      </c>
      <c r="M16" s="35" t="n">
        <v>12969.62</v>
      </c>
      <c r="N16" s="36">
        <f>SUM(B16:M16)</f>
        <v/>
      </c>
      <c r="O16" s="37" t="n">
        <v>15250.07</v>
      </c>
      <c r="P16" s="37" t="n">
        <v>14732.04</v>
      </c>
      <c r="Q16" s="37" t="n">
        <v>17344.06</v>
      </c>
      <c r="R16" s="37" t="n">
        <v>15665.42</v>
      </c>
      <c r="S16" s="37" t="n">
        <v>17146.66</v>
      </c>
      <c r="T16" s="37" t="n">
        <v>17450.45</v>
      </c>
      <c r="U16" s="37" t="n">
        <v>16025.41</v>
      </c>
      <c r="V16" s="38" t="n">
        <v>17344.06</v>
      </c>
      <c r="W16" s="38" t="n">
        <v>17344.06</v>
      </c>
      <c r="X16" s="38" t="n">
        <v>17344.06</v>
      </c>
      <c r="Y16" s="38" t="n">
        <v>17344.06</v>
      </c>
      <c r="Z16" s="38" t="n">
        <v>17344.06</v>
      </c>
      <c r="AA16" s="36">
        <f>SUM(O16:U16)</f>
        <v/>
      </c>
      <c r="AB16" s="36">
        <f>SUM(O16:Z16)</f>
        <v/>
      </c>
      <c r="AC16" s="38" t="n">
        <v>17344.06</v>
      </c>
      <c r="AD16" s="38" t="n">
        <v>17344.06</v>
      </c>
      <c r="AE16" s="38" t="n">
        <v>17344.06</v>
      </c>
      <c r="AF16" s="38" t="n">
        <v>17344.06</v>
      </c>
      <c r="AG16" s="38" t="n">
        <v>17344.06</v>
      </c>
      <c r="AH16" s="38" t="n">
        <v>17344.06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1069.51</v>
      </c>
      <c r="C17" s="35" t="n">
        <v>1065.83</v>
      </c>
      <c r="D17" s="35" t="n">
        <v>730.8099999999999</v>
      </c>
      <c r="E17" s="35" t="n">
        <v>1121.54</v>
      </c>
      <c r="F17" s="35" t="n">
        <v>1145.85</v>
      </c>
      <c r="G17" s="35" t="n">
        <v>1120.74</v>
      </c>
      <c r="H17" s="35" t="n">
        <v>1457.54</v>
      </c>
      <c r="I17" s="35" t="n">
        <v>1187.6</v>
      </c>
      <c r="J17" s="35" t="n">
        <v>1147.14</v>
      </c>
      <c r="K17" s="35" t="n">
        <v>1417.58</v>
      </c>
      <c r="L17" s="35" t="n">
        <v>1470.89</v>
      </c>
      <c r="M17" s="35" t="n">
        <v>1237.76</v>
      </c>
      <c r="N17" s="36">
        <f>SUM(B17:M17)</f>
        <v/>
      </c>
      <c r="O17" s="37" t="n">
        <v>1906.06</v>
      </c>
      <c r="P17" s="37" t="n">
        <v>1552.42</v>
      </c>
      <c r="Q17" s="37" t="n">
        <v>1940.36</v>
      </c>
      <c r="R17" s="37" t="n">
        <v>1758.19</v>
      </c>
      <c r="S17" s="37" t="n">
        <v>1909.14</v>
      </c>
      <c r="T17" s="37" t="n">
        <v>1963.39</v>
      </c>
      <c r="U17" s="37" t="n">
        <v>1752.14</v>
      </c>
      <c r="V17" s="38" t="n">
        <v>1940.36</v>
      </c>
      <c r="W17" s="38" t="n">
        <v>1940.36</v>
      </c>
      <c r="X17" s="38" t="n">
        <v>1940.36</v>
      </c>
      <c r="Y17" s="38" t="n">
        <v>1940.36</v>
      </c>
      <c r="Z17" s="38" t="n">
        <v>1940.36</v>
      </c>
      <c r="AA17" s="36">
        <f>SUM(O17:U17)</f>
        <v/>
      </c>
      <c r="AB17" s="36">
        <f>SUM(O17:Z17)</f>
        <v/>
      </c>
      <c r="AC17" s="38" t="n">
        <v>1940.36</v>
      </c>
      <c r="AD17" s="38" t="n">
        <v>1940.36</v>
      </c>
      <c r="AE17" s="38" t="n">
        <v>1940.36</v>
      </c>
      <c r="AF17" s="38" t="n">
        <v>1940.36</v>
      </c>
      <c r="AG17" s="38" t="n">
        <v>1940.36</v>
      </c>
      <c r="AH17" s="38" t="n">
        <v>1940.36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237.38</v>
      </c>
      <c r="C18" s="35" t="n">
        <v>236.58</v>
      </c>
      <c r="D18" s="35" t="n">
        <v>156.6</v>
      </c>
      <c r="E18" s="35" t="n">
        <v>179.38</v>
      </c>
      <c r="F18" s="35" t="n">
        <v>216.8</v>
      </c>
      <c r="G18" s="35" t="n">
        <v>211.77</v>
      </c>
      <c r="H18" s="35" t="n">
        <v>228</v>
      </c>
      <c r="I18" s="35" t="n">
        <v>221.31</v>
      </c>
      <c r="J18" s="35" t="n">
        <v>217.06</v>
      </c>
      <c r="K18" s="35" t="n">
        <v>234.2</v>
      </c>
      <c r="L18" s="35" t="n">
        <v>215.9</v>
      </c>
      <c r="M18" s="35" t="n">
        <v>203.98</v>
      </c>
      <c r="N18" s="36">
        <f>SUM(B18:M18)</f>
        <v/>
      </c>
      <c r="O18" s="37" t="n">
        <v>266.3</v>
      </c>
      <c r="P18" s="37" t="n">
        <v>211.64</v>
      </c>
      <c r="Q18" s="37" t="n">
        <v>282.56</v>
      </c>
      <c r="R18" s="37" t="n">
        <v>243.9</v>
      </c>
      <c r="S18" s="37" t="n">
        <v>244.03</v>
      </c>
      <c r="T18" s="37" t="n">
        <v>245.73</v>
      </c>
      <c r="U18" s="37" t="n">
        <v>210.34</v>
      </c>
      <c r="V18" s="38" t="n">
        <v>282.56</v>
      </c>
      <c r="W18" s="38" t="n">
        <v>282.56</v>
      </c>
      <c r="X18" s="38" t="n">
        <v>282.56</v>
      </c>
      <c r="Y18" s="38" t="n">
        <v>282.56</v>
      </c>
      <c r="Z18" s="38" t="n">
        <v>282.56</v>
      </c>
      <c r="AA18" s="36">
        <f>SUM(O18:U18)</f>
        <v/>
      </c>
      <c r="AB18" s="36">
        <f>SUM(O18:Z18)</f>
        <v/>
      </c>
      <c r="AC18" s="38" t="n">
        <v>282.56</v>
      </c>
      <c r="AD18" s="38" t="n">
        <v>282.56</v>
      </c>
      <c r="AE18" s="38" t="n">
        <v>282.56</v>
      </c>
      <c r="AF18" s="38" t="n">
        <v>282.56</v>
      </c>
      <c r="AG18" s="38" t="n">
        <v>282.56</v>
      </c>
      <c r="AH18" s="38" t="n">
        <v>282.56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97.16</v>
      </c>
      <c r="D19" s="35" t="n">
        <v>74.22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132.9</v>
      </c>
      <c r="K19" s="35" t="n">
        <v>0</v>
      </c>
      <c r="L19" s="35" t="n">
        <v>158.34</v>
      </c>
      <c r="M19" s="35" t="n">
        <v>0</v>
      </c>
      <c r="N19" s="36">
        <f>SUM(B19:M19)</f>
        <v/>
      </c>
      <c r="O19" s="37" t="n">
        <v>0</v>
      </c>
      <c r="P19" s="37" t="n">
        <v>64.56</v>
      </c>
      <c r="Q19" s="37" t="n">
        <v>0</v>
      </c>
      <c r="R19" s="37" t="n">
        <v>0</v>
      </c>
      <c r="S19" s="37" t="n">
        <v>54.48</v>
      </c>
      <c r="T19" s="37" t="n">
        <v>130.08</v>
      </c>
      <c r="U19" s="37" t="n">
        <v>44.16</v>
      </c>
      <c r="V19" s="38" t="n">
        <v>34</v>
      </c>
      <c r="W19" s="38" t="n">
        <v>34</v>
      </c>
      <c r="X19" s="38" t="n">
        <v>34</v>
      </c>
      <c r="Y19" s="38" t="n">
        <v>34</v>
      </c>
      <c r="Z19" s="38" t="n">
        <v>34</v>
      </c>
      <c r="AA19" s="36">
        <f>SUM(O19:U19)</f>
        <v/>
      </c>
      <c r="AB19" s="36">
        <f>SUM(O19:Z19)</f>
        <v/>
      </c>
      <c r="AC19" s="38" t="n">
        <v>34</v>
      </c>
      <c r="AD19" s="38" t="n">
        <v>34</v>
      </c>
      <c r="AE19" s="38" t="n">
        <v>34</v>
      </c>
      <c r="AF19" s="38" t="n">
        <v>34</v>
      </c>
      <c r="AG19" s="38" t="n">
        <v>34</v>
      </c>
      <c r="AH19" s="38" t="n">
        <v>34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24.98</v>
      </c>
      <c r="C20" s="35" t="n">
        <v>0</v>
      </c>
      <c r="D20" s="35" t="n">
        <v>0</v>
      </c>
      <c r="E20" s="35" t="n">
        <v>72</v>
      </c>
      <c r="F20" s="35" t="n">
        <v>31.2</v>
      </c>
      <c r="G20" s="35" t="n">
        <v>0</v>
      </c>
      <c r="H20" s="35" t="n">
        <v>61.2</v>
      </c>
      <c r="I20" s="35" t="n">
        <v>78</v>
      </c>
      <c r="J20" s="35" t="n">
        <v>37.2</v>
      </c>
      <c r="K20" s="35" t="n">
        <v>114</v>
      </c>
      <c r="L20" s="35" t="n">
        <v>496.9</v>
      </c>
      <c r="M20" s="35" t="n">
        <v>0</v>
      </c>
      <c r="N20" s="36">
        <f>SUM(B20:M20)</f>
        <v/>
      </c>
      <c r="O20" s="37" t="n">
        <v>0</v>
      </c>
      <c r="P20" s="37" t="n">
        <v>78</v>
      </c>
      <c r="Q20" s="37" t="n">
        <v>0</v>
      </c>
      <c r="R20" s="37" t="n">
        <v>78</v>
      </c>
      <c r="S20" s="37" t="n">
        <v>0</v>
      </c>
      <c r="T20" s="37" t="n">
        <v>0</v>
      </c>
      <c r="U20" s="37" t="n">
        <v>0</v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52.64</v>
      </c>
      <c r="C21" s="35" t="n">
        <v>83.47</v>
      </c>
      <c r="D21" s="35" t="n">
        <v>184.8</v>
      </c>
      <c r="E21" s="35" t="n">
        <v>82.88</v>
      </c>
      <c r="F21" s="35" t="n">
        <v>111.1</v>
      </c>
      <c r="G21" s="35" t="n">
        <v>58.14</v>
      </c>
      <c r="H21" s="35" t="n">
        <v>174.11</v>
      </c>
      <c r="I21" s="35" t="n">
        <v>101.97</v>
      </c>
      <c r="J21" s="35" t="n">
        <v>76.61</v>
      </c>
      <c r="K21" s="35" t="n">
        <v>140.2</v>
      </c>
      <c r="L21" s="35" t="n">
        <v>107.45</v>
      </c>
      <c r="M21" s="35" t="n">
        <v>154.31</v>
      </c>
      <c r="N21" s="36">
        <f>SUM(B21:M21)</f>
        <v/>
      </c>
      <c r="O21" s="37" t="n">
        <v>51.24</v>
      </c>
      <c r="P21" s="37" t="n">
        <v>181.27</v>
      </c>
      <c r="Q21" s="37" t="n">
        <v>83.42999999999999</v>
      </c>
      <c r="R21" s="37" t="n">
        <v>49.29</v>
      </c>
      <c r="S21" s="37" t="n">
        <v>61.11</v>
      </c>
      <c r="T21" s="37" t="n">
        <v>64.43000000000001</v>
      </c>
      <c r="U21" s="37" t="n">
        <v>40.25</v>
      </c>
      <c r="V21" s="38" t="n">
        <v>70</v>
      </c>
      <c r="W21" s="38" t="n">
        <v>70</v>
      </c>
      <c r="X21" s="38" t="n">
        <v>70</v>
      </c>
      <c r="Y21" s="38" t="n">
        <v>70</v>
      </c>
      <c r="Z21" s="38" t="n">
        <v>70</v>
      </c>
      <c r="AA21" s="36">
        <f>SUM(O21:U21)</f>
        <v/>
      </c>
      <c r="AB21" s="36">
        <f>SUM(O21:Z21)</f>
        <v/>
      </c>
      <c r="AC21" s="38" t="n">
        <v>70</v>
      </c>
      <c r="AD21" s="38" t="n">
        <v>70</v>
      </c>
      <c r="AE21" s="38" t="n">
        <v>70</v>
      </c>
      <c r="AF21" s="38" t="n">
        <v>70</v>
      </c>
      <c r="AG21" s="38" t="n">
        <v>70</v>
      </c>
      <c r="AH21" s="38" t="n">
        <v>70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SUMIF('YBN FH TB'!$R:$R,'FH P&amp;L'!$A22,'YBN FH TB'!C:C)</f>
        <v/>
      </c>
      <c r="P22" s="37">
        <f>SUMIF('YBN FH TB'!$R:$R,'FH P&amp;L'!$A22,'YBN FH TB'!D:D)</f>
        <v/>
      </c>
      <c r="Q22" s="37">
        <f>SUMIF('YBN FH TB'!$R:$R,'FH P&amp;L'!$A22,'YBN FH TB'!E:E)</f>
        <v/>
      </c>
      <c r="R22" s="37">
        <f>SUMIF('YBN FH TB'!$R:$R,'FH P&amp;L'!$A22,'YBN FH TB'!F:F)</f>
        <v/>
      </c>
      <c r="S22" s="37">
        <f>SUMIF('YBN FH TB'!$R:$R,'FH P&amp;L'!$A22,'YBN FH TB'!G:G)</f>
        <v/>
      </c>
      <c r="T22" s="37">
        <f>SUMIF('YBN FH TB'!$R:$R,'FH P&amp;L'!$A22,'YBN FH TB'!H:H)</f>
        <v/>
      </c>
      <c r="U22" s="37">
        <f>SUMIF('YBN FH TB'!$R:$R,'FH P&amp;L'!$A22,'YBN FH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15.98</v>
      </c>
      <c r="I23" s="35" t="n">
        <v>0</v>
      </c>
      <c r="J23" s="35" t="n">
        <v>0</v>
      </c>
      <c r="K23" s="35" t="n">
        <v>17.97</v>
      </c>
      <c r="L23" s="35" t="n">
        <v>0</v>
      </c>
      <c r="M23" s="35" t="n">
        <v>0</v>
      </c>
      <c r="N23" s="36">
        <f>SUM(B23:M23)</f>
        <v/>
      </c>
      <c r="O23" s="37" t="n">
        <v>18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8" t="n">
        <v>29</v>
      </c>
      <c r="W23" s="38" t="n">
        <v>29</v>
      </c>
      <c r="X23" s="38" t="n">
        <v>29</v>
      </c>
      <c r="Y23" s="38" t="n">
        <v>29</v>
      </c>
      <c r="Z23" s="38" t="n">
        <v>29</v>
      </c>
      <c r="AA23" s="36">
        <f>SUM(O23:U23)</f>
        <v/>
      </c>
      <c r="AB23" s="36">
        <f>SUM(O23:Z23)</f>
        <v/>
      </c>
      <c r="AC23" s="38" t="n">
        <v>29</v>
      </c>
      <c r="AD23" s="38" t="n">
        <v>29</v>
      </c>
      <c r="AE23" s="38" t="n">
        <v>29</v>
      </c>
      <c r="AF23" s="38" t="n">
        <v>29</v>
      </c>
      <c r="AG23" s="38" t="n">
        <v>29</v>
      </c>
      <c r="AH23" s="38" t="n">
        <v>29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SUMIF('YBN FH TB'!$R:$R,'FH P&amp;L'!$A24,'YBN FH TB'!C:C)</f>
        <v/>
      </c>
      <c r="P24" s="37">
        <f>SUMIF('YBN FH TB'!$R:$R,'FH P&amp;L'!$A24,'YBN FH TB'!D:D)</f>
        <v/>
      </c>
      <c r="Q24" s="37">
        <f>SUMIF('YBN FH TB'!$R:$R,'FH P&amp;L'!$A24,'YBN FH TB'!E:E)</f>
        <v/>
      </c>
      <c r="R24" s="37">
        <f>SUMIF('YBN FH TB'!$R:$R,'FH P&amp;L'!$A24,'YBN FH TB'!F:F)</f>
        <v/>
      </c>
      <c r="S24" s="37">
        <f>SUMIF('YBN FH TB'!$R:$R,'FH P&amp;L'!$A24,'YBN FH TB'!G:G)</f>
        <v/>
      </c>
      <c r="T24" s="37">
        <f>SUMIF('YBN FH TB'!$R:$R,'FH P&amp;L'!$A24,'YBN FH TB'!H:H)</f>
        <v/>
      </c>
      <c r="U24" s="37">
        <f>SUMIF('YBN FH TB'!$R:$R,'FH P&amp;L'!$A24,'YBN FH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15237.76</v>
      </c>
      <c r="C25" s="42" t="n">
        <v>15403.43</v>
      </c>
      <c r="D25" s="42" t="n">
        <v>12032.29</v>
      </c>
      <c r="E25" s="42" t="n">
        <v>13190.74</v>
      </c>
      <c r="F25" s="42" t="n">
        <v>13389.22</v>
      </c>
      <c r="G25" s="42" t="n">
        <v>13121.69</v>
      </c>
      <c r="H25" s="42" t="n">
        <v>16994.95</v>
      </c>
      <c r="I25" s="42" t="n">
        <v>14247.8</v>
      </c>
      <c r="J25" s="42" t="n">
        <v>13644.29</v>
      </c>
      <c r="K25" s="42" t="n">
        <v>16145.13</v>
      </c>
      <c r="L25" s="42" t="n">
        <v>17393.09</v>
      </c>
      <c r="M25" s="42" t="n">
        <v>14565.67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735.61</v>
      </c>
      <c r="C27" s="35" t="n">
        <v>683.37</v>
      </c>
      <c r="D27" s="35" t="n">
        <v>752.22</v>
      </c>
      <c r="E27" s="35" t="n">
        <v>536.96</v>
      </c>
      <c r="F27" s="35" t="n">
        <v>708.88</v>
      </c>
      <c r="G27" s="35" t="n">
        <v>538.97</v>
      </c>
      <c r="H27" s="35" t="n">
        <v>591.0500000000001</v>
      </c>
      <c r="I27" s="35" t="n">
        <v>562.48</v>
      </c>
      <c r="J27" s="35" t="n">
        <v>397.93</v>
      </c>
      <c r="K27" s="35" t="n">
        <v>604.29</v>
      </c>
      <c r="L27" s="35" t="n">
        <v>540.3200000000001</v>
      </c>
      <c r="M27" s="35" t="n">
        <v>400.26</v>
      </c>
      <c r="N27" s="36">
        <f>SUM(B27:M27)</f>
        <v/>
      </c>
      <c r="O27" s="37" t="n">
        <v>399.77</v>
      </c>
      <c r="P27" s="37" t="n">
        <v>563.37</v>
      </c>
      <c r="Q27" s="37" t="n">
        <v>423.89</v>
      </c>
      <c r="R27" s="37" t="n">
        <v>648.3200000000001</v>
      </c>
      <c r="S27" s="37" t="n">
        <v>441.47</v>
      </c>
      <c r="T27" s="37" t="n">
        <v>489.36</v>
      </c>
      <c r="U27" s="37" t="n">
        <v>290.17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111.07</v>
      </c>
      <c r="C28" s="35" t="n">
        <v>29.84</v>
      </c>
      <c r="D28" s="35" t="n">
        <v>112.62</v>
      </c>
      <c r="E28" s="35" t="n">
        <v>222.49</v>
      </c>
      <c r="F28" s="35" t="n">
        <v>143.88</v>
      </c>
      <c r="G28" s="35" t="n">
        <v>29.34</v>
      </c>
      <c r="H28" s="35" t="n">
        <v>10.94</v>
      </c>
      <c r="I28" s="35" t="n">
        <v>61.39000000000001</v>
      </c>
      <c r="J28" s="35" t="n">
        <v>0</v>
      </c>
      <c r="K28" s="35" t="n">
        <v>524.92</v>
      </c>
      <c r="L28" s="35" t="n">
        <v>5.57</v>
      </c>
      <c r="M28" s="35" t="n">
        <v>12</v>
      </c>
      <c r="N28" s="36">
        <f>SUM(B28:M28)</f>
        <v/>
      </c>
      <c r="O28" s="37" t="n">
        <v>0</v>
      </c>
      <c r="P28" s="37" t="n">
        <v>3.71</v>
      </c>
      <c r="Q28" s="37" t="n">
        <v>332.8700000000001</v>
      </c>
      <c r="R28" s="37" t="n">
        <v>12</v>
      </c>
      <c r="S28" s="37" t="n">
        <v>16</v>
      </c>
      <c r="T28" s="37" t="n">
        <v>35.11999999999989</v>
      </c>
      <c r="U28" s="37" t="n">
        <v>16.99</v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37.5</v>
      </c>
      <c r="C29" s="35" t="n">
        <v>30.89</v>
      </c>
      <c r="D29" s="35" t="n">
        <v>8.99</v>
      </c>
      <c r="E29" s="35" t="n">
        <v>28.67</v>
      </c>
      <c r="F29" s="35" t="n">
        <v>10.09</v>
      </c>
      <c r="G29" s="35" t="n">
        <v>-40.98</v>
      </c>
      <c r="H29" s="35" t="n">
        <v>35.19</v>
      </c>
      <c r="I29" s="35" t="n">
        <v>25.68</v>
      </c>
      <c r="J29" s="35" t="n">
        <v>43.93</v>
      </c>
      <c r="K29" s="35" t="n">
        <v>24.48</v>
      </c>
      <c r="L29" s="35" t="n">
        <v>110.18</v>
      </c>
      <c r="M29" s="35" t="n">
        <v>15.39</v>
      </c>
      <c r="N29" s="36">
        <f>SUM(B29:M29)</f>
        <v/>
      </c>
      <c r="O29" s="37" t="n">
        <v>0</v>
      </c>
      <c r="P29" s="37" t="n">
        <v>10.97</v>
      </c>
      <c r="Q29" s="37" t="n">
        <v>64.73999999999999</v>
      </c>
      <c r="R29" s="37" t="n">
        <v>82.13</v>
      </c>
      <c r="S29" s="37" t="n">
        <v>5.69</v>
      </c>
      <c r="T29" s="37" t="n">
        <v>35.15</v>
      </c>
      <c r="U29" s="37" t="n">
        <v>4.99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0.00208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26.31</v>
      </c>
      <c r="C30" s="35" t="n">
        <v>20.61</v>
      </c>
      <c r="D30" s="35" t="n">
        <v>3.69</v>
      </c>
      <c r="E30" s="35" t="n">
        <v>0</v>
      </c>
      <c r="F30" s="35" t="n">
        <v>16.59</v>
      </c>
      <c r="G30" s="35" t="n">
        <v>13.46</v>
      </c>
      <c r="H30" s="35" t="n">
        <v>25.94</v>
      </c>
      <c r="I30" s="35" t="n">
        <v>27.14</v>
      </c>
      <c r="J30" s="35" t="n">
        <v>20.75</v>
      </c>
      <c r="K30" s="35" t="n">
        <v>24.9</v>
      </c>
      <c r="L30" s="35" t="n">
        <v>0</v>
      </c>
      <c r="M30" s="35" t="n">
        <v>4.99</v>
      </c>
      <c r="N30" s="36">
        <f>SUM(B30:M30)</f>
        <v/>
      </c>
      <c r="O30" s="37" t="n">
        <v>17.99</v>
      </c>
      <c r="P30" s="37" t="n">
        <v>9.91</v>
      </c>
      <c r="Q30" s="37" t="n">
        <v>0</v>
      </c>
      <c r="R30" s="37" t="n">
        <v>5.91</v>
      </c>
      <c r="S30" s="37" t="n">
        <v>69.22</v>
      </c>
      <c r="T30" s="37" t="n">
        <v>6.98</v>
      </c>
      <c r="U30" s="37" t="n">
        <v>0</v>
      </c>
      <c r="V30" s="38" t="n">
        <v>70</v>
      </c>
      <c r="W30" s="38" t="n">
        <v>70</v>
      </c>
      <c r="X30" s="38" t="n">
        <v>70</v>
      </c>
      <c r="Y30" s="38" t="n">
        <v>70</v>
      </c>
      <c r="Z30" s="38" t="n">
        <v>70</v>
      </c>
      <c r="AA30" s="36">
        <f>SUM(O30:U30)</f>
        <v/>
      </c>
      <c r="AB30" s="36">
        <f>SUM(O30:Z30)</f>
        <v/>
      </c>
      <c r="AC30" s="38" t="n">
        <v>70</v>
      </c>
      <c r="AD30" s="38" t="n">
        <v>70</v>
      </c>
      <c r="AE30" s="38" t="n">
        <v>70</v>
      </c>
      <c r="AF30" s="38" t="n">
        <v>70</v>
      </c>
      <c r="AG30" s="38" t="n">
        <v>70</v>
      </c>
      <c r="AH30" s="38" t="n">
        <v>70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0</v>
      </c>
      <c r="C31" s="35" t="n">
        <v>25.46</v>
      </c>
      <c r="D31" s="35" t="n">
        <v>30.22</v>
      </c>
      <c r="E31" s="35" t="n">
        <v>24.98</v>
      </c>
      <c r="F31" s="35" t="n">
        <v>0</v>
      </c>
      <c r="G31" s="35" t="n">
        <v>30.47</v>
      </c>
      <c r="H31" s="35" t="n">
        <v>34.33</v>
      </c>
      <c r="I31" s="35" t="n">
        <v>0</v>
      </c>
      <c r="J31" s="35" t="n">
        <v>273.99</v>
      </c>
      <c r="K31" s="35" t="n">
        <v>233.99</v>
      </c>
      <c r="L31" s="35" t="n">
        <v>0</v>
      </c>
      <c r="M31" s="35" t="n">
        <v>5.99</v>
      </c>
      <c r="N31" s="36">
        <f>SUM(B31:M31)</f>
        <v/>
      </c>
      <c r="O31" s="37" t="n">
        <v>7.58</v>
      </c>
      <c r="P31" s="37" t="n">
        <v>29.99</v>
      </c>
      <c r="Q31" s="37" t="n">
        <v>95.2</v>
      </c>
      <c r="R31" s="37" t="n">
        <v>373.95</v>
      </c>
      <c r="S31" s="37" t="n">
        <v>0</v>
      </c>
      <c r="T31" s="37" t="n">
        <v>4.99</v>
      </c>
      <c r="U31" s="37" t="n">
        <v>5.81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98.23999999999999</v>
      </c>
      <c r="C32" s="35" t="n">
        <v>25.47</v>
      </c>
      <c r="D32" s="35" t="n">
        <v>66.56</v>
      </c>
      <c r="E32" s="35" t="n">
        <v>37.94</v>
      </c>
      <c r="F32" s="35" t="n">
        <v>20.18</v>
      </c>
      <c r="G32" s="35" t="n">
        <v>111.77</v>
      </c>
      <c r="H32" s="35" t="n">
        <v>81.71000000000001</v>
      </c>
      <c r="I32" s="35" t="n">
        <v>36.6</v>
      </c>
      <c r="J32" s="35" t="n">
        <v>31.81</v>
      </c>
      <c r="K32" s="35" t="n">
        <v>48.4</v>
      </c>
      <c r="L32" s="35" t="n">
        <v>30.59</v>
      </c>
      <c r="M32" s="35" t="n">
        <v>87.74000000000001</v>
      </c>
      <c r="N32" s="36">
        <f>SUM(B32:M32)</f>
        <v/>
      </c>
      <c r="O32" s="37" t="n">
        <v>44.37</v>
      </c>
      <c r="P32" s="37" t="n">
        <v>7.95</v>
      </c>
      <c r="Q32" s="37" t="n">
        <v>47.24</v>
      </c>
      <c r="R32" s="37" t="n">
        <v>2.89</v>
      </c>
      <c r="S32" s="37" t="n">
        <v>104.04</v>
      </c>
      <c r="T32" s="37" t="n">
        <v>77.33</v>
      </c>
      <c r="U32" s="37" t="n">
        <v>33.73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SUMIF('YBN FH TB'!$R:$R,'FH P&amp;L'!$A33,'YBN FH TB'!C:C)</f>
        <v/>
      </c>
      <c r="P33" s="37">
        <f>SUMIF('YBN FH TB'!$R:$R,'FH P&amp;L'!$A33,'YBN FH TB'!D:D)</f>
        <v/>
      </c>
      <c r="Q33" s="37">
        <f>SUMIF('YBN FH TB'!$R:$R,'FH P&amp;L'!$A33,'YBN FH TB'!E:E)</f>
        <v/>
      </c>
      <c r="R33" s="37">
        <f>SUMIF('YBN FH TB'!$R:$R,'FH P&amp;L'!$A33,'YBN FH TB'!F:F)</f>
        <v/>
      </c>
      <c r="S33" s="37">
        <f>SUMIF('YBN FH TB'!$R:$R,'FH P&amp;L'!$A33,'YBN FH TB'!G:G)</f>
        <v/>
      </c>
      <c r="T33" s="37">
        <f>SUMIF('YBN FH TB'!$R:$R,'FH P&amp;L'!$A33,'YBN FH TB'!H:H)</f>
        <v/>
      </c>
      <c r="U33" s="37">
        <f>SUMIF('YBN FH TB'!$R:$R,'FH P&amp;L'!$A33,'YBN FH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1008.73</v>
      </c>
      <c r="C34" s="42" t="n">
        <v>815.6400000000001</v>
      </c>
      <c r="D34" s="42" t="n">
        <v>974.3000000000002</v>
      </c>
      <c r="E34" s="42" t="n">
        <v>851.04</v>
      </c>
      <c r="F34" s="42" t="n">
        <v>899.62</v>
      </c>
      <c r="G34" s="42" t="n">
        <v>683.0300000000001</v>
      </c>
      <c r="H34" s="42" t="n">
        <v>779.1600000000002</v>
      </c>
      <c r="I34" s="42" t="n">
        <v>713.29</v>
      </c>
      <c r="J34" s="42" t="n">
        <v>768.41</v>
      </c>
      <c r="K34" s="42" t="n">
        <v>1460.98</v>
      </c>
      <c r="L34" s="42" t="n">
        <v>686.6600000000001</v>
      </c>
      <c r="M34" s="42" t="n">
        <v>526.37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900</v>
      </c>
      <c r="C36" s="35" t="n">
        <v>900</v>
      </c>
      <c r="D36" s="35" t="n">
        <v>900</v>
      </c>
      <c r="E36" s="35" t="n">
        <v>900</v>
      </c>
      <c r="F36" s="35" t="n">
        <v>900</v>
      </c>
      <c r="G36" s="35" t="n">
        <v>900</v>
      </c>
      <c r="H36" s="35" t="n">
        <v>900</v>
      </c>
      <c r="I36" s="35" t="n">
        <v>900</v>
      </c>
      <c r="J36" s="35" t="n">
        <v>900</v>
      </c>
      <c r="K36" s="35" t="n">
        <v>900</v>
      </c>
      <c r="L36" s="35" t="n">
        <v>900</v>
      </c>
      <c r="M36" s="35" t="n">
        <v>900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665.33</v>
      </c>
      <c r="C37" s="35" t="n">
        <v>665.33</v>
      </c>
      <c r="D37" s="35" t="n">
        <v>665.33</v>
      </c>
      <c r="E37" s="35" t="n">
        <v>665.33</v>
      </c>
      <c r="F37" s="35" t="n">
        <v>665.33</v>
      </c>
      <c r="G37" s="35" t="n">
        <v>665.33</v>
      </c>
      <c r="H37" s="35" t="n">
        <v>665.33</v>
      </c>
      <c r="I37" s="35" t="n">
        <v>665.33</v>
      </c>
      <c r="J37" s="35" t="n">
        <v>665.33</v>
      </c>
      <c r="K37" s="35" t="n">
        <v>665.33</v>
      </c>
      <c r="L37" s="35" t="n">
        <v>665.33</v>
      </c>
      <c r="M37" s="35" t="n">
        <v>665.33</v>
      </c>
      <c r="N37" s="36">
        <f>SUM(B37:M37)</f>
        <v/>
      </c>
      <c r="O37" s="37" t="n">
        <v>665.34</v>
      </c>
      <c r="P37" s="37" t="n">
        <v>665.34</v>
      </c>
      <c r="Q37" s="37" t="n">
        <v>665.34</v>
      </c>
      <c r="R37" s="37" t="n">
        <v>765.13</v>
      </c>
      <c r="S37" s="37" t="n">
        <v>765.13</v>
      </c>
      <c r="T37" s="37" t="n">
        <v>765.13</v>
      </c>
      <c r="U37" s="37" t="n">
        <v>765.13</v>
      </c>
      <c r="V37" s="38" t="n">
        <v>765</v>
      </c>
      <c r="W37" s="38" t="n">
        <v>765</v>
      </c>
      <c r="X37" s="38" t="n">
        <v>765</v>
      </c>
      <c r="Y37" s="38" t="n">
        <v>765</v>
      </c>
      <c r="Z37" s="38" t="n">
        <v>765</v>
      </c>
      <c r="AA37" s="36">
        <f>SUM(O37:U37)</f>
        <v/>
      </c>
      <c r="AB37" s="36">
        <f>SUM(O37:Z37)</f>
        <v/>
      </c>
      <c r="AC37" s="38" t="n">
        <v>765</v>
      </c>
      <c r="AD37" s="38" t="n">
        <v>765</v>
      </c>
      <c r="AE37" s="38" t="n">
        <v>765</v>
      </c>
      <c r="AF37" s="38" t="n">
        <v>765</v>
      </c>
      <c r="AG37" s="38" t="n">
        <v>765</v>
      </c>
      <c r="AH37" s="38" t="n">
        <v>765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1473.89</v>
      </c>
      <c r="C38" s="35" t="n">
        <v>1366.4</v>
      </c>
      <c r="D38" s="35" t="n">
        <v>2603.3</v>
      </c>
      <c r="E38" s="35" t="n">
        <v>1870.5</v>
      </c>
      <c r="F38" s="35" t="n">
        <v>1063.68</v>
      </c>
      <c r="G38" s="35" t="n">
        <v>1396.75</v>
      </c>
      <c r="H38" s="35" t="n">
        <v>1107.36</v>
      </c>
      <c r="I38" s="35" t="n">
        <v>1181</v>
      </c>
      <c r="J38" s="35" t="n">
        <v>-275.1799999999999</v>
      </c>
      <c r="K38" s="35" t="n">
        <v>839.92</v>
      </c>
      <c r="L38" s="35" t="n">
        <v>1036.6</v>
      </c>
      <c r="M38" s="35" t="n">
        <v>2199.25</v>
      </c>
      <c r="N38" s="36">
        <f>SUM(B38:M38)</f>
        <v/>
      </c>
      <c r="O38" s="37" t="n">
        <v>1618.32</v>
      </c>
      <c r="P38" s="37" t="n">
        <v>1670.36</v>
      </c>
      <c r="Q38" s="37" t="n">
        <v>1621.91</v>
      </c>
      <c r="R38" s="37" t="n">
        <v>1425.43</v>
      </c>
      <c r="S38" s="37" t="n">
        <v>1194.09</v>
      </c>
      <c r="T38" s="37" t="n">
        <v>332.99</v>
      </c>
      <c r="U38" s="37" t="n">
        <v>1554.36</v>
      </c>
      <c r="V38" s="38" t="n">
        <v>1340</v>
      </c>
      <c r="W38" s="38" t="n">
        <v>1340</v>
      </c>
      <c r="X38" s="38" t="n">
        <v>1340</v>
      </c>
      <c r="Y38" s="38" t="n">
        <v>1340</v>
      </c>
      <c r="Z38" s="38" t="n">
        <v>1340</v>
      </c>
      <c r="AA38" s="36">
        <f>SUM(O38:U38)</f>
        <v/>
      </c>
      <c r="AB38" s="36">
        <f>SUM(O38:Z38)</f>
        <v/>
      </c>
      <c r="AC38" s="38" t="n">
        <v>1340</v>
      </c>
      <c r="AD38" s="38" t="n">
        <v>1340</v>
      </c>
      <c r="AE38" s="38" t="n">
        <v>1340</v>
      </c>
      <c r="AF38" s="38" t="n">
        <v>1340</v>
      </c>
      <c r="AG38" s="38" t="n">
        <v>1340</v>
      </c>
      <c r="AH38" s="38" t="n">
        <v>1340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190.89</v>
      </c>
      <c r="C39" s="35" t="n">
        <v>334.56</v>
      </c>
      <c r="D39" s="35" t="n">
        <v>31.18</v>
      </c>
      <c r="E39" s="35" t="n">
        <v>140.03</v>
      </c>
      <c r="F39" s="35" t="n">
        <v>268.7</v>
      </c>
      <c r="G39" s="35" t="n">
        <v>6.98</v>
      </c>
      <c r="H39" s="35" t="n">
        <v>375.45</v>
      </c>
      <c r="I39" s="35" t="n">
        <v>68.62</v>
      </c>
      <c r="J39" s="35" t="n">
        <v>190.13</v>
      </c>
      <c r="K39" s="35" t="n">
        <v>37.19</v>
      </c>
      <c r="L39" s="35" t="n">
        <v>367.46</v>
      </c>
      <c r="M39" s="35" t="n">
        <v>121.98</v>
      </c>
      <c r="N39" s="36">
        <f>SUM(B39:M39)</f>
        <v/>
      </c>
      <c r="O39" s="37" t="n">
        <v>0</v>
      </c>
      <c r="P39" s="37" t="n">
        <v>143.11</v>
      </c>
      <c r="Q39" s="37" t="n">
        <v>5024.98</v>
      </c>
      <c r="R39" s="37" t="n">
        <v>1405.36</v>
      </c>
      <c r="S39" s="37" t="n">
        <v>382.9999999999999</v>
      </c>
      <c r="T39" s="37" t="n">
        <v>17.57</v>
      </c>
      <c r="U39" s="37" t="n">
        <v>108</v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190.06</v>
      </c>
      <c r="C40" s="35" t="n">
        <v>202.06</v>
      </c>
      <c r="D40" s="35" t="n">
        <v>55.16999999999999</v>
      </c>
      <c r="E40" s="35" t="n">
        <v>160.01</v>
      </c>
      <c r="F40" s="35" t="n">
        <v>83.73999999999999</v>
      </c>
      <c r="G40" s="35" t="n">
        <v>65.2</v>
      </c>
      <c r="H40" s="35" t="n">
        <v>159.27</v>
      </c>
      <c r="I40" s="35" t="n">
        <v>99.89</v>
      </c>
      <c r="J40" s="35" t="n">
        <v>134.23</v>
      </c>
      <c r="K40" s="35" t="n">
        <v>129.5</v>
      </c>
      <c r="L40" s="35" t="n">
        <v>136.31</v>
      </c>
      <c r="M40" s="35" t="n">
        <v>5.71</v>
      </c>
      <c r="N40" s="36">
        <f>SUM(B40:M40)</f>
        <v/>
      </c>
      <c r="O40" s="37" t="n">
        <v>112.87</v>
      </c>
      <c r="P40" s="37" t="n">
        <v>33</v>
      </c>
      <c r="Q40" s="37" t="n">
        <v>77.39</v>
      </c>
      <c r="R40" s="37" t="n">
        <v>0</v>
      </c>
      <c r="S40" s="37" t="n">
        <v>194.26</v>
      </c>
      <c r="T40" s="37" t="n">
        <v>124.22</v>
      </c>
      <c r="U40" s="37" t="n">
        <v>0</v>
      </c>
      <c r="V40" s="38" t="n">
        <v>128</v>
      </c>
      <c r="W40" s="38" t="n">
        <v>128</v>
      </c>
      <c r="X40" s="38" t="n">
        <v>128</v>
      </c>
      <c r="Y40" s="38" t="n">
        <v>128</v>
      </c>
      <c r="Z40" s="38" t="n">
        <v>128</v>
      </c>
      <c r="AA40" s="36">
        <f>SUM(O40:U40)</f>
        <v/>
      </c>
      <c r="AB40" s="36">
        <f>SUM(O40:Z40)</f>
        <v/>
      </c>
      <c r="AC40" s="38" t="n">
        <v>128</v>
      </c>
      <c r="AD40" s="38" t="n">
        <v>128</v>
      </c>
      <c r="AE40" s="38" t="n">
        <v>128</v>
      </c>
      <c r="AF40" s="38" t="n">
        <v>128</v>
      </c>
      <c r="AG40" s="38" t="n">
        <v>128</v>
      </c>
      <c r="AH40" s="38" t="n">
        <v>128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370.63</v>
      </c>
      <c r="C41" s="35" t="n">
        <v>434.89</v>
      </c>
      <c r="D41" s="35" t="n">
        <v>421.63</v>
      </c>
      <c r="E41" s="35" t="n">
        <v>380.28</v>
      </c>
      <c r="F41" s="35" t="n">
        <v>383.48</v>
      </c>
      <c r="G41" s="35" t="n">
        <v>436.89</v>
      </c>
      <c r="H41" s="35" t="n">
        <v>383.48</v>
      </c>
      <c r="I41" s="35" t="n">
        <v>491.1800000000001</v>
      </c>
      <c r="J41" s="35" t="n">
        <v>436.89</v>
      </c>
      <c r="K41" s="35" t="n">
        <v>392.44</v>
      </c>
      <c r="L41" s="35" t="n">
        <v>399.43</v>
      </c>
      <c r="M41" s="35" t="n">
        <v>470.88</v>
      </c>
      <c r="N41" s="36">
        <f>SUM(B41:M41)</f>
        <v/>
      </c>
      <c r="O41" s="37" t="n">
        <v>399.42</v>
      </c>
      <c r="P41" s="37" t="n">
        <v>408.91</v>
      </c>
      <c r="Q41" s="37" t="n">
        <v>452.83</v>
      </c>
      <c r="R41" s="37" t="n">
        <v>507.47</v>
      </c>
      <c r="S41" s="37" t="n">
        <v>426.43</v>
      </c>
      <c r="T41" s="37" t="n">
        <v>317.77</v>
      </c>
      <c r="U41" s="37" t="n">
        <v>399.42</v>
      </c>
      <c r="V41" s="38" t="n">
        <v>414</v>
      </c>
      <c r="W41" s="38" t="n">
        <v>414</v>
      </c>
      <c r="X41" s="38" t="n">
        <v>414</v>
      </c>
      <c r="Y41" s="38" t="n">
        <v>414</v>
      </c>
      <c r="Z41" s="38" t="n">
        <v>414</v>
      </c>
      <c r="AA41" s="36">
        <f>SUM(O41:U41)</f>
        <v/>
      </c>
      <c r="AB41" s="36">
        <f>SUM(O41:Z41)</f>
        <v/>
      </c>
      <c r="AC41" s="38" t="n">
        <v>414</v>
      </c>
      <c r="AD41" s="38" t="n">
        <v>414</v>
      </c>
      <c r="AE41" s="38" t="n">
        <v>414</v>
      </c>
      <c r="AF41" s="38" t="n">
        <v>414</v>
      </c>
      <c r="AG41" s="38" t="n">
        <v>414</v>
      </c>
      <c r="AH41" s="38" t="n">
        <v>414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48.91</v>
      </c>
      <c r="C42" s="35" t="n">
        <v>26.65</v>
      </c>
      <c r="D42" s="35" t="n">
        <v>48.28</v>
      </c>
      <c r="E42" s="35" t="n">
        <v>37.56</v>
      </c>
      <c r="F42" s="35" t="n">
        <v>22.48</v>
      </c>
      <c r="G42" s="35" t="n">
        <v>32.72</v>
      </c>
      <c r="H42" s="35" t="n">
        <v>59.91</v>
      </c>
      <c r="I42" s="35" t="n">
        <v>27.53</v>
      </c>
      <c r="J42" s="35" t="n">
        <v>29.07</v>
      </c>
      <c r="K42" s="35" t="n">
        <v>54.09999999999999</v>
      </c>
      <c r="L42" s="35" t="n">
        <v>30.14</v>
      </c>
      <c r="M42" s="35" t="n">
        <v>11.04</v>
      </c>
      <c r="N42" s="36">
        <f>SUM(B42:M42)</f>
        <v/>
      </c>
      <c r="O42" s="37" t="n">
        <v>35.03</v>
      </c>
      <c r="P42" s="37" t="n">
        <v>36.49</v>
      </c>
      <c r="Q42" s="37" t="n">
        <v>0</v>
      </c>
      <c r="R42" s="37" t="n">
        <v>25.46</v>
      </c>
      <c r="S42" s="37" t="n">
        <v>28.47</v>
      </c>
      <c r="T42" s="37" t="n">
        <v>37.06999999999999</v>
      </c>
      <c r="U42" s="37" t="n">
        <v>13.88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25</v>
      </c>
      <c r="P43" s="37" t="n">
        <v>0</v>
      </c>
      <c r="Q43" s="37" t="n">
        <v>783.74</v>
      </c>
      <c r="R43" s="37" t="n">
        <v>1037</v>
      </c>
      <c r="S43" s="37" t="n">
        <v>237</v>
      </c>
      <c r="T43" s="37" t="n">
        <v>23</v>
      </c>
      <c r="U43" s="37" t="n">
        <v>56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SUMIF('YBN FH TB'!$R:$R,'FH P&amp;L'!$A44,'YBN FH TB'!C:C)</f>
        <v/>
      </c>
      <c r="P44" s="37">
        <f>SUMIF('YBN FH TB'!$R:$R,'FH P&amp;L'!$A44,'YBN FH TB'!D:D)</f>
        <v/>
      </c>
      <c r="Q44" s="37">
        <f>SUMIF('YBN FH TB'!$R:$R,'FH P&amp;L'!$A44,'YBN FH TB'!E:E)</f>
        <v/>
      </c>
      <c r="R44" s="37">
        <f>SUMIF('YBN FH TB'!$R:$R,'FH P&amp;L'!$A44,'YBN FH TB'!F:F)</f>
        <v/>
      </c>
      <c r="S44" s="37">
        <f>SUMIF('YBN FH TB'!$R:$R,'FH P&amp;L'!$A44,'YBN FH TB'!G:G)</f>
        <v/>
      </c>
      <c r="T44" s="37">
        <f>SUMIF('YBN FH TB'!$R:$R,'FH P&amp;L'!$A44,'YBN FH TB'!H:H)</f>
        <v/>
      </c>
      <c r="U44" s="37">
        <f>SUMIF('YBN FH TB'!$R:$R,'FH P&amp;L'!$A44,'YBN FH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137.5</v>
      </c>
      <c r="L45" s="35" t="n">
        <v>137.5</v>
      </c>
      <c r="M45" s="35" t="n">
        <v>137.5</v>
      </c>
      <c r="N45" s="36">
        <f>SUM(B45:M45)</f>
        <v/>
      </c>
      <c r="O45" s="37" t="n">
        <v>137.5</v>
      </c>
      <c r="P45" s="37" t="n">
        <v>137.5</v>
      </c>
      <c r="Q45" s="37" t="n">
        <v>137.5</v>
      </c>
      <c r="R45" s="37" t="n">
        <v>137.5</v>
      </c>
      <c r="S45" s="37" t="n">
        <v>137.5</v>
      </c>
      <c r="T45" s="37" t="n">
        <v>137.5</v>
      </c>
      <c r="U45" s="37" t="n">
        <v>137.5</v>
      </c>
      <c r="V45" s="38" t="n">
        <v>138</v>
      </c>
      <c r="W45" s="38" t="n">
        <v>138</v>
      </c>
      <c r="X45" s="38" t="n">
        <v>138</v>
      </c>
      <c r="Y45" s="38" t="n">
        <v>138</v>
      </c>
      <c r="Z45" s="38" t="n">
        <v>138</v>
      </c>
      <c r="AA45" s="36">
        <f>SUM(O45:U45)</f>
        <v/>
      </c>
      <c r="AB45" s="36">
        <f>SUM(O45:Z45)</f>
        <v/>
      </c>
      <c r="AC45" s="38" t="n">
        <v>138</v>
      </c>
      <c r="AD45" s="38" t="n">
        <v>138</v>
      </c>
      <c r="AE45" s="38" t="n">
        <v>138</v>
      </c>
      <c r="AF45" s="38" t="n">
        <v>138</v>
      </c>
      <c r="AG45" s="38" t="n">
        <v>138</v>
      </c>
      <c r="AH45" s="38" t="n">
        <v>138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SUMIF('YBN FH TB'!$R:$R,'FH P&amp;L'!$A46,'YBN FH TB'!C:C)</f>
        <v/>
      </c>
      <c r="P46" s="37">
        <f>SUMIF('YBN FH TB'!$R:$R,'FH P&amp;L'!$A46,'YBN FH TB'!D:D)</f>
        <v/>
      </c>
      <c r="Q46" s="37">
        <f>SUMIF('YBN FH TB'!$R:$R,'FH P&amp;L'!$A46,'YBN FH TB'!E:E)</f>
        <v/>
      </c>
      <c r="R46" s="37">
        <f>SUMIF('YBN FH TB'!$R:$R,'FH P&amp;L'!$A46,'YBN FH TB'!F:F)</f>
        <v/>
      </c>
      <c r="S46" s="37">
        <f>SUMIF('YBN FH TB'!$R:$R,'FH P&amp;L'!$A46,'YBN FH TB'!G:G)</f>
        <v/>
      </c>
      <c r="T46" s="37">
        <f>SUMIF('YBN FH TB'!$R:$R,'FH P&amp;L'!$A46,'YBN FH TB'!H:H)</f>
        <v/>
      </c>
      <c r="U46" s="37">
        <f>SUMIF('YBN FH TB'!$R:$R,'FH P&amp;L'!$A46,'YBN FH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3839.71</v>
      </c>
      <c r="C47" s="42" t="n">
        <v>3929.89</v>
      </c>
      <c r="D47" s="42" t="n">
        <v>4724.89</v>
      </c>
      <c r="E47" s="42" t="n">
        <v>4153.71</v>
      </c>
      <c r="F47" s="42" t="n">
        <v>3387.41</v>
      </c>
      <c r="G47" s="42" t="n">
        <v>3503.869999999999</v>
      </c>
      <c r="H47" s="42" t="n">
        <v>3650.799999999999</v>
      </c>
      <c r="I47" s="42" t="n">
        <v>3433.55</v>
      </c>
      <c r="J47" s="42" t="n">
        <v>2080.47</v>
      </c>
      <c r="K47" s="42" t="n">
        <v>3155.98</v>
      </c>
      <c r="L47" s="42" t="n">
        <v>3672.77</v>
      </c>
      <c r="M47" s="42" t="n">
        <v>4511.69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20086.2</v>
      </c>
      <c r="C48" s="23" t="n">
        <v>20148.96</v>
      </c>
      <c r="D48" s="23" t="n">
        <v>17731.48</v>
      </c>
      <c r="E48" s="23" t="n">
        <v>18195.49</v>
      </c>
      <c r="F48" s="23" t="n">
        <v>17676.25</v>
      </c>
      <c r="G48" s="23" t="n">
        <v>17308.59</v>
      </c>
      <c r="H48" s="23" t="n">
        <v>21424.91</v>
      </c>
      <c r="I48" s="23" t="n">
        <v>18394.64</v>
      </c>
      <c r="J48" s="23" t="n">
        <v>16493.17</v>
      </c>
      <c r="K48" s="23" t="n">
        <v>20762.09</v>
      </c>
      <c r="L48" s="23" t="n">
        <v>21752.52</v>
      </c>
      <c r="M48" s="23" t="n">
        <v>19603.73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31.63000000000102</v>
      </c>
      <c r="C50" s="55" t="n">
        <v>100.1700000000019</v>
      </c>
      <c r="D50" s="55" t="n">
        <v>8840.02</v>
      </c>
      <c r="E50" s="55" t="n">
        <v>1635.790000000001</v>
      </c>
      <c r="F50" s="55" t="n">
        <v>726.7799999999988</v>
      </c>
      <c r="G50" s="55" t="n">
        <v>148.8600000000006</v>
      </c>
      <c r="H50" s="55" t="n">
        <v>2612.139999999999</v>
      </c>
      <c r="I50" s="55" t="n">
        <v>-7463.949999999999</v>
      </c>
      <c r="J50" s="55" t="n">
        <v>-3293.499999999998</v>
      </c>
      <c r="K50" s="55" t="n">
        <v>-6737.74</v>
      </c>
      <c r="L50" s="55" t="n">
        <v>-9079.180000000004</v>
      </c>
      <c r="M50" s="55" t="n">
        <v>19054.90000000001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SUMIF('YBN FH TB'!$R:$R,'FH P&amp;L'!$A53,'YBN FH TB'!C:C)</f>
        <v/>
      </c>
      <c r="P53" s="37">
        <f>SUMIF('YBN FH TB'!$R:$R,'FH P&amp;L'!$A53,'YBN FH TB'!D:D)</f>
        <v/>
      </c>
      <c r="Q53" s="37">
        <f>SUMIF('YBN FH TB'!$R:$R,'FH P&amp;L'!$A53,'YBN FH TB'!E:E)</f>
        <v/>
      </c>
      <c r="R53" s="37">
        <f>SUMIF('YBN FH TB'!$R:$R,'FH P&amp;L'!$A53,'YBN FH TB'!F:F)</f>
        <v/>
      </c>
      <c r="S53" s="37">
        <f>SUMIF('YBN FH TB'!$R:$R,'FH P&amp;L'!$A53,'YBN FH TB'!G:G)</f>
        <v/>
      </c>
      <c r="T53" s="37">
        <f>SUMIF('YBN FH TB'!$R:$R,'FH P&amp;L'!$A53,'YBN FH TB'!H:H)</f>
        <v/>
      </c>
      <c r="U53" s="37">
        <f>SUMIF('YBN FH TB'!$R:$R,'FH P&amp;L'!$A53,'YBN FH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SUMIF('YBN FH TB'!$R:$R,'FH P&amp;L'!$A54,'YBN FH TB'!C:C)</f>
        <v/>
      </c>
      <c r="P54" s="37">
        <f>SUMIF('YBN FH TB'!$R:$R,'FH P&amp;L'!$A54,'YBN FH TB'!D:D)</f>
        <v/>
      </c>
      <c r="Q54" s="37">
        <f>SUMIF('YBN FH TB'!$R:$R,'FH P&amp;L'!$A54,'YBN FH TB'!E:E)</f>
        <v/>
      </c>
      <c r="R54" s="37">
        <f>SUMIF('YBN FH TB'!$R:$R,'FH P&amp;L'!$A54,'YBN FH TB'!F:F)</f>
        <v/>
      </c>
      <c r="S54" s="37">
        <f>SUMIF('YBN FH TB'!$R:$R,'FH P&amp;L'!$A54,'YBN FH TB'!G:G)</f>
        <v/>
      </c>
      <c r="T54" s="37">
        <f>SUMIF('YBN FH TB'!$R:$R,'FH P&amp;L'!$A54,'YBN FH TB'!H:H)</f>
        <v/>
      </c>
      <c r="U54" s="37">
        <f>SUMIF('YBN FH TB'!$R:$R,'FH P&amp;L'!$A54,'YBN FH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SUMIF('YBN FH TB'!$R:$R,'FH P&amp;L'!$A55,'YBN FH TB'!C:C)</f>
        <v/>
      </c>
      <c r="P55" s="37">
        <f>SUMIF('YBN FH TB'!$R:$R,'FH P&amp;L'!$A55,'YBN FH TB'!D:D)</f>
        <v/>
      </c>
      <c r="Q55" s="37">
        <f>SUMIF('YBN FH TB'!$R:$R,'FH P&amp;L'!$A55,'YBN FH TB'!E:E)</f>
        <v/>
      </c>
      <c r="R55" s="37">
        <f>SUMIF('YBN FH TB'!$R:$R,'FH P&amp;L'!$A55,'YBN FH TB'!F:F)</f>
        <v/>
      </c>
      <c r="S55" s="37">
        <f>SUMIF('YBN FH TB'!$R:$R,'FH P&amp;L'!$A55,'YBN FH TB'!G:G)</f>
        <v/>
      </c>
      <c r="T55" s="37">
        <f>SUMIF('YBN FH TB'!$R:$R,'FH P&amp;L'!$A55,'YBN FH TB'!H:H)</f>
        <v/>
      </c>
      <c r="U55" s="37">
        <f>SUMIF('YBN FH TB'!$R:$R,'FH P&amp;L'!$A55,'YBN FH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SUMIF('YBN FH TB'!$R:$R,'FH P&amp;L'!$A56,'YBN FH TB'!C:C)</f>
        <v/>
      </c>
      <c r="P56" s="37">
        <f>SUMIF('YBN FH TB'!$R:$R,'FH P&amp;L'!$A56,'YBN FH TB'!D:D)</f>
        <v/>
      </c>
      <c r="Q56" s="37">
        <f>SUMIF('YBN FH TB'!$R:$R,'FH P&amp;L'!$A56,'YBN FH TB'!E:E)</f>
        <v/>
      </c>
      <c r="R56" s="37">
        <f>SUMIF('YBN FH TB'!$R:$R,'FH P&amp;L'!$A56,'YBN FH TB'!F:F)</f>
        <v/>
      </c>
      <c r="S56" s="37">
        <f>SUMIF('YBN FH TB'!$R:$R,'FH P&amp;L'!$A56,'YBN FH TB'!G:G)</f>
        <v/>
      </c>
      <c r="T56" s="37">
        <f>SUMIF('YBN FH TB'!$R:$R,'FH P&amp;L'!$A56,'YBN FH TB'!H:H)</f>
        <v/>
      </c>
      <c r="U56" s="37">
        <f>SUMIF('YBN FH TB'!$R:$R,'FH P&amp;L'!$A56,'YBN FH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180</v>
      </c>
      <c r="M57" s="35" t="n">
        <v>0</v>
      </c>
      <c r="N57" s="36">
        <f>SUM(B57:M57)</f>
        <v/>
      </c>
      <c r="O57" s="37">
        <f>SUMIF('YBN FH TB'!$R:$R,'FH P&amp;L'!$A57,'YBN FH TB'!C:C)</f>
        <v/>
      </c>
      <c r="P57" s="37">
        <f>SUMIF('YBN FH TB'!$R:$R,'FH P&amp;L'!$A57,'YBN FH TB'!D:D)</f>
        <v/>
      </c>
      <c r="Q57" s="37">
        <f>SUMIF('YBN FH TB'!$R:$R,'FH P&amp;L'!$A57,'YBN FH TB'!E:E)</f>
        <v/>
      </c>
      <c r="R57" s="37">
        <f>SUMIF('YBN FH TB'!$R:$R,'FH P&amp;L'!$A57,'YBN FH TB'!F:F)</f>
        <v/>
      </c>
      <c r="S57" s="37">
        <f>SUMIF('YBN FH TB'!$R:$R,'FH P&amp;L'!$A57,'YBN FH TB'!G:G)</f>
        <v/>
      </c>
      <c r="T57" s="37">
        <f>SUMIF('YBN FH TB'!$R:$R,'FH P&amp;L'!$A57,'YBN FH TB'!H:H)</f>
        <v/>
      </c>
      <c r="U57" s="37">
        <f>SUMIF('YBN FH TB'!$R:$R,'FH P&amp;L'!$A57,'YBN FH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SUMIF('YBN FH TB'!$R:$R,'FH P&amp;L'!$A58,'YBN FH TB'!C:C)</f>
        <v/>
      </c>
      <c r="P58" s="37">
        <f>SUMIF('YBN FH TB'!$R:$R,'FH P&amp;L'!$A58,'YBN FH TB'!D:D)</f>
        <v/>
      </c>
      <c r="Q58" s="37">
        <f>SUMIF('YBN FH TB'!$R:$R,'FH P&amp;L'!$A58,'YBN FH TB'!E:E)</f>
        <v/>
      </c>
      <c r="R58" s="37">
        <f>SUMIF('YBN FH TB'!$R:$R,'FH P&amp;L'!$A58,'YBN FH TB'!F:F)</f>
        <v/>
      </c>
      <c r="S58" s="37">
        <f>SUMIF('YBN FH TB'!$R:$R,'FH P&amp;L'!$A58,'YBN FH TB'!G:G)</f>
        <v/>
      </c>
      <c r="T58" s="37">
        <f>SUMIF('YBN FH TB'!$R:$R,'FH P&amp;L'!$A58,'YBN FH TB'!H:H)</f>
        <v/>
      </c>
      <c r="U58" s="37">
        <f>SUMIF('YBN FH TB'!$R:$R,'FH P&amp;L'!$A58,'YBN FH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3</v>
      </c>
      <c r="C60" s="35" t="n">
        <v>2.4</v>
      </c>
      <c r="D60" s="35" t="n">
        <v>137.61</v>
      </c>
      <c r="E60" s="35" t="n">
        <v>1.8</v>
      </c>
      <c r="F60" s="35" t="n">
        <v>2.4</v>
      </c>
      <c r="G60" s="35" t="n">
        <v>47.40000000000001</v>
      </c>
      <c r="H60" s="35" t="n">
        <v>1.2</v>
      </c>
      <c r="I60" s="35" t="n">
        <v>1.8</v>
      </c>
      <c r="J60" s="35" t="n">
        <v>2.4</v>
      </c>
      <c r="K60" s="35" t="n">
        <v>68.8</v>
      </c>
      <c r="L60" s="35" t="n">
        <v>1.8</v>
      </c>
      <c r="M60" s="35" t="n">
        <v>3</v>
      </c>
      <c r="N60" s="36">
        <f>SUM(B60:M60)</f>
        <v/>
      </c>
      <c r="O60" s="37" t="n">
        <v>29.4</v>
      </c>
      <c r="P60" s="37" t="n">
        <v>2.4</v>
      </c>
      <c r="Q60" s="37" t="n">
        <v>1.8</v>
      </c>
      <c r="R60" s="37" t="n">
        <v>30</v>
      </c>
      <c r="S60" s="37" t="n">
        <v>3</v>
      </c>
      <c r="T60" s="37" t="n">
        <v>1.8</v>
      </c>
      <c r="U60" s="37" t="n">
        <v>3.6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8.539999999999999</v>
      </c>
      <c r="D61" s="35" t="n">
        <v>0</v>
      </c>
      <c r="E61" s="35" t="n">
        <v>0</v>
      </c>
      <c r="F61" s="35" t="n">
        <v>34.24</v>
      </c>
      <c r="G61" s="35" t="n">
        <v>60.11</v>
      </c>
      <c r="H61" s="35" t="n">
        <v>33.5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20.52</v>
      </c>
      <c r="N61" s="36">
        <f>SUM(B61:M61)</f>
        <v/>
      </c>
      <c r="O61" s="37">
        <f>SUMIF('YBN FH TB'!$R:$R,'FH P&amp;L'!$A61,'YBN FH TB'!C:C)</f>
        <v/>
      </c>
      <c r="P61" s="37">
        <f>SUMIF('YBN FH TB'!$R:$R,'FH P&amp;L'!$A61,'YBN FH TB'!D:D)</f>
        <v/>
      </c>
      <c r="Q61" s="37">
        <f>SUMIF('YBN FH TB'!$R:$R,'FH P&amp;L'!$A61,'YBN FH TB'!E:E)</f>
        <v/>
      </c>
      <c r="R61" s="37">
        <f>SUMIF('YBN FH TB'!$R:$R,'FH P&amp;L'!$A61,'YBN FH TB'!F:F)</f>
        <v/>
      </c>
      <c r="S61" s="37">
        <f>SUMIF('YBN FH TB'!$R:$R,'FH P&amp;L'!$A61,'YBN FH TB'!G:G)</f>
        <v/>
      </c>
      <c r="T61" s="37">
        <f>SUMIF('YBN FH TB'!$R:$R,'FH P&amp;L'!$A61,'YBN FH TB'!H:H)</f>
        <v/>
      </c>
      <c r="U61" s="37">
        <f>SUMIF('YBN FH TB'!$R:$R,'FH P&amp;L'!$A61,'YBN FH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164</v>
      </c>
      <c r="F62" s="35" t="n">
        <v>0</v>
      </c>
      <c r="G62" s="35" t="n">
        <v>0</v>
      </c>
      <c r="H62" s="35" t="n">
        <v>0</v>
      </c>
      <c r="I62" s="35" t="n">
        <v>260</v>
      </c>
      <c r="J62" s="35" t="n">
        <v>0</v>
      </c>
      <c r="K62" s="35" t="n">
        <v>0</v>
      </c>
      <c r="L62" s="35" t="n">
        <v>37</v>
      </c>
      <c r="M62" s="35" t="n">
        <v>231</v>
      </c>
      <c r="N62" s="36">
        <f>SUM(B62:M62)</f>
        <v/>
      </c>
      <c r="O62" s="37">
        <f>SUMIF('YBN FH TB'!$R:$R,'FH P&amp;L'!$A62,'YBN FH TB'!C:C)</f>
        <v/>
      </c>
      <c r="P62" s="37">
        <f>SUMIF('YBN FH TB'!$R:$R,'FH P&amp;L'!$A62,'YBN FH TB'!D:D)</f>
        <v/>
      </c>
      <c r="Q62" s="37">
        <f>SUMIF('YBN FH TB'!$R:$R,'FH P&amp;L'!$A62,'YBN FH TB'!E:E)</f>
        <v/>
      </c>
      <c r="R62" s="37">
        <f>SUMIF('YBN FH TB'!$R:$R,'FH P&amp;L'!$A62,'YBN FH TB'!F:F)</f>
        <v/>
      </c>
      <c r="S62" s="37">
        <f>SUMIF('YBN FH TB'!$R:$R,'FH P&amp;L'!$A62,'YBN FH TB'!G:G)</f>
        <v/>
      </c>
      <c r="T62" s="37">
        <f>SUMIF('YBN FH TB'!$R:$R,'FH P&amp;L'!$A62,'YBN FH TB'!H:H)</f>
        <v/>
      </c>
      <c r="U62" s="37">
        <f>SUMIF('YBN FH TB'!$R:$R,'FH P&amp;L'!$A62,'YBN FH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SUMIF('YBN FH TB'!$R:$R,'FH P&amp;L'!$A63,'YBN FH TB'!C:C)</f>
        <v/>
      </c>
      <c r="P63" s="37">
        <f>SUMIF('YBN FH TB'!$R:$R,'FH P&amp;L'!$A63,'YBN FH TB'!D:D)</f>
        <v/>
      </c>
      <c r="Q63" s="37">
        <f>SUMIF('YBN FH TB'!$R:$R,'FH P&amp;L'!$A63,'YBN FH TB'!E:E)</f>
        <v/>
      </c>
      <c r="R63" s="37">
        <f>SUMIF('YBN FH TB'!$R:$R,'FH P&amp;L'!$A63,'YBN FH TB'!F:F)</f>
        <v/>
      </c>
      <c r="S63" s="37">
        <f>SUMIF('YBN FH TB'!$R:$R,'FH P&amp;L'!$A63,'YBN FH TB'!G:G)</f>
        <v/>
      </c>
      <c r="T63" s="37">
        <f>SUMIF('YBN FH TB'!$R:$R,'FH P&amp;L'!$A63,'YBN FH TB'!H:H)</f>
        <v/>
      </c>
      <c r="U63" s="37">
        <f>SUMIF('YBN FH TB'!$R:$R,'FH P&amp;L'!$A63,'YBN FH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SUMIF('YBN FH TB'!$R:$R,'FH P&amp;L'!$A64,'YBN FH TB'!C:C)</f>
        <v/>
      </c>
      <c r="P64" s="37">
        <f>SUMIF('YBN FH TB'!$R:$R,'FH P&amp;L'!$A64,'YBN FH TB'!D:D)</f>
        <v/>
      </c>
      <c r="Q64" s="37">
        <f>SUMIF('YBN FH TB'!$R:$R,'FH P&amp;L'!$A64,'YBN FH TB'!E:E)</f>
        <v/>
      </c>
      <c r="R64" s="37">
        <f>SUMIF('YBN FH TB'!$R:$R,'FH P&amp;L'!$A64,'YBN FH TB'!F:F)</f>
        <v/>
      </c>
      <c r="S64" s="37">
        <f>SUMIF('YBN FH TB'!$R:$R,'FH P&amp;L'!$A64,'YBN FH TB'!G:G)</f>
        <v/>
      </c>
      <c r="T64" s="37">
        <f>SUMIF('YBN FH TB'!$R:$R,'FH P&amp;L'!$A64,'YBN FH TB'!H:H)</f>
        <v/>
      </c>
      <c r="U64" s="37">
        <f>SUMIF('YBN FH TB'!$R:$R,'FH P&amp;L'!$A64,'YBN FH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SUMIF('YBN FH TB'!$R:$R,'FH P&amp;L'!$A65,'YBN FH TB'!C:C)</f>
        <v/>
      </c>
      <c r="P65" s="37">
        <f>SUMIF('YBN FH TB'!$R:$R,'FH P&amp;L'!$A65,'YBN FH TB'!D:D)</f>
        <v/>
      </c>
      <c r="Q65" s="37">
        <f>SUMIF('YBN FH TB'!$R:$R,'FH P&amp;L'!$A65,'YBN FH TB'!E:E)</f>
        <v/>
      </c>
      <c r="R65" s="37">
        <f>SUMIF('YBN FH TB'!$R:$R,'FH P&amp;L'!$A65,'YBN FH TB'!F:F)</f>
        <v/>
      </c>
      <c r="S65" s="37">
        <f>SUMIF('YBN FH TB'!$R:$R,'FH P&amp;L'!$A65,'YBN FH TB'!G:G)</f>
        <v/>
      </c>
      <c r="T65" s="37">
        <f>SUMIF('YBN FH TB'!$R:$R,'FH P&amp;L'!$A65,'YBN FH TB'!H:H)</f>
        <v/>
      </c>
      <c r="U65" s="37">
        <f>SUMIF('YBN FH TB'!$R:$R,'FH P&amp;L'!$A65,'YBN FH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SUMIF('YBN FH TB'!$R:$R,'FH P&amp;L'!$A66,'YBN FH TB'!C:C)</f>
        <v/>
      </c>
      <c r="P66" s="37">
        <f>SUMIF('YBN FH TB'!$R:$R,'FH P&amp;L'!$A66,'YBN FH TB'!D:D)</f>
        <v/>
      </c>
      <c r="Q66" s="37">
        <f>SUMIF('YBN FH TB'!$R:$R,'FH P&amp;L'!$A66,'YBN FH TB'!E:E)</f>
        <v/>
      </c>
      <c r="R66" s="37">
        <f>SUMIF('YBN FH TB'!$R:$R,'FH P&amp;L'!$A66,'YBN FH TB'!F:F)</f>
        <v/>
      </c>
      <c r="S66" s="37">
        <f>SUMIF('YBN FH TB'!$R:$R,'FH P&amp;L'!$A66,'YBN FH TB'!G:G)</f>
        <v/>
      </c>
      <c r="T66" s="37">
        <f>SUMIF('YBN FH TB'!$R:$R,'FH P&amp;L'!$A66,'YBN FH TB'!H:H)</f>
        <v/>
      </c>
      <c r="U66" s="37">
        <f>SUMIF('YBN FH TB'!$R:$R,'FH P&amp;L'!$A66,'YBN FH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42.75</v>
      </c>
      <c r="I67" s="35" t="n">
        <v>262.75</v>
      </c>
      <c r="J67" s="35" t="n">
        <v>42.75</v>
      </c>
      <c r="K67" s="35" t="n">
        <v>42.75</v>
      </c>
      <c r="L67" s="35" t="n">
        <v>42.75</v>
      </c>
      <c r="M67" s="35" t="n">
        <v>42.75</v>
      </c>
      <c r="N67" s="36">
        <f>SUM(B67:M67)</f>
        <v/>
      </c>
      <c r="O67" s="37">
        <f>SUMIF('YBN FH TB'!$R:$R,'FH P&amp;L'!$A67,'YBN FH TB'!C:C)</f>
        <v/>
      </c>
      <c r="P67" s="37">
        <f>SUMIF('YBN FH TB'!$R:$R,'FH P&amp;L'!$A67,'YBN FH TB'!D:D)</f>
        <v/>
      </c>
      <c r="Q67" s="37">
        <f>SUMIF('YBN FH TB'!$R:$R,'FH P&amp;L'!$A67,'YBN FH TB'!E:E)</f>
        <v/>
      </c>
      <c r="R67" s="37">
        <f>SUMIF('YBN FH TB'!$R:$R,'FH P&amp;L'!$A67,'YBN FH TB'!F:F)</f>
        <v/>
      </c>
      <c r="S67" s="37">
        <f>SUMIF('YBN FH TB'!$R:$R,'FH P&amp;L'!$A67,'YBN FH TB'!G:G)</f>
        <v/>
      </c>
      <c r="T67" s="37">
        <f>SUMIF('YBN FH TB'!$R:$R,'FH P&amp;L'!$A67,'YBN FH TB'!H:H)</f>
        <v/>
      </c>
      <c r="U67" s="37">
        <f>SUMIF('YBN FH TB'!$R:$R,'FH P&amp;L'!$A67,'YBN FH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-78.61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SUMIF('YBN FH TB'!$R:$R,'FH P&amp;L'!$A68,'YBN FH TB'!C:C)</f>
        <v/>
      </c>
      <c r="P68" s="37">
        <f>SUMIF('YBN FH TB'!$R:$R,'FH P&amp;L'!$A68,'YBN FH TB'!D:D)</f>
        <v/>
      </c>
      <c r="Q68" s="37">
        <f>SUMIF('YBN FH TB'!$R:$R,'FH P&amp;L'!$A68,'YBN FH TB'!E:E)</f>
        <v/>
      </c>
      <c r="R68" s="37">
        <f>SUMIF('YBN FH TB'!$R:$R,'FH P&amp;L'!$A68,'YBN FH TB'!F:F)</f>
        <v/>
      </c>
      <c r="S68" s="37">
        <f>SUMIF('YBN FH TB'!$R:$R,'FH P&amp;L'!$A68,'YBN FH TB'!G:G)</f>
        <v/>
      </c>
      <c r="T68" s="37">
        <f>SUMIF('YBN FH TB'!$R:$R,'FH P&amp;L'!$A68,'YBN FH TB'!H:H)</f>
        <v/>
      </c>
      <c r="U68" s="37">
        <f>SUMIF('YBN FH TB'!$R:$R,'FH P&amp;L'!$A68,'YBN FH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204.38</v>
      </c>
      <c r="C69" s="42" t="n">
        <v>212.32</v>
      </c>
      <c r="D69" s="42" t="n">
        <v>338.99</v>
      </c>
      <c r="E69" s="42" t="n">
        <v>367.18</v>
      </c>
      <c r="F69" s="42" t="n">
        <v>238.01</v>
      </c>
      <c r="G69" s="42" t="n">
        <v>308.89</v>
      </c>
      <c r="H69" s="42" t="n">
        <v>278.83</v>
      </c>
      <c r="I69" s="42" t="n">
        <v>725.9300000000001</v>
      </c>
      <c r="J69" s="42" t="n">
        <v>167.92</v>
      </c>
      <c r="K69" s="42" t="n">
        <v>326.35</v>
      </c>
      <c r="L69" s="42" t="n">
        <v>476.35</v>
      </c>
      <c r="M69" s="42" t="n">
        <v>512.0700000000001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-172.749999999999</v>
      </c>
      <c r="C70" s="55" t="n">
        <v>-112.1499999999981</v>
      </c>
      <c r="D70" s="55" t="n">
        <v>8501.030000000001</v>
      </c>
      <c r="E70" s="55" t="n">
        <v>1268.610000000001</v>
      </c>
      <c r="F70" s="55" t="n">
        <v>488.7699999999988</v>
      </c>
      <c r="G70" s="55" t="n">
        <v>-160.0299999999994</v>
      </c>
      <c r="H70" s="55" t="n">
        <v>2333.309999999999</v>
      </c>
      <c r="I70" s="55" t="n">
        <v>-8189.879999999999</v>
      </c>
      <c r="J70" s="55" t="n">
        <v>-3461.419999999998</v>
      </c>
      <c r="K70" s="55" t="n">
        <v>-7064.09</v>
      </c>
      <c r="L70" s="55" t="n">
        <v>-9555.530000000004</v>
      </c>
      <c r="M70" s="55" t="n">
        <v>18542.83000000001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-172.749999999999</v>
      </c>
      <c r="C79" s="57" t="n">
        <v>-112.1499999999981</v>
      </c>
      <c r="D79" s="57" t="n">
        <v>8501.030000000001</v>
      </c>
      <c r="E79" s="57" t="n">
        <v>1268.610000000001</v>
      </c>
      <c r="F79" s="57" t="n">
        <v>488.7699999999988</v>
      </c>
      <c r="G79" s="57" t="n">
        <v>-160.0299999999994</v>
      </c>
      <c r="H79" s="57" t="n">
        <v>2333.309999999999</v>
      </c>
      <c r="I79" s="57" t="n">
        <v>-8189.879999999999</v>
      </c>
      <c r="J79" s="57" t="n">
        <v>-3461.419999999998</v>
      </c>
      <c r="K79" s="57" t="n">
        <v>-7064.09</v>
      </c>
      <c r="L79" s="57" t="n">
        <v>-9555.530000000004</v>
      </c>
      <c r="M79" s="57" t="n">
        <v>18542.83000000001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20117.83</v>
      </c>
      <c r="C87" s="60" t="n">
        <v>20249.13</v>
      </c>
      <c r="D87" s="60" t="n">
        <v>26571.5</v>
      </c>
      <c r="E87" s="60" t="n">
        <v>19831.28</v>
      </c>
      <c r="F87" s="60" t="n">
        <v>18403.03</v>
      </c>
      <c r="G87" s="60" t="n">
        <v>17457.45</v>
      </c>
      <c r="H87" s="60" t="n">
        <v>24037.05</v>
      </c>
      <c r="I87" s="60" t="n">
        <v>10930.69</v>
      </c>
      <c r="J87" s="60" t="n">
        <v>13199.67</v>
      </c>
      <c r="K87" s="60" t="n">
        <v>14024.35</v>
      </c>
      <c r="L87" s="60" t="n">
        <v>12673.34</v>
      </c>
      <c r="M87" s="8" t="n"/>
      <c r="N87" s="8" t="n"/>
      <c r="O87" s="60">
        <f>-SUMIF('YBN FH TB'!$T:$T,'FH P&amp;L'!$A87,'YBN FH TB'!C:C)</f>
        <v/>
      </c>
      <c r="P87" s="60">
        <f>-SUMIF('YBN FH TB'!$T:$T,'FH P&amp;L'!$A87,'YBN FH TB'!D:D)</f>
        <v/>
      </c>
      <c r="Q87" s="60">
        <f>-SUMIF('YBN FH TB'!$T:$T,'FH P&amp;L'!$A87,'YBN FH TB'!E:E)</f>
        <v/>
      </c>
      <c r="R87" s="60">
        <f>-SUMIF('YBN FH TB'!$T:$T,'FH P&amp;L'!$A87,'YBN FH TB'!F:F)</f>
        <v/>
      </c>
      <c r="S87" s="60">
        <f>-SUMIF('YBN FH TB'!$T:$T,'FH P&amp;L'!$A87,'YBN FH TB'!G:G)</f>
        <v/>
      </c>
      <c r="T87" s="60">
        <f>-SUMIF('YBN FH TB'!$T:$T,'FH P&amp;L'!$A87,'YBN FH TB'!H:H)</f>
        <v/>
      </c>
      <c r="U87" s="60">
        <f>-SUMIF('YBN FH TB'!$T:$T,'FH P&amp;L'!$A87,'YBN FH TB'!I:I)</f>
        <v/>
      </c>
      <c r="V87" s="60">
        <f>-SUMIF('YBN FH TB'!$T:$T,'FH P&amp;L'!$A87,'YBN FH TB'!J:J)</f>
        <v/>
      </c>
      <c r="W87" s="60">
        <f>-SUMIF('YBN FH TB'!$T:$T,'FH P&amp;L'!$A87,'YBN FH TB'!K:K)</f>
        <v/>
      </c>
      <c r="X87" s="60">
        <f>-SUMIF('YBN FH TB'!$T:$T,'FH P&amp;L'!$A87,'YBN FH TB'!L:L)</f>
        <v/>
      </c>
      <c r="Y87" s="60">
        <f>-SUMIF('YBN FH TB'!$T:$T,'FH P&amp;L'!$A87,'YBN FH TB'!M:M)</f>
        <v/>
      </c>
      <c r="Z87" s="60">
        <f>-SUMIF('YBN FH TB'!$T:$T,'FH P&amp;L'!$A87,'YBN FH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34" t="inlineStr">
        <is>
          <t>Direct - Staff Cost</t>
        </is>
      </c>
      <c r="B88" s="18" t="n">
        <v>-15237.76</v>
      </c>
      <c r="C88" s="18" t="n">
        <v>-15403.43</v>
      </c>
      <c r="D88" s="18" t="n">
        <v>-12032.29</v>
      </c>
      <c r="E88" s="18" t="n">
        <v>-13190.74</v>
      </c>
      <c r="F88" s="18" t="n">
        <v>-13389.22</v>
      </c>
      <c r="G88" s="18" t="n">
        <v>-13121.69</v>
      </c>
      <c r="H88" s="18" t="n">
        <v>-16994.95</v>
      </c>
      <c r="I88" s="18" t="n">
        <v>-14247.8</v>
      </c>
      <c r="J88" s="18" t="n">
        <v>-13644.29</v>
      </c>
      <c r="K88" s="18" t="n">
        <v>-16145.13</v>
      </c>
      <c r="L88" s="18" t="n">
        <v>-17393.09</v>
      </c>
      <c r="M88" s="18" t="n"/>
      <c r="N88" s="8" t="n"/>
      <c r="O88" s="60">
        <f>-SUMIF('YBN FH TB'!$T:$T,'FH P&amp;L'!$A88,'YBN FH TB'!C:C)</f>
        <v/>
      </c>
      <c r="P88" s="60">
        <f>-SUMIF('YBN FH TB'!$T:$T,'FH P&amp;L'!$A88,'YBN FH TB'!D:D)</f>
        <v/>
      </c>
      <c r="Q88" s="60">
        <f>-SUMIF('YBN FH TB'!$T:$T,'FH P&amp;L'!$A88,'YBN FH TB'!E:E)</f>
        <v/>
      </c>
      <c r="R88" s="60">
        <f>-SUMIF('YBN FH TB'!$T:$T,'FH P&amp;L'!$A88,'YBN FH TB'!F:F)</f>
        <v/>
      </c>
      <c r="S88" s="60">
        <f>-SUMIF('YBN FH TB'!$T:$T,'FH P&amp;L'!$A88,'YBN FH TB'!G:G)</f>
        <v/>
      </c>
      <c r="T88" s="60">
        <f>-SUMIF('YBN FH TB'!$T:$T,'FH P&amp;L'!$A88,'YBN FH TB'!H:H)</f>
        <v/>
      </c>
      <c r="U88" s="60">
        <f>-SUMIF('YBN FH TB'!$T:$T,'FH P&amp;L'!$A88,'YBN FH TB'!I:I)</f>
        <v/>
      </c>
      <c r="V88" s="60">
        <f>-SUMIF('YBN FH TB'!$T:$T,'FH P&amp;L'!$A88,'YBN FH TB'!J:J)</f>
        <v/>
      </c>
      <c r="W88" s="60">
        <f>-SUMIF('YBN FH TB'!$T:$T,'FH P&amp;L'!$A88,'YBN FH TB'!K:K)</f>
        <v/>
      </c>
      <c r="X88" s="60">
        <f>-SUMIF('YBN FH TB'!$T:$T,'FH P&amp;L'!$A88,'YBN FH TB'!L:L)</f>
        <v/>
      </c>
      <c r="Y88" s="60">
        <f>-SUMIF('YBN FH TB'!$T:$T,'FH P&amp;L'!$A88,'YBN FH TB'!M:M)</f>
        <v/>
      </c>
      <c r="Z88" s="60">
        <f>-SUMIF('YBN FH TB'!$T:$T,'FH P&amp;L'!$A88,'YBN FH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60" t="inlineStr">
        <is>
          <t>Direct - Childcare Cost</t>
        </is>
      </c>
      <c r="B89" s="18" t="n">
        <v>-1008.73</v>
      </c>
      <c r="C89" s="18" t="n">
        <v>-815.6400000000001</v>
      </c>
      <c r="D89" s="18" t="n">
        <v>-974.3000000000002</v>
      </c>
      <c r="E89" s="18" t="n">
        <v>-851.04</v>
      </c>
      <c r="F89" s="18" t="n">
        <v>-899.62</v>
      </c>
      <c r="G89" s="18" t="n">
        <v>-683.0300000000001</v>
      </c>
      <c r="H89" s="18" t="n">
        <v>-779.1600000000002</v>
      </c>
      <c r="I89" s="18" t="n">
        <v>-713.29</v>
      </c>
      <c r="J89" s="18" t="n">
        <v>-768.41</v>
      </c>
      <c r="K89" s="18" t="n">
        <v>-1460.98</v>
      </c>
      <c r="L89" s="18" t="n">
        <v>-686.6600000000001</v>
      </c>
      <c r="M89" s="18" t="n">
        <v>-526.37</v>
      </c>
      <c r="N89" s="8" t="n"/>
      <c r="O89" s="60">
        <f>-SUMIF('YBN FH TB'!$T:$T,'FH P&amp;L'!$A89,'YBN FH TB'!C:C)</f>
        <v/>
      </c>
      <c r="P89" s="60">
        <f>-SUMIF('YBN FH TB'!$T:$T,'FH P&amp;L'!$A89,'YBN FH TB'!D:D)</f>
        <v/>
      </c>
      <c r="Q89" s="60">
        <f>-SUMIF('YBN FH TB'!$T:$T,'FH P&amp;L'!$A89,'YBN FH TB'!E:E)</f>
        <v/>
      </c>
      <c r="R89" s="60">
        <f>-SUMIF('YBN FH TB'!$T:$T,'FH P&amp;L'!$A89,'YBN FH TB'!F:F)</f>
        <v/>
      </c>
      <c r="S89" s="60">
        <f>-SUMIF('YBN FH TB'!$T:$T,'FH P&amp;L'!$A89,'YBN FH TB'!G:G)</f>
        <v/>
      </c>
      <c r="T89" s="60">
        <f>-SUMIF('YBN FH TB'!$T:$T,'FH P&amp;L'!$A89,'YBN FH TB'!H:H)</f>
        <v/>
      </c>
      <c r="U89" s="60">
        <f>-SUMIF('YBN FH TB'!$T:$T,'FH P&amp;L'!$A89,'YBN FH TB'!I:I)</f>
        <v/>
      </c>
      <c r="V89" s="60">
        <f>-SUMIF('YBN FH TB'!$T:$T,'FH P&amp;L'!$A89,'YBN FH TB'!J:J)</f>
        <v/>
      </c>
      <c r="W89" s="60">
        <f>-SUMIF('YBN FH TB'!$T:$T,'FH P&amp;L'!$A89,'YBN FH TB'!K:K)</f>
        <v/>
      </c>
      <c r="X89" s="60">
        <f>-SUMIF('YBN FH TB'!$T:$T,'FH P&amp;L'!$A89,'YBN FH TB'!L:L)</f>
        <v/>
      </c>
      <c r="Y89" s="60">
        <f>-SUMIF('YBN FH TB'!$T:$T,'FH P&amp;L'!$A89,'YBN FH TB'!M:M)</f>
        <v/>
      </c>
      <c r="Z89" s="60">
        <f>-SUMIF('YBN FH TB'!$T:$T,'FH P&amp;L'!$A89,'YBN FH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60" t="inlineStr">
        <is>
          <t>Direct - Premises &amp; Admin</t>
        </is>
      </c>
      <c r="B90" s="18" t="n">
        <v>-3839.71</v>
      </c>
      <c r="C90" s="18" t="n">
        <v>-3929.89</v>
      </c>
      <c r="D90" s="18" t="n">
        <v>-4724.89</v>
      </c>
      <c r="E90" s="18" t="n">
        <v>-4153.71</v>
      </c>
      <c r="F90" s="18" t="n">
        <v>-3387.41</v>
      </c>
      <c r="G90" s="18" t="n">
        <v>-3503.869999999999</v>
      </c>
      <c r="H90" s="18" t="n">
        <v>-3650.799999999999</v>
      </c>
      <c r="I90" s="18" t="n">
        <v>-3433.55</v>
      </c>
      <c r="J90" s="18" t="n">
        <v>-2080.47</v>
      </c>
      <c r="K90" s="18" t="n">
        <v>-3155.98</v>
      </c>
      <c r="L90" s="18" t="n">
        <v>-3672.77</v>
      </c>
      <c r="M90" s="18" t="n">
        <v>-4511.69</v>
      </c>
      <c r="N90" s="8" t="n"/>
      <c r="O90" s="60">
        <f>-SUMIF('YBN FH TB'!$T:$T,'FH P&amp;L'!$A90,'YBN FH TB'!C:C)</f>
        <v/>
      </c>
      <c r="P90" s="60">
        <f>-SUMIF('YBN FH TB'!$T:$T,'FH P&amp;L'!$A90,'YBN FH TB'!D:D)</f>
        <v/>
      </c>
      <c r="Q90" s="60">
        <f>-SUMIF('YBN FH TB'!$T:$T,'FH P&amp;L'!$A90,'YBN FH TB'!E:E)</f>
        <v/>
      </c>
      <c r="R90" s="60">
        <f>-SUMIF('YBN FH TB'!$T:$T,'FH P&amp;L'!$A90,'YBN FH TB'!F:F)</f>
        <v/>
      </c>
      <c r="S90" s="60">
        <f>-SUMIF('YBN FH TB'!$T:$T,'FH P&amp;L'!$A90,'YBN FH TB'!G:G)</f>
        <v/>
      </c>
      <c r="T90" s="60">
        <f>-SUMIF('YBN FH TB'!$T:$T,'FH P&amp;L'!$A90,'YBN FH TB'!H:H)</f>
        <v/>
      </c>
      <c r="U90" s="60">
        <f>-SUMIF('YBN FH TB'!$T:$T,'FH P&amp;L'!$A90,'YBN FH TB'!I:I)</f>
        <v/>
      </c>
      <c r="V90" s="60">
        <f>-SUMIF('YBN FH TB'!$T:$T,'FH P&amp;L'!$A90,'YBN FH TB'!J:J)</f>
        <v/>
      </c>
      <c r="W90" s="60">
        <f>-SUMIF('YBN FH TB'!$T:$T,'FH P&amp;L'!$A90,'YBN FH TB'!K:K)</f>
        <v/>
      </c>
      <c r="X90" s="60">
        <f>-SUMIF('YBN FH TB'!$T:$T,'FH P&amp;L'!$A90,'YBN FH TB'!L:L)</f>
        <v/>
      </c>
      <c r="Y90" s="60">
        <f>-SUMIF('YBN FH TB'!$T:$T,'FH P&amp;L'!$A90,'YBN FH TB'!M:M)</f>
        <v/>
      </c>
      <c r="Z90" s="60">
        <f>-SUMIF('YBN FH TB'!$T:$T,'FH P&amp;L'!$A90,'YBN FH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-SUMIF('YBN FH TB'!$T:$T,'FH P&amp;L'!$A91,'YBN FH TB'!C:C)</f>
        <v/>
      </c>
      <c r="P91" s="60">
        <f>-SUMIF('YBN FH TB'!$T:$T,'FH P&amp;L'!$A91,'YBN FH TB'!D:D)</f>
        <v/>
      </c>
      <c r="Q91" s="60">
        <f>-SUMIF('YBN FH TB'!$T:$T,'FH P&amp;L'!$A91,'YBN FH TB'!E:E)</f>
        <v/>
      </c>
      <c r="R91" s="60">
        <f>-SUMIF('YBN FH TB'!$T:$T,'FH P&amp;L'!$A91,'YBN FH TB'!F:F)</f>
        <v/>
      </c>
      <c r="S91" s="60">
        <f>-SUMIF('YBN FH TB'!$T:$T,'FH P&amp;L'!$A91,'YBN FH TB'!G:G)</f>
        <v/>
      </c>
      <c r="T91" s="60">
        <f>-SUMIF('YBN FH TB'!$T:$T,'FH P&amp;L'!$A91,'YBN FH TB'!H:H)</f>
        <v/>
      </c>
      <c r="U91" s="60">
        <f>-SUMIF('YBN FH TB'!$T:$T,'FH P&amp;L'!$A91,'YBN FH TB'!I:I)</f>
        <v/>
      </c>
      <c r="V91" s="60">
        <f>-SUMIF('YBN FH TB'!$T:$T,'FH P&amp;L'!$A91,'YBN FH TB'!J:J)</f>
        <v/>
      </c>
      <c r="W91" s="60">
        <f>-SUMIF('YBN FH TB'!$T:$T,'FH P&amp;L'!$A91,'YBN FH TB'!K:K)</f>
        <v/>
      </c>
      <c r="X91" s="60">
        <f>-SUMIF('YBN FH TB'!$T:$T,'FH P&amp;L'!$A91,'YBN FH TB'!L:L)</f>
        <v/>
      </c>
      <c r="Y91" s="60">
        <f>-SUMIF('YBN FH TB'!$T:$T,'FH P&amp;L'!$A91,'YBN FH TB'!M:M)</f>
        <v/>
      </c>
      <c r="Z91" s="60">
        <f>-SUMIF('YBN FH TB'!$T:$T,'FH P&amp;L'!$A91,'YBN FH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60" t="inlineStr">
        <is>
          <t>In-Direct - Overheads</t>
        </is>
      </c>
      <c r="B92" s="18" t="n">
        <v>-204.38</v>
      </c>
      <c r="C92" s="18" t="n">
        <v>-212.32</v>
      </c>
      <c r="D92" s="18" t="n">
        <v>-338.99</v>
      </c>
      <c r="E92" s="18" t="n">
        <v>-367.18</v>
      </c>
      <c r="F92" s="18" t="n">
        <v>-238.01</v>
      </c>
      <c r="G92" s="18" t="n">
        <v>-308.89</v>
      </c>
      <c r="H92" s="18" t="n">
        <v>-278.83</v>
      </c>
      <c r="I92" s="18" t="n">
        <v>-725.9300000000001</v>
      </c>
      <c r="J92" s="18" t="n">
        <v>-167.92</v>
      </c>
      <c r="K92" s="18" t="n">
        <v>-326.35</v>
      </c>
      <c r="L92" s="18" t="n">
        <v>-476.35</v>
      </c>
      <c r="M92" s="18" t="n">
        <v>-512.0700000000001</v>
      </c>
      <c r="N92" s="8" t="n"/>
      <c r="O92" s="60">
        <f>-SUMIF('YBN FH TB'!$T:$T,'FH P&amp;L'!$A92,'YBN FH TB'!C:C)</f>
        <v/>
      </c>
      <c r="P92" s="60">
        <f>-SUMIF('YBN FH TB'!$T:$T,'FH P&amp;L'!$A92,'YBN FH TB'!D:D)</f>
        <v/>
      </c>
      <c r="Q92" s="60">
        <f>-SUMIF('YBN FH TB'!$T:$T,'FH P&amp;L'!$A92,'YBN FH TB'!E:E)</f>
        <v/>
      </c>
      <c r="R92" s="60">
        <f>-SUMIF('YBN FH TB'!$T:$T,'FH P&amp;L'!$A92,'YBN FH TB'!F:F)</f>
        <v/>
      </c>
      <c r="S92" s="60">
        <f>-SUMIF('YBN FH TB'!$T:$T,'FH P&amp;L'!$A92,'YBN FH TB'!G:G)</f>
        <v/>
      </c>
      <c r="T92" s="60">
        <f>-SUMIF('YBN FH TB'!$T:$T,'FH P&amp;L'!$A92,'YBN FH TB'!H:H)</f>
        <v/>
      </c>
      <c r="U92" s="60">
        <f>-SUMIF('YBN FH TB'!$T:$T,'FH P&amp;L'!$A92,'YBN FH TB'!I:I)</f>
        <v/>
      </c>
      <c r="V92" s="60">
        <f>-SUMIF('YBN FH TB'!$T:$T,'FH P&amp;L'!$A92,'YBN FH TB'!J:J)</f>
        <v/>
      </c>
      <c r="W92" s="60">
        <f>-SUMIF('YBN FH TB'!$T:$T,'FH P&amp;L'!$A92,'YBN FH TB'!K:K)</f>
        <v/>
      </c>
      <c r="X92" s="60">
        <f>-SUMIF('YBN FH TB'!$T:$T,'FH P&amp;L'!$A92,'YBN FH TB'!L:L)</f>
        <v/>
      </c>
      <c r="Y92" s="60">
        <f>-SUMIF('YBN FH TB'!$T:$T,'FH P&amp;L'!$A92,'YBN FH TB'!M:M)</f>
        <v/>
      </c>
      <c r="Z92" s="60">
        <f>-SUMIF('YBN FH TB'!$T:$T,'FH P&amp;L'!$A92,'YBN FH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 ht="15.75" customHeight="1">
      <c r="A93" s="8" t="n"/>
      <c r="B93" s="67" t="n">
        <v>-172.7500000000003</v>
      </c>
      <c r="C93" s="67" t="n">
        <v>-112.1499999999976</v>
      </c>
      <c r="D93" s="67" t="n">
        <v>8501.030000000001</v>
      </c>
      <c r="E93" s="67" t="n">
        <v>1268.610000000001</v>
      </c>
      <c r="F93" s="67" t="n">
        <v>488.7699999999979</v>
      </c>
      <c r="G93" s="67" t="n">
        <v>-160.0299999999994</v>
      </c>
      <c r="H93" s="67" t="n">
        <v>2333.309999999999</v>
      </c>
      <c r="I93" s="67" t="n">
        <v>-8189.879999999999</v>
      </c>
      <c r="J93" s="67" t="n">
        <v>-3461.419999999999</v>
      </c>
      <c r="K93" s="67" t="n">
        <v>-7064.090000000002</v>
      </c>
      <c r="L93" s="67" t="n">
        <v>-9555.530000000004</v>
      </c>
      <c r="M93" s="67" t="n">
        <v>-5550.129999999999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 ht="15.75" customHeight="1">
      <c r="A94" s="8" t="n"/>
      <c r="B94" s="18" t="n">
        <v>1.364242052659392e-12</v>
      </c>
      <c r="C94" s="18" t="n">
        <v>-4.547473508864641e-13</v>
      </c>
      <c r="D94" s="18" t="n">
        <v>0</v>
      </c>
      <c r="E94" s="18" t="n">
        <v>0</v>
      </c>
      <c r="F94" s="18" t="n">
        <v>9.094947017729282e-13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24092.96000000001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1.335820343228988e-12</v>
      </c>
      <c r="C96" s="18" t="n">
        <v>9.379164112033322e-13</v>
      </c>
      <c r="D96" s="18" t="n">
        <v>0</v>
      </c>
      <c r="E96" s="18" t="n">
        <v>0</v>
      </c>
      <c r="F96" s="18" t="n">
        <v>1.13686837721616e-12</v>
      </c>
      <c r="G96" s="18" t="n">
        <v>1.477928890381008e-12</v>
      </c>
      <c r="H96" s="18" t="n">
        <v>0</v>
      </c>
      <c r="I96" s="18" t="n">
        <v>0</v>
      </c>
      <c r="J96" s="18" t="n">
        <v>78.61000000000058</v>
      </c>
      <c r="K96" s="18" t="n">
        <v>0</v>
      </c>
      <c r="L96" s="18" t="n">
        <v>0</v>
      </c>
      <c r="M96" s="18" t="n">
        <v>-24092.96000000001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>
        <v>172.7500000000017</v>
      </c>
      <c r="C97" s="18" t="n">
        <v>112.1499999999986</v>
      </c>
      <c r="D97" s="18" t="n">
        <v>-8501.030000000002</v>
      </c>
      <c r="E97" s="18" t="n">
        <v>-1268.609999999999</v>
      </c>
      <c r="F97" s="18" t="n">
        <v>-488.7699999999968</v>
      </c>
      <c r="G97" s="18" t="n">
        <v>160.0300000000009</v>
      </c>
      <c r="H97" s="18" t="n">
        <v>-2333.310000000001</v>
      </c>
      <c r="I97" s="18" t="n">
        <v>8189.879999999999</v>
      </c>
      <c r="J97" s="18" t="n">
        <v>3540.03</v>
      </c>
      <c r="K97" s="18" t="n">
        <v>7064.09</v>
      </c>
      <c r="L97" s="18" t="n">
        <v>9555.529999999997</v>
      </c>
      <c r="M97" s="18" t="n">
        <v>-18542.83000000001</v>
      </c>
      <c r="N97" s="8" t="n"/>
      <c r="O97" s="60">
        <f>SUM('YBN FH TB'!C2:C43)</f>
        <v/>
      </c>
      <c r="P97" s="60">
        <f>SUM('YBN FH TB'!D2:D43)</f>
        <v/>
      </c>
      <c r="Q97" s="60">
        <f>SUM('YBN FH TB'!E2:E43)</f>
        <v/>
      </c>
      <c r="R97" s="60">
        <f>SUM('YBN FH TB'!F2:F43)</f>
        <v/>
      </c>
      <c r="S97" s="60">
        <f>SUM('YBN FH TB'!G2:G43)</f>
        <v/>
      </c>
      <c r="T97" s="60">
        <f>SUM('YBN FH TB'!H2:H43)</f>
        <v/>
      </c>
      <c r="U97" s="60">
        <f>SUM('YBN FH TB'!I2:I43)</f>
        <v/>
      </c>
      <c r="V97" s="60">
        <f>SUM('YBN FH TB'!J2:J43)</f>
        <v/>
      </c>
      <c r="W97" s="60">
        <f>SUM('YBN FH TB'!K2:K43)</f>
        <v/>
      </c>
      <c r="X97" s="60">
        <f>SUM('YBN FH TB'!L2:L43)</f>
        <v/>
      </c>
      <c r="Y97" s="60">
        <f>SUM('YBN FH TB'!M2:M43)</f>
        <v/>
      </c>
      <c r="Z97" s="60">
        <f>SUM('YBN FH TB'!N2:N43)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pane xSplit="13" ySplit="36" topLeftCell="N3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5703125" customWidth="1" min="27" max="27"/>
    <col width="13.28515625" customWidth="1" min="29" max="29"/>
    <col width="11.7109375" customWidth="1" min="35" max="35"/>
    <col width="10.5703125" customWidth="1" min="36" max="36"/>
    <col width="5.7109375" customWidth="1" min="40" max="40"/>
    <col width="10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KNL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37" t="n">
        <v>0</v>
      </c>
      <c r="U8" s="37" t="n">
        <v>0</v>
      </c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 t="n">
        <v>0</v>
      </c>
      <c r="P9" s="37" t="n">
        <v>0</v>
      </c>
      <c r="Q9" s="37" t="n">
        <v>0</v>
      </c>
      <c r="R9" s="37" t="n">
        <v>0</v>
      </c>
      <c r="S9" s="37" t="n">
        <v>0</v>
      </c>
      <c r="T9" s="37" t="n">
        <v>0</v>
      </c>
      <c r="U9" s="37" t="n">
        <v>0</v>
      </c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16.94</v>
      </c>
      <c r="H10" s="35" t="n">
        <v>0</v>
      </c>
      <c r="I10" s="35" t="n">
        <v>0</v>
      </c>
      <c r="J10" s="35" t="n">
        <v>850.5700000000001</v>
      </c>
      <c r="K10" s="35" t="n">
        <v>0</v>
      </c>
      <c r="L10" s="35" t="n">
        <v>730.24</v>
      </c>
      <c r="M10" s="35" t="n">
        <v>0</v>
      </c>
      <c r="N10" s="36">
        <f>SUM(B10:M10)</f>
        <v/>
      </c>
      <c r="O10" s="37" t="n">
        <v>0</v>
      </c>
      <c r="P10" s="37" t="n">
        <v>0</v>
      </c>
      <c r="Q10" s="37" t="n">
        <v>0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16.94</v>
      </c>
      <c r="H11" s="42" t="n">
        <v>0</v>
      </c>
      <c r="I11" s="42" t="n">
        <v>0</v>
      </c>
      <c r="J11" s="42" t="n">
        <v>850.5700000000001</v>
      </c>
      <c r="K11" s="42" t="n">
        <v>0</v>
      </c>
      <c r="L11" s="42" t="n">
        <v>730.24</v>
      </c>
      <c r="M11" s="42" t="n">
        <v>0</v>
      </c>
      <c r="N11" s="43">
        <f>SUM(B11:M11)</f>
        <v/>
      </c>
      <c r="O11" s="44" t="n">
        <v>0</v>
      </c>
      <c r="P11" s="44" t="n">
        <v>0</v>
      </c>
      <c r="Q11" s="44" t="n">
        <v>0</v>
      </c>
      <c r="R11" s="44" t="n">
        <v>0</v>
      </c>
      <c r="S11" s="44" t="n">
        <v>0</v>
      </c>
      <c r="T11" s="44" t="n">
        <v>0</v>
      </c>
      <c r="U11" s="44" t="n">
        <v>0</v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n"/>
      <c r="B13" s="47" t="n"/>
      <c r="C13" s="47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  <c r="AH13" s="47" t="n"/>
      <c r="AI13" s="81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37" t="n">
        <v>0</v>
      </c>
      <c r="U17" s="37" t="n">
        <v>0</v>
      </c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37" t="n">
        <v>0</v>
      </c>
      <c r="U18" s="37" t="n">
        <v>0</v>
      </c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251.32</v>
      </c>
      <c r="C19" s="35" t="n">
        <v>-1</v>
      </c>
      <c r="D19" s="35" t="n">
        <v>42.98</v>
      </c>
      <c r="E19" s="35" t="n">
        <v>0</v>
      </c>
      <c r="F19" s="35" t="n">
        <v>0</v>
      </c>
      <c r="G19" s="35" t="n">
        <v>20.28</v>
      </c>
      <c r="H19" s="35" t="n">
        <v>53</v>
      </c>
      <c r="I19" s="35" t="n">
        <v>0</v>
      </c>
      <c r="J19" s="35" t="n">
        <v>125.58</v>
      </c>
      <c r="K19" s="35" t="n">
        <v>0</v>
      </c>
      <c r="L19" s="35" t="n">
        <v>43.34</v>
      </c>
      <c r="M19" s="35" t="n">
        <v>30.98</v>
      </c>
      <c r="N19" s="36">
        <f>SUM(B19:M19)</f>
        <v/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0</v>
      </c>
      <c r="U19" s="37" t="n">
        <v>0</v>
      </c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2093.6</v>
      </c>
      <c r="C20" s="35" t="n">
        <v>7064.880000000001</v>
      </c>
      <c r="D20" s="35" t="n">
        <v>2725.99</v>
      </c>
      <c r="E20" s="35" t="n">
        <v>2100.8</v>
      </c>
      <c r="F20" s="35" t="n">
        <v>1948.2</v>
      </c>
      <c r="G20" s="35" t="n">
        <v>1535.64</v>
      </c>
      <c r="H20" s="35" t="n">
        <v>1763.2</v>
      </c>
      <c r="I20" s="35" t="n">
        <v>2601.5</v>
      </c>
      <c r="J20" s="35" t="n">
        <v>1643.2</v>
      </c>
      <c r="K20" s="35" t="n">
        <v>6098.6</v>
      </c>
      <c r="L20" s="35" t="n">
        <v>440</v>
      </c>
      <c r="M20" s="35" t="n">
        <v>95.7</v>
      </c>
      <c r="N20" s="36">
        <f>SUM(B20:M20)</f>
        <v/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7" t="n">
        <v>0</v>
      </c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3746.52</v>
      </c>
      <c r="C21" s="35" t="n">
        <v>1951.9</v>
      </c>
      <c r="D21" s="35" t="n">
        <v>1552.85</v>
      </c>
      <c r="E21" s="35" t="n">
        <v>2180.94</v>
      </c>
      <c r="F21" s="35" t="n">
        <v>2227.49</v>
      </c>
      <c r="G21" s="35" t="n">
        <v>824.1799999999999</v>
      </c>
      <c r="H21" s="35" t="n">
        <v>932.1799999999999</v>
      </c>
      <c r="I21" s="35" t="n">
        <v>379.18</v>
      </c>
      <c r="J21" s="35" t="n">
        <v>512.5699999999999</v>
      </c>
      <c r="K21" s="35" t="n">
        <v>787.26</v>
      </c>
      <c r="L21" s="35" t="n">
        <v>1075.18</v>
      </c>
      <c r="M21" s="35" t="n">
        <v>862.24</v>
      </c>
      <c r="N21" s="36">
        <f>SUM(B21:M21)</f>
        <v/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37" t="n">
        <v>0</v>
      </c>
      <c r="U21" s="37" t="n">
        <v>0</v>
      </c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69.98999999999999</v>
      </c>
      <c r="E22" s="35" t="n">
        <v>0</v>
      </c>
      <c r="F22" s="35" t="n">
        <v>69.05</v>
      </c>
      <c r="G22" s="35" t="n">
        <v>4876.26</v>
      </c>
      <c r="H22" s="35" t="n">
        <v>528.17</v>
      </c>
      <c r="I22" s="35" t="n">
        <v>0</v>
      </c>
      <c r="J22" s="35" t="n">
        <v>600</v>
      </c>
      <c r="K22" s="35" t="n">
        <v>39.89</v>
      </c>
      <c r="L22" s="35" t="n">
        <v>0</v>
      </c>
      <c r="M22" s="35" t="n">
        <v>0</v>
      </c>
      <c r="N22" s="36">
        <f>SUM(B22:M22)</f>
        <v/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1630</v>
      </c>
      <c r="H23" s="35" t="n">
        <v>1755</v>
      </c>
      <c r="I23" s="35" t="n">
        <v>1000</v>
      </c>
      <c r="J23" s="35" t="n">
        <v>2060</v>
      </c>
      <c r="K23" s="35" t="n">
        <v>988.3</v>
      </c>
      <c r="L23" s="35" t="n">
        <v>3534</v>
      </c>
      <c r="M23" s="35" t="n">
        <v>1700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 t="n">
        <v>0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7" t="n">
        <v>0</v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6091.440000000001</v>
      </c>
      <c r="C25" s="42" t="n">
        <v>9015.780000000001</v>
      </c>
      <c r="D25" s="42" t="n">
        <v>4391.809999999999</v>
      </c>
      <c r="E25" s="42" t="n">
        <v>4281.74</v>
      </c>
      <c r="F25" s="42" t="n">
        <v>4244.740000000001</v>
      </c>
      <c r="G25" s="42" t="n">
        <v>8886.360000000001</v>
      </c>
      <c r="H25" s="42" t="n">
        <v>5031.55</v>
      </c>
      <c r="I25" s="42" t="n">
        <v>3980.68</v>
      </c>
      <c r="J25" s="42" t="n">
        <v>4941.35</v>
      </c>
      <c r="K25" s="42" t="n">
        <v>7914.050000000001</v>
      </c>
      <c r="L25" s="42" t="n">
        <v>5092.52</v>
      </c>
      <c r="M25" s="42" t="n">
        <v>2688.92</v>
      </c>
      <c r="N25" s="43">
        <f>SUM(B25:M25)</f>
        <v/>
      </c>
      <c r="O25" s="44" t="n">
        <v>0</v>
      </c>
      <c r="P25" s="44" t="n">
        <v>0</v>
      </c>
      <c r="Q25" s="44" t="n">
        <v>0</v>
      </c>
      <c r="R25" s="44" t="n">
        <v>0</v>
      </c>
      <c r="S25" s="44" t="n">
        <v>0</v>
      </c>
      <c r="T25" s="44" t="n">
        <v>0</v>
      </c>
      <c r="U25" s="44" t="n">
        <v>0</v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280.37</v>
      </c>
      <c r="E27" s="35" t="n">
        <v>101.16</v>
      </c>
      <c r="F27" s="35" t="n">
        <v>0</v>
      </c>
      <c r="G27" s="35" t="n">
        <v>0</v>
      </c>
      <c r="H27" s="35" t="n">
        <v>0</v>
      </c>
      <c r="I27" s="35" t="n">
        <v>0</v>
      </c>
      <c r="J27" s="35" t="n">
        <v>0</v>
      </c>
      <c r="K27" s="35" t="n">
        <v>0</v>
      </c>
      <c r="L27" s="35" t="n">
        <v>3.15</v>
      </c>
      <c r="M27" s="35" t="n">
        <v>0</v>
      </c>
      <c r="N27" s="36">
        <f>SUM(B27:M27)</f>
        <v/>
      </c>
      <c r="O27" s="37" t="n">
        <v>0</v>
      </c>
      <c r="P27" s="37" t="n">
        <v>0</v>
      </c>
      <c r="Q27" s="37" t="n">
        <v>0</v>
      </c>
      <c r="R27" s="37" t="n">
        <v>0</v>
      </c>
      <c r="S27" s="37" t="n">
        <v>0</v>
      </c>
      <c r="T27" s="37" t="n">
        <v>0</v>
      </c>
      <c r="U27" s="37" t="n">
        <v>0</v>
      </c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8" t="n"/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12.33</v>
      </c>
      <c r="H28" s="35" t="n">
        <v>0</v>
      </c>
      <c r="I28" s="35" t="n">
        <v>0</v>
      </c>
      <c r="J28" s="35" t="n">
        <v>0</v>
      </c>
      <c r="K28" s="35" t="n">
        <v>7.97</v>
      </c>
      <c r="L28" s="35" t="n">
        <v>0</v>
      </c>
      <c r="M28" s="35" t="n">
        <v>0</v>
      </c>
      <c r="N28" s="36">
        <f>SUM(B28:M28)</f>
        <v/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5.98</v>
      </c>
      <c r="L29" s="35" t="n">
        <v>0</v>
      </c>
      <c r="M29" s="35" t="n">
        <v>0</v>
      </c>
      <c r="N29" s="36">
        <f>SUM(B29:M29)</f>
        <v/>
      </c>
      <c r="O29" s="37" t="n">
        <v>0</v>
      </c>
      <c r="P29" s="37" t="n">
        <v>0</v>
      </c>
      <c r="Q29" s="37" t="n">
        <v>0</v>
      </c>
      <c r="R29" s="37" t="n">
        <v>0</v>
      </c>
      <c r="S29" s="37" t="n">
        <v>0</v>
      </c>
      <c r="T29" s="37" t="n">
        <v>0</v>
      </c>
      <c r="U29" s="37" t="n">
        <v>0</v>
      </c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8" t="n"/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174.71</v>
      </c>
      <c r="C30" s="35" t="n">
        <v>146.94</v>
      </c>
      <c r="D30" s="35" t="n">
        <v>35.89</v>
      </c>
      <c r="E30" s="35" t="n">
        <v>125.98</v>
      </c>
      <c r="F30" s="35" t="n">
        <v>44.48</v>
      </c>
      <c r="G30" s="35" t="n">
        <v>112.97</v>
      </c>
      <c r="H30" s="35" t="n">
        <v>461.6200000000001</v>
      </c>
      <c r="I30" s="35" t="n">
        <v>125.85</v>
      </c>
      <c r="J30" s="35" t="n">
        <v>73.06999999999999</v>
      </c>
      <c r="K30" s="35" t="n">
        <v>78.53999999999999</v>
      </c>
      <c r="L30" s="35" t="n">
        <v>113.5</v>
      </c>
      <c r="M30" s="35" t="n">
        <v>50.44</v>
      </c>
      <c r="N30" s="36">
        <f>SUM(B30:M30)</f>
        <v/>
      </c>
      <c r="O30" s="37" t="n">
        <v>0</v>
      </c>
      <c r="P30" s="37" t="n">
        <v>0</v>
      </c>
      <c r="Q30" s="37" t="n">
        <v>0</v>
      </c>
      <c r="R30" s="37" t="n">
        <v>0</v>
      </c>
      <c r="S30" s="37" t="n">
        <v>0</v>
      </c>
      <c r="T30" s="37" t="n">
        <v>0</v>
      </c>
      <c r="U30" s="37" t="n">
        <v>0</v>
      </c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498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0</v>
      </c>
      <c r="L31" s="35" t="n">
        <v>0</v>
      </c>
      <c r="M31" s="35" t="n">
        <v>0</v>
      </c>
      <c r="N31" s="36">
        <f>SUM(B31:M31)</f>
        <v/>
      </c>
      <c r="O31" s="37" t="n">
        <v>0</v>
      </c>
      <c r="P31" s="37" t="n">
        <v>0</v>
      </c>
      <c r="Q31" s="37" t="n">
        <v>0</v>
      </c>
      <c r="R31" s="37" t="n">
        <v>0</v>
      </c>
      <c r="S31" s="37" t="n">
        <v>0</v>
      </c>
      <c r="T31" s="37" t="n">
        <v>0</v>
      </c>
      <c r="U31" s="37" t="n">
        <v>0</v>
      </c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30.44</v>
      </c>
      <c r="C32" s="35" t="n">
        <v>36.5</v>
      </c>
      <c r="D32" s="35" t="n">
        <v>0</v>
      </c>
      <c r="E32" s="35" t="n">
        <v>13.65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 t="n">
        <v>0</v>
      </c>
      <c r="P32" s="37" t="n">
        <v>0</v>
      </c>
      <c r="Q32" s="37" t="n">
        <v>0</v>
      </c>
      <c r="R32" s="37" t="n">
        <v>0</v>
      </c>
      <c r="S32" s="37" t="n">
        <v>0</v>
      </c>
      <c r="T32" s="37" t="n">
        <v>0</v>
      </c>
      <c r="U32" s="37" t="n">
        <v>0</v>
      </c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8" t="n"/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 t="n">
        <v>0</v>
      </c>
      <c r="P33" s="37" t="n">
        <v>0</v>
      </c>
      <c r="Q33" s="37" t="n">
        <v>0</v>
      </c>
      <c r="R33" s="37" t="n">
        <v>0</v>
      </c>
      <c r="S33" s="37" t="n">
        <v>0</v>
      </c>
      <c r="T33" s="37" t="n">
        <v>0</v>
      </c>
      <c r="U33" s="37" t="n">
        <v>0</v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703.1500000000001</v>
      </c>
      <c r="C34" s="42" t="n">
        <v>183.44</v>
      </c>
      <c r="D34" s="42" t="n">
        <v>316.26</v>
      </c>
      <c r="E34" s="42" t="n">
        <v>240.79</v>
      </c>
      <c r="F34" s="42" t="n">
        <v>44.48</v>
      </c>
      <c r="G34" s="42" t="n">
        <v>125.3</v>
      </c>
      <c r="H34" s="42" t="n">
        <v>461.6200000000001</v>
      </c>
      <c r="I34" s="42" t="n">
        <v>125.85</v>
      </c>
      <c r="J34" s="42" t="n">
        <v>73.06999999999999</v>
      </c>
      <c r="K34" s="42" t="n">
        <v>92.48999999999999</v>
      </c>
      <c r="L34" s="42" t="n">
        <v>116.65</v>
      </c>
      <c r="M34" s="42" t="n">
        <v>50.44</v>
      </c>
      <c r="N34" s="43">
        <f>SUM(B34:M34)</f>
        <v/>
      </c>
      <c r="O34" s="44" t="n">
        <v>0</v>
      </c>
      <c r="P34" s="44" t="n">
        <v>0</v>
      </c>
      <c r="Q34" s="44" t="n">
        <v>0</v>
      </c>
      <c r="R34" s="44" t="n">
        <v>0</v>
      </c>
      <c r="S34" s="44" t="n">
        <v>0</v>
      </c>
      <c r="T34" s="44" t="n">
        <v>0</v>
      </c>
      <c r="U34" s="44" t="n">
        <v>0</v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769.29</v>
      </c>
      <c r="C37" s="35" t="n">
        <v>769.29</v>
      </c>
      <c r="D37" s="35" t="n">
        <v>769.29</v>
      </c>
      <c r="E37" s="35" t="n">
        <v>769.29</v>
      </c>
      <c r="F37" s="35" t="n">
        <v>769.29</v>
      </c>
      <c r="G37" s="35" t="n">
        <v>769.29</v>
      </c>
      <c r="H37" s="35" t="n">
        <v>769.29</v>
      </c>
      <c r="I37" s="35" t="n">
        <v>769.29</v>
      </c>
      <c r="J37" s="35" t="n">
        <v>769.29</v>
      </c>
      <c r="K37" s="35" t="n">
        <v>769.29</v>
      </c>
      <c r="L37" s="35" t="n">
        <v>769.29</v>
      </c>
      <c r="M37" s="35" t="n">
        <v>769.29</v>
      </c>
      <c r="N37" s="36">
        <f>SUM(B37:M37)</f>
        <v/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8" t="n">
        <v>736.67</v>
      </c>
      <c r="W37" s="38" t="n">
        <v>736.67</v>
      </c>
      <c r="X37" s="38" t="n">
        <v>736.67</v>
      </c>
      <c r="Y37" s="38" t="n">
        <v>736.67</v>
      </c>
      <c r="Z37" s="38" t="n">
        <v>736.67</v>
      </c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628.96</v>
      </c>
      <c r="C38" s="35" t="n">
        <v>300.63</v>
      </c>
      <c r="D38" s="35" t="n">
        <v>271.59</v>
      </c>
      <c r="E38" s="35" t="n">
        <v>-778.0699999999999</v>
      </c>
      <c r="F38" s="35" t="n">
        <v>178.3700000000001</v>
      </c>
      <c r="G38" s="35" t="n">
        <v>243.71</v>
      </c>
      <c r="H38" s="35" t="n">
        <v>283.43</v>
      </c>
      <c r="I38" s="35" t="n">
        <v>288.92</v>
      </c>
      <c r="J38" s="35" t="n">
        <v>180.98</v>
      </c>
      <c r="K38" s="35" t="n">
        <v>399.15</v>
      </c>
      <c r="L38" s="35" t="n">
        <v>273.05</v>
      </c>
      <c r="M38" s="35" t="n">
        <v>-1949.84</v>
      </c>
      <c r="N38" s="36">
        <f>SUM(B38:M38)</f>
        <v/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8" t="n">
        <v>200</v>
      </c>
      <c r="W38" s="38" t="n">
        <v>200</v>
      </c>
      <c r="X38" s="38" t="n">
        <v>200</v>
      </c>
      <c r="Y38" s="38" t="n">
        <v>200</v>
      </c>
      <c r="Z38" s="38" t="n">
        <v>200</v>
      </c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1783.02</v>
      </c>
      <c r="C39" s="35" t="n">
        <v>1160.22</v>
      </c>
      <c r="D39" s="35" t="n">
        <v>1766.9</v>
      </c>
      <c r="E39" s="35" t="n">
        <v>854.3</v>
      </c>
      <c r="F39" s="35" t="n">
        <v>1437.47</v>
      </c>
      <c r="G39" s="35" t="n">
        <v>1109.24</v>
      </c>
      <c r="H39" s="35" t="n">
        <v>616.9200000000001</v>
      </c>
      <c r="I39" s="35" t="n">
        <v>297.62</v>
      </c>
      <c r="J39" s="35" t="n">
        <v>910.5200000000002</v>
      </c>
      <c r="K39" s="35" t="n">
        <v>1882.44</v>
      </c>
      <c r="L39" s="35" t="n">
        <v>133.83</v>
      </c>
      <c r="M39" s="35" t="n">
        <v>382.66</v>
      </c>
      <c r="N39" s="36">
        <f>SUM(B39:M39)</f>
        <v/>
      </c>
      <c r="O39" s="37" t="n">
        <v>0</v>
      </c>
      <c r="P39" s="37" t="n">
        <v>0</v>
      </c>
      <c r="Q39" s="37" t="n">
        <v>0</v>
      </c>
      <c r="R39" s="37" t="n">
        <v>0</v>
      </c>
      <c r="S39" s="37" t="n">
        <v>0</v>
      </c>
      <c r="T39" s="37" t="n">
        <v>0</v>
      </c>
      <c r="U39" s="37" t="n">
        <v>0</v>
      </c>
      <c r="V39" s="38" t="n">
        <v>3500</v>
      </c>
      <c r="W39" s="38" t="n">
        <v>3500</v>
      </c>
      <c r="X39" s="38" t="n">
        <v>3500</v>
      </c>
      <c r="Y39" s="38" t="n">
        <v>3500</v>
      </c>
      <c r="Z39" s="38" t="n">
        <v>3500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76.42</v>
      </c>
      <c r="C40" s="35" t="n">
        <v>180</v>
      </c>
      <c r="D40" s="35" t="n">
        <v>1122.03</v>
      </c>
      <c r="E40" s="35" t="n">
        <v>144.95</v>
      </c>
      <c r="F40" s="35" t="n">
        <v>0</v>
      </c>
      <c r="G40" s="35" t="n">
        <v>1122.03</v>
      </c>
      <c r="H40" s="35" t="n">
        <v>1262.02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8" t="n">
        <v>0</v>
      </c>
      <c r="W40" s="38" t="n">
        <v>0</v>
      </c>
      <c r="X40" s="38" t="n">
        <v>0</v>
      </c>
      <c r="Y40" s="38" t="n">
        <v>0</v>
      </c>
      <c r="Z40" s="38" t="n">
        <v>0</v>
      </c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112.74</v>
      </c>
      <c r="C41" s="35" t="n">
        <v>112.74</v>
      </c>
      <c r="D41" s="35" t="n">
        <v>113.22</v>
      </c>
      <c r="E41" s="35" t="n">
        <v>113.22</v>
      </c>
      <c r="F41" s="35" t="n">
        <v>590.5</v>
      </c>
      <c r="G41" s="35" t="n">
        <v>261.85</v>
      </c>
      <c r="H41" s="35" t="n">
        <v>229.12</v>
      </c>
      <c r="I41" s="35" t="n">
        <v>266.82</v>
      </c>
      <c r="J41" s="35" t="n">
        <v>118.37</v>
      </c>
      <c r="K41" s="35" t="n">
        <v>118.37</v>
      </c>
      <c r="L41" s="35" t="n">
        <v>-31.22999999999999</v>
      </c>
      <c r="M41" s="35" t="n">
        <v>222.77</v>
      </c>
      <c r="N41" s="36">
        <f>SUM(B41:M41)</f>
        <v/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8" t="n">
        <v>240</v>
      </c>
      <c r="W41" s="38" t="n">
        <v>240</v>
      </c>
      <c r="X41" s="38" t="n">
        <v>240</v>
      </c>
      <c r="Y41" s="38" t="n">
        <v>240</v>
      </c>
      <c r="Z41" s="38" t="n">
        <v>240</v>
      </c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1386.33</v>
      </c>
      <c r="C42" s="35" t="n">
        <v>548.5699999999999</v>
      </c>
      <c r="D42" s="35" t="n">
        <v>171.22</v>
      </c>
      <c r="E42" s="35" t="n">
        <v>79.02</v>
      </c>
      <c r="F42" s="35" t="n">
        <v>363.68</v>
      </c>
      <c r="G42" s="35" t="n">
        <v>87.47</v>
      </c>
      <c r="H42" s="35" t="n">
        <v>301.23</v>
      </c>
      <c r="I42" s="35" t="n">
        <v>218.49</v>
      </c>
      <c r="J42" s="35" t="n">
        <v>213.11</v>
      </c>
      <c r="K42" s="35" t="n">
        <v>30.72</v>
      </c>
      <c r="L42" s="35" t="n">
        <v>196.04</v>
      </c>
      <c r="M42" s="35" t="n">
        <v>730.47</v>
      </c>
      <c r="N42" s="36">
        <f>SUM(B42:M42)</f>
        <v/>
      </c>
      <c r="O42" s="37" t="n">
        <v>0</v>
      </c>
      <c r="P42" s="37" t="n">
        <v>0</v>
      </c>
      <c r="Q42" s="37" t="n">
        <v>0</v>
      </c>
      <c r="R42" s="37" t="n">
        <v>0</v>
      </c>
      <c r="S42" s="37" t="n">
        <v>0</v>
      </c>
      <c r="T42" s="37" t="n">
        <v>0</v>
      </c>
      <c r="U42" s="37" t="n">
        <v>0</v>
      </c>
      <c r="V42" s="38" t="n">
        <v>200</v>
      </c>
      <c r="W42" s="38" t="n">
        <v>200</v>
      </c>
      <c r="X42" s="38" t="n">
        <v>200</v>
      </c>
      <c r="Y42" s="38" t="n">
        <v>200</v>
      </c>
      <c r="Z42" s="38" t="n">
        <v>200</v>
      </c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3312.7</v>
      </c>
      <c r="C43" s="35" t="n">
        <v>3286.88</v>
      </c>
      <c r="D43" s="35" t="n">
        <v>3825.05</v>
      </c>
      <c r="E43" s="35" t="n">
        <v>3504.24</v>
      </c>
      <c r="F43" s="35" t="n">
        <v>3500.68</v>
      </c>
      <c r="G43" s="35" t="n">
        <v>3505.49</v>
      </c>
      <c r="H43" s="35" t="n">
        <v>3652.43</v>
      </c>
      <c r="I43" s="35" t="n">
        <v>3507.11</v>
      </c>
      <c r="J43" s="35" t="n">
        <v>3516.05</v>
      </c>
      <c r="K43" s="35" t="n">
        <v>3345.18</v>
      </c>
      <c r="L43" s="35" t="n">
        <v>3519.39</v>
      </c>
      <c r="M43" s="35" t="n">
        <v>3907.98</v>
      </c>
      <c r="N43" s="36">
        <f>SUM(B43:M43)</f>
        <v/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8" t="n">
        <v>3500</v>
      </c>
      <c r="W43" s="38" t="n">
        <v>3500</v>
      </c>
      <c r="X43" s="38" t="n">
        <v>8500</v>
      </c>
      <c r="Y43" s="38" t="n">
        <v>3500</v>
      </c>
      <c r="Z43" s="38" t="n">
        <v>3500</v>
      </c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4653.46</v>
      </c>
      <c r="C45" s="35" t="n">
        <v>4592.05</v>
      </c>
      <c r="D45" s="35" t="n">
        <v>1826.47</v>
      </c>
      <c r="E45" s="35" t="n">
        <v>3771.9</v>
      </c>
      <c r="F45" s="35" t="n">
        <v>2115.33</v>
      </c>
      <c r="G45" s="35" t="n">
        <v>9287.91</v>
      </c>
      <c r="H45" s="35" t="n">
        <v>2622.49</v>
      </c>
      <c r="I45" s="35" t="n">
        <v>3476.43</v>
      </c>
      <c r="J45" s="35" t="n">
        <v>4380.61</v>
      </c>
      <c r="K45" s="35" t="n">
        <v>2639.55</v>
      </c>
      <c r="L45" s="35" t="n">
        <v>2333.38</v>
      </c>
      <c r="M45" s="35" t="n">
        <v>1559.54</v>
      </c>
      <c r="N45" s="36">
        <f>SUM(B45:M45)</f>
        <v/>
      </c>
      <c r="O45" s="37" t="n">
        <v>0</v>
      </c>
      <c r="P45" s="37" t="n">
        <v>0</v>
      </c>
      <c r="Q45" s="37" t="n">
        <v>0</v>
      </c>
      <c r="R45" s="37" t="n">
        <v>0</v>
      </c>
      <c r="S45" s="37" t="n">
        <v>0</v>
      </c>
      <c r="T45" s="37" t="n">
        <v>0</v>
      </c>
      <c r="U45" s="37" t="n">
        <v>0</v>
      </c>
      <c r="V45" s="38" t="n">
        <v>2500</v>
      </c>
      <c r="W45" s="38" t="n">
        <v>2500</v>
      </c>
      <c r="X45" s="38" t="n">
        <v>2500</v>
      </c>
      <c r="Y45" s="38" t="n">
        <v>2500</v>
      </c>
      <c r="Z45" s="38" t="n">
        <v>2500</v>
      </c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460.32</v>
      </c>
      <c r="I46" s="35" t="n">
        <v>475.15</v>
      </c>
      <c r="J46" s="35" t="n">
        <v>212.63</v>
      </c>
      <c r="K46" s="35" t="n">
        <v>102.57</v>
      </c>
      <c r="L46" s="35" t="n">
        <v>0</v>
      </c>
      <c r="M46" s="35" t="n">
        <v>55.85</v>
      </c>
      <c r="N46" s="36">
        <f>SUM(B46:M46)</f>
        <v/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12722.92</v>
      </c>
      <c r="C47" s="42" t="n">
        <v>10950.38</v>
      </c>
      <c r="D47" s="42" t="n">
        <v>9865.769999999999</v>
      </c>
      <c r="E47" s="42" t="n">
        <v>8458.85</v>
      </c>
      <c r="F47" s="42" t="n">
        <v>8955.32</v>
      </c>
      <c r="G47" s="42" t="n">
        <v>16386.99</v>
      </c>
      <c r="H47" s="42" t="n">
        <v>10197.25</v>
      </c>
      <c r="I47" s="42" t="n">
        <v>9299.83</v>
      </c>
      <c r="J47" s="42" t="n">
        <v>10301.56</v>
      </c>
      <c r="K47" s="42" t="n">
        <v>9287.27</v>
      </c>
      <c r="L47" s="42" t="n">
        <v>7193.75</v>
      </c>
      <c r="M47" s="42" t="n">
        <v>5678.72</v>
      </c>
      <c r="N47" s="52">
        <f>SUM(B47:M47)</f>
        <v/>
      </c>
      <c r="O47" s="44" t="n">
        <v>0</v>
      </c>
      <c r="P47" s="44" t="n">
        <v>0</v>
      </c>
      <c r="Q47" s="44" t="n">
        <v>0</v>
      </c>
      <c r="R47" s="44" t="n">
        <v>0</v>
      </c>
      <c r="S47" s="44" t="n">
        <v>0</v>
      </c>
      <c r="T47" s="44" t="n">
        <v>0</v>
      </c>
      <c r="U47" s="44" t="n">
        <v>0</v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19517.51</v>
      </c>
      <c r="C48" s="23" t="n">
        <v>20149.6</v>
      </c>
      <c r="D48" s="23" t="n">
        <v>14573.84</v>
      </c>
      <c r="E48" s="23" t="n">
        <v>12981.38</v>
      </c>
      <c r="F48" s="23" t="n">
        <v>13244.54</v>
      </c>
      <c r="G48" s="23" t="n">
        <v>25398.65</v>
      </c>
      <c r="H48" s="23" t="n">
        <v>15690.42</v>
      </c>
      <c r="I48" s="23" t="n">
        <v>13406.36</v>
      </c>
      <c r="J48" s="23" t="n">
        <v>15315.98</v>
      </c>
      <c r="K48" s="23" t="n">
        <v>17293.81</v>
      </c>
      <c r="L48" s="23" t="n">
        <v>12402.92</v>
      </c>
      <c r="M48" s="23" t="n">
        <v>8418.08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-19517.51</v>
      </c>
      <c r="C50" s="55" t="n">
        <v>-20149.6</v>
      </c>
      <c r="D50" s="55" t="n">
        <v>-14573.84</v>
      </c>
      <c r="E50" s="55" t="n">
        <v>-12981.38</v>
      </c>
      <c r="F50" s="55" t="n">
        <v>-13244.54</v>
      </c>
      <c r="G50" s="55" t="n">
        <v>-25381.71</v>
      </c>
      <c r="H50" s="55" t="n">
        <v>-15690.42</v>
      </c>
      <c r="I50" s="55" t="n">
        <v>-13406.36</v>
      </c>
      <c r="J50" s="55" t="n">
        <v>-14465.41</v>
      </c>
      <c r="K50" s="55" t="n">
        <v>-17293.81</v>
      </c>
      <c r="L50" s="55" t="n">
        <v>-11672.68</v>
      </c>
      <c r="M50" s="55" t="n">
        <v>-8418.08</v>
      </c>
      <c r="N50" s="55">
        <f>SUM(B50:M50)</f>
        <v/>
      </c>
      <c r="O50" s="55" t="n">
        <v>0</v>
      </c>
      <c r="P50" s="55" t="n">
        <v>0</v>
      </c>
      <c r="Q50" s="55" t="n">
        <v>0</v>
      </c>
      <c r="R50" s="55" t="n">
        <v>0</v>
      </c>
      <c r="S50" s="55" t="n">
        <v>0</v>
      </c>
      <c r="T50" s="55" t="n">
        <v>0</v>
      </c>
      <c r="U50" s="55" t="n">
        <v>0</v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 t="n"/>
      <c r="AD50" s="55" t="n"/>
      <c r="AE50" s="55" t="n"/>
      <c r="AF50" s="55" t="n"/>
      <c r="AG50" s="55" t="n"/>
      <c r="AH50" s="55" t="n"/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82089.10000000001</v>
      </c>
      <c r="C53" s="35" t="n">
        <v>83145.28</v>
      </c>
      <c r="D53" s="35" t="n">
        <v>82791.22</v>
      </c>
      <c r="E53" s="35" t="n">
        <v>134235.96</v>
      </c>
      <c r="F53" s="35" t="n">
        <v>81426.45999999999</v>
      </c>
      <c r="G53" s="35" t="n">
        <v>97910.46000000001</v>
      </c>
      <c r="H53" s="35" t="n">
        <v>97978.69</v>
      </c>
      <c r="I53" s="35" t="n">
        <v>112374.73</v>
      </c>
      <c r="J53" s="35" t="n">
        <v>137394</v>
      </c>
      <c r="K53" s="35" t="n">
        <v>102166.94</v>
      </c>
      <c r="L53" s="35" t="n">
        <v>108279</v>
      </c>
      <c r="M53" s="35" t="n">
        <v>384692.96</v>
      </c>
      <c r="N53" s="36">
        <f>SUM(B53:M53)</f>
        <v/>
      </c>
      <c r="O53" s="37" t="n">
        <v>110561.6</v>
      </c>
      <c r="P53" s="37" t="n">
        <v>104194.85</v>
      </c>
      <c r="Q53" s="37" t="n">
        <v>122684.97</v>
      </c>
      <c r="R53" s="37" t="n">
        <v>172859.62</v>
      </c>
      <c r="S53" s="37" t="n">
        <v>117438.53</v>
      </c>
      <c r="T53" s="37" t="n">
        <v>116497.42</v>
      </c>
      <c r="U53" s="37" t="n">
        <v>117057.9</v>
      </c>
      <c r="V53" s="38" t="n">
        <v>117439</v>
      </c>
      <c r="W53" s="38" t="n">
        <v>117439</v>
      </c>
      <c r="X53" s="38" t="n">
        <v>117439</v>
      </c>
      <c r="Y53" s="38" t="n">
        <v>117439</v>
      </c>
      <c r="Z53" s="38">
        <f>117439+281000</f>
        <v/>
      </c>
      <c r="AA53" s="36">
        <f>SUM(O53:U53)</f>
        <v/>
      </c>
      <c r="AB53" s="36">
        <f>SUM(O53:Z53)</f>
        <v/>
      </c>
      <c r="AC53" s="38" t="n">
        <v>117439</v>
      </c>
      <c r="AD53" s="38" t="n">
        <v>117439</v>
      </c>
      <c r="AE53" s="38" t="n">
        <v>117439</v>
      </c>
      <c r="AF53" s="38" t="n">
        <v>117439</v>
      </c>
      <c r="AG53" s="38" t="n">
        <v>117439</v>
      </c>
      <c r="AH53" s="38" t="n">
        <v>117439</v>
      </c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9992.110000000001</v>
      </c>
      <c r="C54" s="35" t="n">
        <v>11326.84</v>
      </c>
      <c r="D54" s="35" t="n">
        <v>11325.06</v>
      </c>
      <c r="E54" s="35" t="n">
        <v>20699.56</v>
      </c>
      <c r="F54" s="35" t="n">
        <v>12797.69</v>
      </c>
      <c r="G54" s="35" t="n">
        <v>15261.34</v>
      </c>
      <c r="H54" s="35" t="n">
        <v>15170.04</v>
      </c>
      <c r="I54" s="35" t="n">
        <v>17278.08</v>
      </c>
      <c r="J54" s="35" t="n">
        <v>15614.88</v>
      </c>
      <c r="K54" s="35" t="n">
        <v>14827.88</v>
      </c>
      <c r="L54" s="35" t="n">
        <v>15458.86</v>
      </c>
      <c r="M54" s="35" t="n">
        <v>57020.84</v>
      </c>
      <c r="N54" s="36">
        <f>SUM(B54:M54)</f>
        <v/>
      </c>
      <c r="O54" s="37" t="n">
        <v>15829.25</v>
      </c>
      <c r="P54" s="37" t="n">
        <v>14890.45</v>
      </c>
      <c r="Q54" s="37" t="n">
        <v>17671.3</v>
      </c>
      <c r="R54" s="37" t="n">
        <v>25136.38</v>
      </c>
      <c r="S54" s="37" t="n">
        <v>16772.83</v>
      </c>
      <c r="T54" s="37" t="n">
        <v>16744.56</v>
      </c>
      <c r="U54" s="37" t="n">
        <v>16640.7</v>
      </c>
      <c r="V54" s="38" t="n">
        <v>16773</v>
      </c>
      <c r="W54" s="38" t="n">
        <v>16773</v>
      </c>
      <c r="X54" s="38" t="n">
        <v>16773</v>
      </c>
      <c r="Y54" s="38" t="n">
        <v>16773</v>
      </c>
      <c r="Z54" s="38" t="n">
        <v>16773</v>
      </c>
      <c r="AA54" s="36">
        <f>SUM(O54:U54)</f>
        <v/>
      </c>
      <c r="AB54" s="36">
        <f>SUM(O54:Z54)</f>
        <v/>
      </c>
      <c r="AC54" s="38" t="n">
        <v>16773</v>
      </c>
      <c r="AD54" s="38" t="n">
        <v>16773</v>
      </c>
      <c r="AE54" s="38" t="n">
        <v>16773</v>
      </c>
      <c r="AF54" s="38" t="n">
        <v>16773</v>
      </c>
      <c r="AG54" s="38" t="n">
        <v>16773</v>
      </c>
      <c r="AH54" s="38" t="n">
        <v>16773</v>
      </c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697.8300000000002</v>
      </c>
      <c r="C55" s="35" t="n">
        <v>754.1500000000001</v>
      </c>
      <c r="D55" s="35" t="n">
        <v>754.1500000000001</v>
      </c>
      <c r="E55" s="35" t="n">
        <v>754.1500000000001</v>
      </c>
      <c r="F55" s="35" t="n">
        <v>754.1500000000001</v>
      </c>
      <c r="G55" s="35" t="n">
        <v>645.13</v>
      </c>
      <c r="H55" s="35" t="n">
        <v>711.13</v>
      </c>
      <c r="I55" s="35" t="n">
        <v>711.13</v>
      </c>
      <c r="J55" s="35" t="n">
        <v>711.13</v>
      </c>
      <c r="K55" s="35" t="n">
        <v>343.6</v>
      </c>
      <c r="L55" s="35" t="n">
        <v>397.55</v>
      </c>
      <c r="M55" s="35" t="n">
        <v>397.55</v>
      </c>
      <c r="N55" s="36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585.15</v>
      </c>
      <c r="U55" s="37" t="n">
        <v>585.15</v>
      </c>
      <c r="V55" s="38" t="n">
        <v>695</v>
      </c>
      <c r="W55" s="38" t="n">
        <v>695</v>
      </c>
      <c r="X55" s="38" t="n">
        <v>695</v>
      </c>
      <c r="Y55" s="38" t="n">
        <v>695</v>
      </c>
      <c r="Z55" s="38" t="n">
        <v>695</v>
      </c>
      <c r="AA55" s="36">
        <f>SUM(O55:U55)</f>
        <v/>
      </c>
      <c r="AB55" s="36">
        <f>SUM(O55:Z55)</f>
        <v/>
      </c>
      <c r="AC55" s="38" t="n">
        <v>695</v>
      </c>
      <c r="AD55" s="38" t="n">
        <v>695</v>
      </c>
      <c r="AE55" s="38" t="n">
        <v>695</v>
      </c>
      <c r="AF55" s="38" t="n">
        <v>695</v>
      </c>
      <c r="AG55" s="38" t="n">
        <v>695</v>
      </c>
      <c r="AH55" s="38" t="n">
        <v>695</v>
      </c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832.4000000000001</v>
      </c>
      <c r="C56" s="35" t="n">
        <v>886.37</v>
      </c>
      <c r="D56" s="35" t="n">
        <v>987.53</v>
      </c>
      <c r="E56" s="35" t="n">
        <v>1010.72</v>
      </c>
      <c r="F56" s="35" t="n">
        <v>917.11</v>
      </c>
      <c r="G56" s="35" t="n">
        <v>900.63</v>
      </c>
      <c r="H56" s="35" t="n">
        <v>1072.08</v>
      </c>
      <c r="I56" s="35" t="n">
        <v>989.58</v>
      </c>
      <c r="J56" s="35" t="n">
        <v>823.79</v>
      </c>
      <c r="K56" s="35" t="n">
        <v>958.6500000000001</v>
      </c>
      <c r="L56" s="35" t="n">
        <v>1038.97</v>
      </c>
      <c r="M56" s="35" t="n">
        <v>980.35</v>
      </c>
      <c r="N56" s="36">
        <f>SUM(B56:M56)</f>
        <v/>
      </c>
      <c r="O56" s="37" t="n">
        <v>1185.13</v>
      </c>
      <c r="P56" s="37" t="n">
        <v>1099.1</v>
      </c>
      <c r="Q56" s="37" t="n">
        <v>1911.99</v>
      </c>
      <c r="R56" s="37" t="n">
        <v>1982.45</v>
      </c>
      <c r="S56" s="37" t="n">
        <v>1897.62</v>
      </c>
      <c r="T56" s="37" t="n">
        <v>1896.13</v>
      </c>
      <c r="U56" s="37" t="n">
        <v>1156.53</v>
      </c>
      <c r="V56" s="38" t="n">
        <v>1897.62</v>
      </c>
      <c r="W56" s="38" t="n">
        <v>1897.62</v>
      </c>
      <c r="X56" s="38" t="n">
        <v>1897.62</v>
      </c>
      <c r="Y56" s="38" t="n">
        <v>1897.62</v>
      </c>
      <c r="Z56" s="38" t="n">
        <v>1897.62</v>
      </c>
      <c r="AA56" s="36">
        <f>SUM(O56:U56)</f>
        <v/>
      </c>
      <c r="AB56" s="36">
        <f>SUM(O56:Z56)</f>
        <v/>
      </c>
      <c r="AC56" s="38" t="n">
        <v>1897.62</v>
      </c>
      <c r="AD56" s="38" t="n">
        <v>1897.62</v>
      </c>
      <c r="AE56" s="38" t="n">
        <v>1897.62</v>
      </c>
      <c r="AF56" s="38" t="n">
        <v>1897.62</v>
      </c>
      <c r="AG56" s="38" t="n">
        <v>1897.62</v>
      </c>
      <c r="AH56" s="38" t="n">
        <v>1897.62</v>
      </c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300.41</v>
      </c>
      <c r="J57" s="35" t="n">
        <v>16814</v>
      </c>
      <c r="K57" s="35" t="n">
        <v>0</v>
      </c>
      <c r="L57" s="35" t="n">
        <v>0</v>
      </c>
      <c r="M57" s="35" t="n">
        <v>1160.7</v>
      </c>
      <c r="N57" s="36">
        <f>SUM(B57:M57)</f>
        <v/>
      </c>
      <c r="O57" s="37" t="n">
        <v>0</v>
      </c>
      <c r="P57" s="37" t="n">
        <v>0</v>
      </c>
      <c r="Q57" s="37" t="n">
        <v>0</v>
      </c>
      <c r="R57" s="37" t="n">
        <v>0</v>
      </c>
      <c r="S57" s="37" t="n">
        <v>0</v>
      </c>
      <c r="T57" s="37" t="n">
        <v>0</v>
      </c>
      <c r="U57" s="37" t="n">
        <v>0</v>
      </c>
      <c r="V57" s="38" t="n"/>
      <c r="W57" s="38" t="n"/>
      <c r="X57" s="38" t="n"/>
      <c r="Y57" s="38" t="n"/>
      <c r="Z57" s="38">
        <f>21*30</f>
        <v/>
      </c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465.62</v>
      </c>
      <c r="C58" s="35" t="n">
        <v>465.62</v>
      </c>
      <c r="D58" s="35" t="n">
        <v>465.62</v>
      </c>
      <c r="E58" s="35" t="n">
        <v>465.62</v>
      </c>
      <c r="F58" s="35" t="n">
        <v>465.62</v>
      </c>
      <c r="G58" s="35" t="n">
        <v>341.4</v>
      </c>
      <c r="H58" s="35" t="n">
        <v>341.4</v>
      </c>
      <c r="I58" s="35" t="n">
        <v>341.4</v>
      </c>
      <c r="J58" s="35" t="n">
        <v>341.4</v>
      </c>
      <c r="K58" s="35" t="n">
        <v>341.4</v>
      </c>
      <c r="L58" s="35" t="n">
        <v>341.4</v>
      </c>
      <c r="M58" s="35" t="n">
        <v>0</v>
      </c>
      <c r="N58" s="36">
        <f>SUM(B58:M58)</f>
        <v/>
      </c>
      <c r="O58" s="37" t="n">
        <v>0</v>
      </c>
      <c r="P58" s="37" t="n">
        <v>0</v>
      </c>
      <c r="Q58" s="37" t="n">
        <v>12212.4</v>
      </c>
      <c r="R58" s="37" t="n">
        <v>2756.4</v>
      </c>
      <c r="S58" s="37" t="n">
        <v>0</v>
      </c>
      <c r="T58" s="37" t="n">
        <v>0</v>
      </c>
      <c r="U58" s="37" t="n">
        <v>195.75</v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2433.87</v>
      </c>
      <c r="C59" s="35" t="n">
        <v>3479.54</v>
      </c>
      <c r="D59" s="35" t="n">
        <v>2017.34</v>
      </c>
      <c r="E59" s="35" t="n">
        <v>2017.34</v>
      </c>
      <c r="F59" s="35" t="n">
        <v>1354.84</v>
      </c>
      <c r="G59" s="35" t="n">
        <v>2674.84</v>
      </c>
      <c r="H59" s="35" t="n">
        <v>2011.34</v>
      </c>
      <c r="I59" s="35" t="n">
        <v>3673.34</v>
      </c>
      <c r="J59" s="35" t="n">
        <v>8823.34</v>
      </c>
      <c r="K59" s="35" t="n">
        <v>1983.34</v>
      </c>
      <c r="L59" s="35" t="n">
        <v>2678.34</v>
      </c>
      <c r="M59" s="35" t="n">
        <v>2876.74</v>
      </c>
      <c r="N59" s="36">
        <f>SUM(B59:M59)</f>
        <v/>
      </c>
      <c r="O59" s="37" t="n">
        <v>2238.11</v>
      </c>
      <c r="P59" s="37" t="n">
        <v>1404.87</v>
      </c>
      <c r="Q59" s="37" t="n">
        <v>1404.87</v>
      </c>
      <c r="R59" s="37" t="n">
        <v>2893.39</v>
      </c>
      <c r="S59" s="37" t="n">
        <v>2933.33</v>
      </c>
      <c r="T59" s="37" t="n">
        <v>14489.47</v>
      </c>
      <c r="U59" s="37" t="n">
        <v>3526.92</v>
      </c>
      <c r="V59" s="38" t="n">
        <v>2856</v>
      </c>
      <c r="W59" s="38" t="n">
        <v>2856</v>
      </c>
      <c r="X59" s="38" t="n">
        <v>2856</v>
      </c>
      <c r="Y59" s="38" t="n">
        <v>2856</v>
      </c>
      <c r="Z59" s="38" t="n">
        <v>2856</v>
      </c>
      <c r="AA59" s="36">
        <f>SUM(O59:U59)</f>
        <v/>
      </c>
      <c r="AB59" s="36">
        <f>SUM(O59:Z59)</f>
        <v/>
      </c>
      <c r="AC59" s="38" t="n">
        <v>2856</v>
      </c>
      <c r="AD59" s="38" t="n">
        <v>2856</v>
      </c>
      <c r="AE59" s="38" t="n">
        <v>2856</v>
      </c>
      <c r="AF59" s="38" t="n">
        <v>2856</v>
      </c>
      <c r="AG59" s="38" t="n">
        <v>2856</v>
      </c>
      <c r="AH59" s="38" t="n">
        <v>2856</v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623.3</v>
      </c>
      <c r="C60" s="35" t="n">
        <v>548.3099999999999</v>
      </c>
      <c r="D60" s="35" t="n">
        <v>633.3</v>
      </c>
      <c r="E60" s="35" t="n">
        <v>431.47</v>
      </c>
      <c r="F60" s="35" t="n">
        <v>431.68</v>
      </c>
      <c r="G60" s="35" t="n">
        <v>1051.67</v>
      </c>
      <c r="H60" s="35" t="n">
        <v>431.68</v>
      </c>
      <c r="I60" s="35" t="n">
        <v>454.54</v>
      </c>
      <c r="J60" s="35" t="n">
        <v>454.54</v>
      </c>
      <c r="K60" s="35" t="n">
        <v>954.54</v>
      </c>
      <c r="L60" s="35" t="n">
        <v>1174.54</v>
      </c>
      <c r="M60" s="35" t="n">
        <v>2465.74</v>
      </c>
      <c r="N60" s="36">
        <f>SUM(B60:M60)</f>
        <v/>
      </c>
      <c r="O60" s="37" t="n">
        <v>1186.5</v>
      </c>
      <c r="P60" s="37" t="n">
        <v>1186.5</v>
      </c>
      <c r="Q60" s="37" t="n">
        <v>1186.5</v>
      </c>
      <c r="R60" s="37" t="n">
        <v>2593.73</v>
      </c>
      <c r="S60" s="37" t="n">
        <v>2593.73</v>
      </c>
      <c r="T60" s="37" t="n">
        <v>2593.73</v>
      </c>
      <c r="U60" s="37" t="n">
        <v>2593.71</v>
      </c>
      <c r="V60" s="38" t="n">
        <v>2466</v>
      </c>
      <c r="W60" s="38" t="n">
        <v>2466</v>
      </c>
      <c r="X60" s="38" t="n">
        <v>2466</v>
      </c>
      <c r="Y60" s="38" t="n">
        <v>2466</v>
      </c>
      <c r="Z60" s="38" t="n">
        <v>2466</v>
      </c>
      <c r="AA60" s="36">
        <f>SUM(O60:U60)</f>
        <v/>
      </c>
      <c r="AB60" s="36">
        <f>SUM(O60:Z60)</f>
        <v/>
      </c>
      <c r="AC60" s="38" t="n">
        <v>2466</v>
      </c>
      <c r="AD60" s="38" t="n">
        <v>2466</v>
      </c>
      <c r="AE60" s="38" t="n">
        <v>2466</v>
      </c>
      <c r="AF60" s="38" t="n">
        <v>2466</v>
      </c>
      <c r="AG60" s="38" t="n">
        <v>2466</v>
      </c>
      <c r="AH60" s="38" t="n">
        <v>2466</v>
      </c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12.99</v>
      </c>
      <c r="C61" s="35" t="n">
        <v>0</v>
      </c>
      <c r="D61" s="35" t="n">
        <v>9.990000000000009</v>
      </c>
      <c r="E61" s="35" t="n">
        <v>0</v>
      </c>
      <c r="F61" s="35" t="n">
        <v>-5.13</v>
      </c>
      <c r="G61" s="35" t="n">
        <v>289.96</v>
      </c>
      <c r="H61" s="35" t="n">
        <v>2.92</v>
      </c>
      <c r="I61" s="35" t="n">
        <v>5.19</v>
      </c>
      <c r="J61" s="35" t="n">
        <v>5.69</v>
      </c>
      <c r="K61" s="35" t="n">
        <v>0</v>
      </c>
      <c r="L61" s="35" t="n">
        <v>2507.38</v>
      </c>
      <c r="M61" s="35" t="n">
        <v>254.99</v>
      </c>
      <c r="N61" s="36">
        <f>SUM(B61:M61)</f>
        <v/>
      </c>
      <c r="O61" s="37" t="n">
        <v>5384.61</v>
      </c>
      <c r="P61" s="37" t="n">
        <v>7655.49</v>
      </c>
      <c r="Q61" s="37" t="n">
        <v>7967.039999999999</v>
      </c>
      <c r="R61" s="37" t="n">
        <v>9289.66</v>
      </c>
      <c r="S61" s="37" t="n">
        <v>9122.59</v>
      </c>
      <c r="T61" s="37" t="n">
        <v>16372.61</v>
      </c>
      <c r="U61" s="37" t="n">
        <v>8138.370000000001</v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1194.76</v>
      </c>
      <c r="C62" s="35" t="n">
        <v>1981.34</v>
      </c>
      <c r="D62" s="35" t="n">
        <v>1997.94</v>
      </c>
      <c r="E62" s="35" t="n">
        <v>1411.23</v>
      </c>
      <c r="F62" s="35" t="n">
        <v>1075</v>
      </c>
      <c r="G62" s="35" t="n">
        <v>1494.6</v>
      </c>
      <c r="H62" s="35" t="n">
        <v>2705.84</v>
      </c>
      <c r="I62" s="35" t="n">
        <v>1179.39</v>
      </c>
      <c r="J62" s="35" t="n">
        <v>3300.01</v>
      </c>
      <c r="K62" s="35" t="n">
        <v>2471.48</v>
      </c>
      <c r="L62" s="35" t="n">
        <v>3585.76</v>
      </c>
      <c r="M62" s="35" t="n">
        <v>1496.43</v>
      </c>
      <c r="N62" s="36">
        <f>SUM(B62:M62)</f>
        <v/>
      </c>
      <c r="O62" s="37" t="n">
        <v>1610.78</v>
      </c>
      <c r="P62" s="37" t="n">
        <v>345.22</v>
      </c>
      <c r="Q62" s="37" t="n">
        <v>0</v>
      </c>
      <c r="R62" s="37" t="n">
        <v>43.47000000000003</v>
      </c>
      <c r="S62" s="37" t="n">
        <v>88.89</v>
      </c>
      <c r="T62" s="37" t="n">
        <v>1710.61</v>
      </c>
      <c r="U62" s="37" t="n">
        <v>1093.44</v>
      </c>
      <c r="V62" s="38" t="n">
        <v>1000</v>
      </c>
      <c r="W62" s="38" t="n">
        <v>1000</v>
      </c>
      <c r="X62" s="38" t="n">
        <v>1000</v>
      </c>
      <c r="Y62" s="38" t="n">
        <v>1000</v>
      </c>
      <c r="Z62" s="38" t="n">
        <v>1000</v>
      </c>
      <c r="AA62" s="36">
        <f>SUM(O62:U62)</f>
        <v/>
      </c>
      <c r="AB62" s="36">
        <f>SUM(O62:Z62)</f>
        <v/>
      </c>
      <c r="AC62" s="38" t="n">
        <v>1000</v>
      </c>
      <c r="AD62" s="38" t="n">
        <v>1000</v>
      </c>
      <c r="AE62" s="38" t="n">
        <v>1000</v>
      </c>
      <c r="AF62" s="38" t="n">
        <v>1000</v>
      </c>
      <c r="AG62" s="38" t="n">
        <v>1000</v>
      </c>
      <c r="AH62" s="38" t="n">
        <v>1000</v>
      </c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742.17</v>
      </c>
      <c r="C63" s="35" t="n">
        <v>1029.79</v>
      </c>
      <c r="D63" s="35" t="n">
        <v>1029.79</v>
      </c>
      <c r="E63" s="35" t="n">
        <v>1029.79</v>
      </c>
      <c r="F63" s="35" t="n">
        <v>1029.79</v>
      </c>
      <c r="G63" s="35" t="n">
        <v>1029.79</v>
      </c>
      <c r="H63" s="35" t="n">
        <v>1137.79</v>
      </c>
      <c r="I63" s="35" t="n">
        <v>1022.54</v>
      </c>
      <c r="J63" s="35" t="n">
        <v>1022.54</v>
      </c>
      <c r="K63" s="35" t="n">
        <v>1092.42</v>
      </c>
      <c r="L63" s="35" t="n">
        <v>1092.42</v>
      </c>
      <c r="M63" s="35" t="n">
        <v>1179.3</v>
      </c>
      <c r="N63" s="36">
        <f>SUM(B63:M63)</f>
        <v/>
      </c>
      <c r="O63" s="37" t="n">
        <v>0</v>
      </c>
      <c r="P63" s="37" t="n">
        <v>0</v>
      </c>
      <c r="Q63" s="37" t="n">
        <v>0</v>
      </c>
      <c r="R63" s="37" t="n">
        <v>0</v>
      </c>
      <c r="S63" s="37" t="n">
        <v>0</v>
      </c>
      <c r="T63" s="37" t="n">
        <v>0</v>
      </c>
      <c r="U63" s="37" t="n">
        <v>0</v>
      </c>
      <c r="V63" s="38" t="n">
        <v>1041</v>
      </c>
      <c r="W63" s="38" t="n">
        <v>1041</v>
      </c>
      <c r="X63" s="38" t="n">
        <v>1041</v>
      </c>
      <c r="Y63" s="38" t="n">
        <v>1041</v>
      </c>
      <c r="Z63" s="38" t="n">
        <v>1041</v>
      </c>
      <c r="AA63" s="36">
        <f>SUM(O63:U63)</f>
        <v/>
      </c>
      <c r="AB63" s="36">
        <f>SUM(O63:Z63)</f>
        <v/>
      </c>
      <c r="AC63" s="38" t="n">
        <v>1041</v>
      </c>
      <c r="AD63" s="38" t="n">
        <v>1041</v>
      </c>
      <c r="AE63" s="38" t="n">
        <v>1041</v>
      </c>
      <c r="AF63" s="38" t="n">
        <v>1041</v>
      </c>
      <c r="AG63" s="38" t="n">
        <v>1041</v>
      </c>
      <c r="AH63" s="38" t="n">
        <v>1041</v>
      </c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10532.4</v>
      </c>
      <c r="C65" s="35" t="n">
        <v>30</v>
      </c>
      <c r="D65" s="35" t="n">
        <v>22779.6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3504</v>
      </c>
      <c r="N65" s="36">
        <f>SUM(B65:M65)</f>
        <v/>
      </c>
      <c r="O65" s="37" t="n">
        <v>13797.88</v>
      </c>
      <c r="P65" s="37" t="n">
        <v>5720.969999999999</v>
      </c>
      <c r="Q65" s="37" t="n">
        <v>5427.91</v>
      </c>
      <c r="R65" s="37" t="n">
        <v>4311.21</v>
      </c>
      <c r="S65" s="37" t="n">
        <v>4359.15</v>
      </c>
      <c r="T65" s="37" t="n">
        <v>4667.76</v>
      </c>
      <c r="U65" s="37" t="n">
        <v>27831.66</v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 t="n">
        <v>0</v>
      </c>
      <c r="P66" s="37" t="n">
        <v>0</v>
      </c>
      <c r="Q66" s="37" t="n">
        <v>0</v>
      </c>
      <c r="R66" s="37" t="n">
        <v>0</v>
      </c>
      <c r="S66" s="37" t="n">
        <v>0</v>
      </c>
      <c r="T66" s="37" t="n">
        <v>0</v>
      </c>
      <c r="U66" s="37" t="n">
        <v>0</v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-4290.96</v>
      </c>
      <c r="C67" s="35" t="n">
        <v>23918.81</v>
      </c>
      <c r="D67" s="35" t="n">
        <v>6956.65</v>
      </c>
      <c r="E67" s="35" t="n">
        <v>17731.11</v>
      </c>
      <c r="F67" s="35" t="n">
        <v>12608.06</v>
      </c>
      <c r="G67" s="35" t="n">
        <v>5374.48</v>
      </c>
      <c r="H67" s="35" t="n">
        <v>5758.32</v>
      </c>
      <c r="I67" s="35" t="n">
        <v>5661.030000000001</v>
      </c>
      <c r="J67" s="35" t="n">
        <v>17475.36</v>
      </c>
      <c r="K67" s="35" t="n">
        <v>7906.360000000001</v>
      </c>
      <c r="L67" s="35" t="n">
        <v>6674.92</v>
      </c>
      <c r="M67" s="35" t="n">
        <v>5464.04</v>
      </c>
      <c r="N67" s="36">
        <f>SUM(B67:M67)</f>
        <v/>
      </c>
      <c r="O67" s="37" t="n">
        <v>0</v>
      </c>
      <c r="P67" s="37" t="n">
        <v>0</v>
      </c>
      <c r="Q67" s="37" t="n">
        <v>0</v>
      </c>
      <c r="R67" s="37" t="n">
        <v>0</v>
      </c>
      <c r="S67" s="37" t="n">
        <v>0</v>
      </c>
      <c r="T67" s="37" t="n">
        <v>0</v>
      </c>
      <c r="U67" s="37" t="n">
        <v>162.4</v>
      </c>
      <c r="V67" s="38" t="n">
        <v>6000</v>
      </c>
      <c r="W67" s="38" t="n">
        <v>6000</v>
      </c>
      <c r="X67" s="38" t="n">
        <v>6000</v>
      </c>
      <c r="Y67" s="38" t="n">
        <v>6000</v>
      </c>
      <c r="Z67" s="38" t="n">
        <v>6000</v>
      </c>
      <c r="AA67" s="36">
        <f>SUM(O67:U67)</f>
        <v/>
      </c>
      <c r="AB67" s="36">
        <f>SUM(O67:Z67)</f>
        <v/>
      </c>
      <c r="AC67" s="38" t="n">
        <v>6000</v>
      </c>
      <c r="AD67" s="38" t="n">
        <v>6000</v>
      </c>
      <c r="AE67" s="38" t="n">
        <v>6000</v>
      </c>
      <c r="AF67" s="38" t="n">
        <v>6000</v>
      </c>
      <c r="AG67" s="38" t="n">
        <v>6000</v>
      </c>
      <c r="AH67" s="38" t="n">
        <v>6000</v>
      </c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147.7</v>
      </c>
      <c r="C68" s="35" t="n">
        <v>172.2</v>
      </c>
      <c r="D68" s="35" t="n">
        <v>142.8</v>
      </c>
      <c r="E68" s="35" t="n">
        <v>191.45</v>
      </c>
      <c r="F68" s="35" t="n">
        <v>176.1</v>
      </c>
      <c r="G68" s="35" t="n">
        <v>144.45</v>
      </c>
      <c r="H68" s="35" t="n">
        <v>180.25</v>
      </c>
      <c r="I68" s="35" t="n">
        <v>154.35</v>
      </c>
      <c r="J68" s="35" t="n">
        <v>130.55</v>
      </c>
      <c r="K68" s="35" t="n">
        <v>140.7</v>
      </c>
      <c r="L68" s="35" t="n">
        <v>105.7</v>
      </c>
      <c r="M68" s="35" t="n">
        <v>156.45</v>
      </c>
      <c r="N68" s="36">
        <f>SUM(B68:M68)</f>
        <v/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8" t="n">
        <v>2600</v>
      </c>
      <c r="W68" s="38" t="n">
        <v>2600</v>
      </c>
      <c r="X68" s="38" t="n">
        <v>2600</v>
      </c>
      <c r="Y68" s="38" t="n">
        <v>2600</v>
      </c>
      <c r="Z68" s="38" t="n">
        <v>2600</v>
      </c>
      <c r="AA68" s="36">
        <f>SUM(O68:U68)</f>
        <v/>
      </c>
      <c r="AB68" s="36">
        <f>SUM(O68:Z68)</f>
        <v/>
      </c>
      <c r="AC68" s="38" t="n">
        <v>2600</v>
      </c>
      <c r="AD68" s="38" t="n">
        <v>2600</v>
      </c>
      <c r="AE68" s="38" t="n">
        <v>2600</v>
      </c>
      <c r="AF68" s="38" t="n">
        <v>2600</v>
      </c>
      <c r="AG68" s="38" t="n">
        <v>2600</v>
      </c>
      <c r="AH68" s="38" t="n">
        <v>2600</v>
      </c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105473.29</v>
      </c>
      <c r="C69" s="42" t="n">
        <v>127738.25</v>
      </c>
      <c r="D69" s="42" t="n">
        <v>131890.99</v>
      </c>
      <c r="E69" s="42" t="n">
        <v>179978.4</v>
      </c>
      <c r="F69" s="42" t="n">
        <v>113031.37</v>
      </c>
      <c r="G69" s="42" t="n">
        <v>127118.75</v>
      </c>
      <c r="H69" s="42" t="n">
        <v>127501.48</v>
      </c>
      <c r="I69" s="42" t="n">
        <v>144145.71</v>
      </c>
      <c r="J69" s="42" t="n">
        <v>202911.23</v>
      </c>
      <c r="K69" s="42" t="n">
        <v>133187.31</v>
      </c>
      <c r="L69" s="42" t="n">
        <v>143334.84</v>
      </c>
      <c r="M69" s="42" t="n">
        <v>461650.09</v>
      </c>
      <c r="N69" s="43">
        <f>SUM(B69:M69)</f>
        <v/>
      </c>
      <c r="O69" s="44" t="n">
        <v>0</v>
      </c>
      <c r="P69" s="44" t="n">
        <v>0</v>
      </c>
      <c r="Q69" s="44" t="n">
        <v>0</v>
      </c>
      <c r="R69" s="44" t="n">
        <v>0</v>
      </c>
      <c r="S69" s="44" t="n">
        <v>0</v>
      </c>
      <c r="T69" s="44" t="n">
        <v>0</v>
      </c>
      <c r="U69" s="44" t="n">
        <v>0</v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-124990.8</v>
      </c>
      <c r="C70" s="55" t="n">
        <v>-147887.8499999999</v>
      </c>
      <c r="D70" s="55" t="n">
        <v>-146464.83</v>
      </c>
      <c r="E70" s="55" t="n">
        <v>-192959.78</v>
      </c>
      <c r="F70" s="55" t="n">
        <v>-126275.91</v>
      </c>
      <c r="G70" s="55" t="n">
        <v>-152500.46</v>
      </c>
      <c r="H70" s="55" t="n">
        <v>-143191.9</v>
      </c>
      <c r="I70" s="55" t="n">
        <v>-157552.07</v>
      </c>
      <c r="J70" s="55" t="n">
        <v>-217376.64</v>
      </c>
      <c r="K70" s="55" t="n">
        <v>-150481.12</v>
      </c>
      <c r="L70" s="55" t="n">
        <v>-155007.52</v>
      </c>
      <c r="M70" s="55" t="n">
        <v>-470068.17</v>
      </c>
      <c r="N70" s="55">
        <f>SUM(B70:M70)</f>
        <v/>
      </c>
      <c r="O70" s="55" t="n">
        <v>0</v>
      </c>
      <c r="P70" s="55" t="n">
        <v>0</v>
      </c>
      <c r="Q70" s="55" t="n">
        <v>0</v>
      </c>
      <c r="R70" s="55" t="n">
        <v>0</v>
      </c>
      <c r="S70" s="55" t="n">
        <v>0</v>
      </c>
      <c r="T70" s="55" t="n">
        <v>0</v>
      </c>
      <c r="U70" s="55" t="n">
        <v>0</v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 t="n"/>
      <c r="AD70" s="55" t="n"/>
      <c r="AE70" s="55" t="n"/>
      <c r="AF70" s="55" t="n"/>
      <c r="AG70" s="55" t="n"/>
      <c r="AH70" s="55" t="n"/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8" t="n"/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63" t="inlineStr">
        <is>
          <t>Memo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34" t="inlineStr">
        <is>
          <t>Direct - Sales</t>
        </is>
      </c>
      <c r="B73" s="18" t="n">
        <v>0</v>
      </c>
      <c r="C73" s="18" t="n">
        <v>0</v>
      </c>
      <c r="D73" s="18" t="n">
        <v>0</v>
      </c>
      <c r="E73" s="18" t="n">
        <v>0</v>
      </c>
      <c r="F73" s="18" t="n">
        <v>0</v>
      </c>
      <c r="G73" s="18" t="n">
        <v>16.94</v>
      </c>
      <c r="H73" s="18" t="n">
        <v>0</v>
      </c>
      <c r="I73" s="18" t="n">
        <v>0</v>
      </c>
      <c r="J73" s="18" t="n">
        <v>850.5700000000001</v>
      </c>
      <c r="K73" s="18" t="n">
        <v>0</v>
      </c>
      <c r="L73" s="18" t="n">
        <v>730.24</v>
      </c>
      <c r="M73" s="18" t="n">
        <v>0</v>
      </c>
      <c r="N73" s="8" t="n"/>
      <c r="O73" s="60" t="n">
        <v>0</v>
      </c>
      <c r="P73" s="60" t="n">
        <v>0</v>
      </c>
      <c r="Q73" s="60" t="n">
        <v>0</v>
      </c>
      <c r="R73" s="60" t="n">
        <v>0</v>
      </c>
      <c r="S73" s="60" t="n">
        <v>0</v>
      </c>
      <c r="T73" s="60" t="n">
        <v>0</v>
      </c>
      <c r="U73" s="60" t="n">
        <v>0</v>
      </c>
      <c r="V73" s="20" t="n"/>
      <c r="W73" s="20" t="n"/>
      <c r="X73" s="20" t="n"/>
      <c r="Y73" s="20" t="n"/>
      <c r="Z73" s="20" t="n"/>
      <c r="AA73" s="60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34" t="inlineStr">
        <is>
          <t>Direct - Staff Cost</t>
        </is>
      </c>
      <c r="B74" s="18" t="n">
        <v>-6091.440000000001</v>
      </c>
      <c r="C74" s="18" t="n">
        <v>-9015.780000000001</v>
      </c>
      <c r="D74" s="18" t="n">
        <v>-4391.81</v>
      </c>
      <c r="E74" s="18" t="n">
        <v>-4281.74</v>
      </c>
      <c r="F74" s="18" t="n">
        <v>-4244.740000000001</v>
      </c>
      <c r="G74" s="18" t="n">
        <v>-8886.360000000001</v>
      </c>
      <c r="H74" s="18" t="n">
        <v>-5031.55</v>
      </c>
      <c r="I74" s="18" t="n">
        <v>-3980.68</v>
      </c>
      <c r="J74" s="18" t="n">
        <v>-4941.349999999999</v>
      </c>
      <c r="K74" s="18" t="n">
        <v>-7914.05</v>
      </c>
      <c r="L74" s="18" t="n">
        <v>-5092.52</v>
      </c>
      <c r="M74" s="18" t="n">
        <v>-2688.92</v>
      </c>
      <c r="N74" s="8" t="n"/>
      <c r="O74" s="60" t="n">
        <v>0</v>
      </c>
      <c r="P74" s="60" t="n">
        <v>0</v>
      </c>
      <c r="Q74" s="60" t="n">
        <v>0</v>
      </c>
      <c r="R74" s="60" t="n">
        <v>0</v>
      </c>
      <c r="S74" s="60" t="n">
        <v>0</v>
      </c>
      <c r="T74" s="60" t="n">
        <v>0</v>
      </c>
      <c r="U74" s="60" t="n">
        <v>0</v>
      </c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60" t="inlineStr">
        <is>
          <t>Direct - Childcare Cost</t>
        </is>
      </c>
      <c r="B75" s="18" t="n">
        <v>-703.15</v>
      </c>
      <c r="C75" s="18" t="n">
        <v>-183.44</v>
      </c>
      <c r="D75" s="18" t="n">
        <v>-316.26</v>
      </c>
      <c r="E75" s="18" t="n">
        <v>-240.79</v>
      </c>
      <c r="F75" s="18" t="n">
        <v>-44.48</v>
      </c>
      <c r="G75" s="18" t="n">
        <v>-125.3</v>
      </c>
      <c r="H75" s="18" t="n">
        <v>-461.6200000000001</v>
      </c>
      <c r="I75" s="18" t="n">
        <v>-125.85</v>
      </c>
      <c r="J75" s="18" t="n">
        <v>-73.06999999999999</v>
      </c>
      <c r="K75" s="18" t="n">
        <v>-92.48999999999999</v>
      </c>
      <c r="L75" s="18" t="n">
        <v>-116.65</v>
      </c>
      <c r="M75" s="18" t="n">
        <v>-50.44</v>
      </c>
      <c r="N75" s="8" t="n"/>
      <c r="O75" s="60" t="n">
        <v>0</v>
      </c>
      <c r="P75" s="60" t="n">
        <v>0</v>
      </c>
      <c r="Q75" s="60" t="n">
        <v>0</v>
      </c>
      <c r="R75" s="60" t="n">
        <v>0</v>
      </c>
      <c r="S75" s="60" t="n">
        <v>0</v>
      </c>
      <c r="T75" s="60" t="n">
        <v>0</v>
      </c>
      <c r="U75" s="60" t="n">
        <v>0</v>
      </c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60" t="inlineStr">
        <is>
          <t>Fee Uplift not yet in calcs - offer changing this is purely on FAMLY current data</t>
        </is>
      </c>
      <c r="AP75" s="8" t="n"/>
    </row>
    <row r="76">
      <c r="A76" s="60" t="inlineStr">
        <is>
          <t>Direct - Premises &amp; Admin</t>
        </is>
      </c>
      <c r="B76" s="18" t="n">
        <v>-12722.92</v>
      </c>
      <c r="C76" s="18" t="n">
        <v>-10950.38</v>
      </c>
      <c r="D76" s="18" t="n">
        <v>-9865.77</v>
      </c>
      <c r="E76" s="18" t="n">
        <v>-8458.85</v>
      </c>
      <c r="F76" s="18" t="n">
        <v>-8955.32</v>
      </c>
      <c r="G76" s="18" t="n">
        <v>-16386.99</v>
      </c>
      <c r="H76" s="18" t="n">
        <v>-10197.25</v>
      </c>
      <c r="I76" s="18" t="n">
        <v>-9299.83</v>
      </c>
      <c r="J76" s="18" t="n">
        <v>-10301.56</v>
      </c>
      <c r="K76" s="18" t="n">
        <v>-9287.27</v>
      </c>
      <c r="L76" s="18" t="n">
        <v>-7193.749999999999</v>
      </c>
      <c r="M76" s="18" t="n">
        <v>-5678.72</v>
      </c>
      <c r="N76" s="8" t="n"/>
      <c r="O76" s="60" t="n">
        <v>0</v>
      </c>
      <c r="P76" s="60" t="n">
        <v>0</v>
      </c>
      <c r="Q76" s="60" t="n">
        <v>0</v>
      </c>
      <c r="R76" s="60" t="n">
        <v>0</v>
      </c>
      <c r="S76" s="60" t="n">
        <v>0</v>
      </c>
      <c r="T76" s="60" t="n">
        <v>0</v>
      </c>
      <c r="U76" s="60" t="n">
        <v>0</v>
      </c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In-Direct - Staff Cost</t>
        </is>
      </c>
      <c r="B77" s="18" t="n">
        <v>-93611.44</v>
      </c>
      <c r="C77" s="18" t="n">
        <v>-96112.64</v>
      </c>
      <c r="D77" s="18" t="n">
        <v>-95857.95999999999</v>
      </c>
      <c r="E77" s="18" t="n">
        <v>-156700.39</v>
      </c>
      <c r="F77" s="18" t="n">
        <v>-95895.40999999999</v>
      </c>
      <c r="G77" s="18" t="n">
        <v>-114717.56</v>
      </c>
      <c r="H77" s="18" t="n">
        <v>-114931.94</v>
      </c>
      <c r="I77" s="18" t="n">
        <v>-131353.52</v>
      </c>
      <c r="J77" s="18" t="n">
        <v>-154543.8</v>
      </c>
      <c r="K77" s="18" t="n">
        <v>-118297.07</v>
      </c>
      <c r="L77" s="18" t="n">
        <v>-125174.38</v>
      </c>
      <c r="M77" s="18" t="n">
        <v>-443091.7</v>
      </c>
      <c r="N77" s="8" t="n"/>
      <c r="O77" s="60" t="n">
        <v>0</v>
      </c>
      <c r="P77" s="60" t="n">
        <v>0</v>
      </c>
      <c r="Q77" s="60" t="n">
        <v>0</v>
      </c>
      <c r="R77" s="60" t="n">
        <v>0</v>
      </c>
      <c r="S77" s="60" t="n">
        <v>0</v>
      </c>
      <c r="T77" s="60" t="n">
        <v>0</v>
      </c>
      <c r="U77" s="60" t="n">
        <v>0</v>
      </c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Overheads</t>
        </is>
      </c>
      <c r="B78" s="18" t="n">
        <v>-11861.85</v>
      </c>
      <c r="C78" s="18" t="n">
        <v>-31625.61</v>
      </c>
      <c r="D78" s="18" t="n">
        <v>-36033.03</v>
      </c>
      <c r="E78" s="18" t="n">
        <v>-23278.01</v>
      </c>
      <c r="F78" s="18" t="n">
        <v>-17135.96</v>
      </c>
      <c r="G78" s="18" t="n">
        <v>-12401.19</v>
      </c>
      <c r="H78" s="18" t="n">
        <v>-12569.54</v>
      </c>
      <c r="I78" s="18" t="n">
        <v>-12792.19</v>
      </c>
      <c r="J78" s="18" t="n">
        <v>-48367.43</v>
      </c>
      <c r="K78" s="18" t="n">
        <v>-14890.24</v>
      </c>
      <c r="L78" s="18" t="n">
        <v>-18160.46</v>
      </c>
      <c r="M78" s="18" t="n">
        <v>-18558.39</v>
      </c>
      <c r="N78" s="8" t="n"/>
      <c r="O78" s="60" t="n">
        <v>0</v>
      </c>
      <c r="P78" s="60" t="n">
        <v>0</v>
      </c>
      <c r="Q78" s="60" t="n">
        <v>0</v>
      </c>
      <c r="R78" s="60" t="n">
        <v>0</v>
      </c>
      <c r="S78" s="60" t="n">
        <v>0</v>
      </c>
      <c r="T78" s="60" t="n">
        <v>0</v>
      </c>
      <c r="U78" s="60" t="n">
        <v>0</v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 ht="15.75" customHeight="1">
      <c r="A79" s="8" t="n"/>
      <c r="B79" s="67" t="n">
        <v>-124990.8</v>
      </c>
      <c r="C79" s="67" t="n">
        <v>-147887.85</v>
      </c>
      <c r="D79" s="67" t="n">
        <v>-146464.83</v>
      </c>
      <c r="E79" s="67" t="n">
        <v>-192959.78</v>
      </c>
      <c r="F79" s="67" t="n">
        <v>-126275.91</v>
      </c>
      <c r="G79" s="67" t="n">
        <v>-152500.46</v>
      </c>
      <c r="H79" s="67" t="n">
        <v>-143191.9</v>
      </c>
      <c r="I79" s="67" t="n">
        <v>-157552.07</v>
      </c>
      <c r="J79" s="67" t="n">
        <v>-217376.64</v>
      </c>
      <c r="K79" s="67" t="n">
        <v>-150481.12</v>
      </c>
      <c r="L79" s="67" t="n">
        <v>-155007.52</v>
      </c>
      <c r="M79" s="67" t="n">
        <v>-470068.17</v>
      </c>
      <c r="N79" s="8" t="n"/>
      <c r="O79" s="64" t="n">
        <v>0</v>
      </c>
      <c r="P79" s="64" t="n">
        <v>0</v>
      </c>
      <c r="Q79" s="64" t="n">
        <v>0</v>
      </c>
      <c r="R79" s="64" t="n">
        <v>0</v>
      </c>
      <c r="S79" s="64" t="n">
        <v>0</v>
      </c>
      <c r="T79" s="64" t="n">
        <v>0</v>
      </c>
      <c r="U79" s="64" t="n">
        <v>0</v>
      </c>
      <c r="V79" s="68" t="n"/>
      <c r="W79" s="68" t="n"/>
      <c r="X79" s="68" t="n"/>
      <c r="Y79" s="68" t="n"/>
      <c r="Z79" s="68" t="n"/>
      <c r="AA79" s="60">
        <f>SUM(O79:T79)</f>
        <v/>
      </c>
      <c r="AB79" s="8" t="n"/>
      <c r="AC79" s="68" t="n"/>
      <c r="AD79" s="68" t="n"/>
      <c r="AE79" s="68" t="n"/>
      <c r="AF79" s="68" t="n"/>
      <c r="AG79" s="68" t="n"/>
      <c r="AH79" s="6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18" t="n">
        <v>0</v>
      </c>
      <c r="C80" s="18" t="n">
        <v>0</v>
      </c>
      <c r="D80" s="18" t="n">
        <v>0</v>
      </c>
      <c r="E80" s="18" t="n">
        <v>0</v>
      </c>
      <c r="F80" s="18" t="n">
        <v>0</v>
      </c>
      <c r="G80" s="18" t="n">
        <v>0</v>
      </c>
      <c r="H80" s="18" t="n">
        <v>0</v>
      </c>
      <c r="I80" s="18" t="n">
        <v>0</v>
      </c>
      <c r="J80" s="18" t="n">
        <v>0</v>
      </c>
      <c r="K80" s="18" t="n">
        <v>0</v>
      </c>
      <c r="L80" s="18" t="n">
        <v>0</v>
      </c>
      <c r="M80" s="18" t="n">
        <v>0</v>
      </c>
      <c r="N80" s="8" t="n"/>
      <c r="O80" s="60" t="n">
        <v>0</v>
      </c>
      <c r="P80" s="60" t="n">
        <v>0</v>
      </c>
      <c r="Q80" s="60" t="n">
        <v>0</v>
      </c>
      <c r="R80" s="60" t="n">
        <v>0</v>
      </c>
      <c r="S80" s="60" t="n">
        <v>0</v>
      </c>
      <c r="T80" s="60" t="n">
        <v>0</v>
      </c>
      <c r="U80" s="60" t="n">
        <v>0</v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34" t="inlineStr">
        <is>
          <t>CHECK TO TB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60" t="n">
        <v>124990.8</v>
      </c>
      <c r="C83" s="60" t="n">
        <v>147887.85</v>
      </c>
      <c r="D83" s="60" t="n">
        <v>146464.83</v>
      </c>
      <c r="E83" s="60" t="n">
        <v>192959.78</v>
      </c>
      <c r="F83" s="60" t="n">
        <v>126275.91</v>
      </c>
      <c r="G83" s="60" t="n">
        <v>152500.46</v>
      </c>
      <c r="H83" s="60" t="n">
        <v>143191.9</v>
      </c>
      <c r="I83" s="60" t="n">
        <v>157552.0699999999</v>
      </c>
      <c r="J83" s="60" t="n">
        <v>217376.6400000001</v>
      </c>
      <c r="K83" s="60" t="n">
        <v>150481.12</v>
      </c>
      <c r="L83" s="60" t="n">
        <v>155007.52</v>
      </c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59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61" t="n"/>
      <c r="AF87" s="62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61" t="n"/>
      <c r="AF88" s="62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61" t="n"/>
      <c r="AF89" s="62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61" t="n"/>
      <c r="AF90" s="62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61" t="n"/>
      <c r="AF91" s="62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42578125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CCL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4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20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6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6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2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6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37" t="n">
        <v>0</v>
      </c>
      <c r="U8" s="38" t="n"/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 t="n">
        <v>0</v>
      </c>
      <c r="P9" s="37" t="n">
        <v>0</v>
      </c>
      <c r="Q9" s="37" t="n">
        <v>0</v>
      </c>
      <c r="R9" s="37" t="n">
        <v>0</v>
      </c>
      <c r="S9" s="37" t="n">
        <v>0</v>
      </c>
      <c r="T9" s="37" t="n">
        <v>0</v>
      </c>
      <c r="U9" s="38" t="n"/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 t="n">
        <v>0</v>
      </c>
      <c r="P10" s="37" t="n">
        <v>0</v>
      </c>
      <c r="Q10" s="37" t="n">
        <v>0</v>
      </c>
      <c r="R10" s="37" t="n">
        <v>0</v>
      </c>
      <c r="S10" s="37" t="n">
        <v>0</v>
      </c>
      <c r="T10" s="37" t="n">
        <v>0</v>
      </c>
      <c r="U10" s="38" t="n"/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3">
        <f>SUM(B11:M11)</f>
        <v/>
      </c>
      <c r="O11" s="44" t="n">
        <v>0</v>
      </c>
      <c r="P11" s="44" t="n">
        <v>0</v>
      </c>
      <c r="Q11" s="44" t="n">
        <v>0</v>
      </c>
      <c r="R11" s="44" t="n">
        <v>0</v>
      </c>
      <c r="S11" s="44" t="n">
        <v>0</v>
      </c>
      <c r="T11" s="44" t="n">
        <v>0</v>
      </c>
      <c r="U11" s="45" t="n">
        <v>0</v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2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 t="n">
        <v>0</v>
      </c>
      <c r="P13" s="47" t="n">
        <v>0</v>
      </c>
      <c r="Q13" s="47" t="n">
        <v>0</v>
      </c>
      <c r="R13" s="47" t="n">
        <v>0</v>
      </c>
      <c r="S13" s="47" t="n">
        <v>0</v>
      </c>
      <c r="T13" s="47" t="n">
        <v>0</v>
      </c>
      <c r="U13" s="47" t="n">
        <v>0</v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 t="n"/>
      <c r="AD13" s="47" t="n"/>
      <c r="AE13" s="47" t="n"/>
      <c r="AF13" s="47" t="n"/>
      <c r="AG13" s="47" t="n"/>
      <c r="AH13" s="47" t="n"/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2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6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8" t="n"/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37" t="n">
        <v>0</v>
      </c>
      <c r="U17" s="38" t="n"/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37" t="n">
        <v>0</v>
      </c>
      <c r="U18" s="38" t="n"/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0</v>
      </c>
      <c r="U19" s="38" t="n"/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252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0</v>
      </c>
      <c r="M20" s="35" t="n">
        <v>0</v>
      </c>
      <c r="N20" s="36">
        <f>SUM(B20:M20)</f>
        <v/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8" t="n"/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0</v>
      </c>
      <c r="K21" s="35" t="n">
        <v>0</v>
      </c>
      <c r="L21" s="35" t="n">
        <v>0</v>
      </c>
      <c r="M21" s="35" t="n">
        <v>0</v>
      </c>
      <c r="N21" s="36">
        <f>SUM(B21:M21)</f>
        <v/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37" t="n">
        <v>0</v>
      </c>
      <c r="U21" s="38" t="n"/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1917.6</v>
      </c>
      <c r="G22" s="35" t="n">
        <v>380.58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8" t="n"/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8" t="n"/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 t="n">
        <v>0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8" t="n"/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0</v>
      </c>
      <c r="C25" s="42" t="n">
        <v>0</v>
      </c>
      <c r="D25" s="42" t="n">
        <v>0</v>
      </c>
      <c r="E25" s="42" t="n">
        <v>0</v>
      </c>
      <c r="F25" s="42" t="n">
        <v>1917.6</v>
      </c>
      <c r="G25" s="42" t="n">
        <v>632.5799999999999</v>
      </c>
      <c r="H25" s="42" t="n">
        <v>0</v>
      </c>
      <c r="I25" s="42" t="n">
        <v>0</v>
      </c>
      <c r="J25" s="42" t="n">
        <v>0</v>
      </c>
      <c r="K25" s="42" t="n">
        <v>0</v>
      </c>
      <c r="L25" s="42" t="n">
        <v>0</v>
      </c>
      <c r="M25" s="42" t="n">
        <v>0</v>
      </c>
      <c r="N25" s="43">
        <f>SUM(B25:M25)</f>
        <v/>
      </c>
      <c r="O25" s="44" t="n">
        <v>0</v>
      </c>
      <c r="P25" s="44" t="n">
        <v>0</v>
      </c>
      <c r="Q25" s="44" t="n">
        <v>0</v>
      </c>
      <c r="R25" s="44" t="n">
        <v>0</v>
      </c>
      <c r="S25" s="44" t="n">
        <v>0</v>
      </c>
      <c r="T25" s="44" t="n">
        <v>0</v>
      </c>
      <c r="U25" s="45" t="n">
        <v>0</v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2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5" t="n">
        <v>20.97</v>
      </c>
      <c r="I27" s="35" t="n">
        <v>0</v>
      </c>
      <c r="J27" s="35" t="n">
        <v>0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 t="n">
        <v>0</v>
      </c>
      <c r="P27" s="37" t="n">
        <v>0</v>
      </c>
      <c r="Q27" s="37" t="n">
        <v>0</v>
      </c>
      <c r="R27" s="37" t="n">
        <v>0</v>
      </c>
      <c r="S27" s="37" t="n">
        <v>0</v>
      </c>
      <c r="T27" s="37" t="n">
        <v>0</v>
      </c>
      <c r="U27" s="38" t="n"/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8" t="n"/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62.78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0</v>
      </c>
      <c r="K28" s="35" t="n">
        <v>0</v>
      </c>
      <c r="L28" s="35" t="n">
        <v>0</v>
      </c>
      <c r="M28" s="35" t="n">
        <v>0</v>
      </c>
      <c r="N28" s="36">
        <f>SUM(B28:M28)</f>
        <v/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8" t="n"/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165.27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0</v>
      </c>
      <c r="L29" s="35" t="n">
        <v>0</v>
      </c>
      <c r="M29" s="35" t="n">
        <v>0</v>
      </c>
      <c r="N29" s="36">
        <f>SUM(B29:M29)</f>
        <v/>
      </c>
      <c r="O29" s="37" t="n">
        <v>0</v>
      </c>
      <c r="P29" s="37" t="n">
        <v>0</v>
      </c>
      <c r="Q29" s="37" t="n">
        <v>0</v>
      </c>
      <c r="R29" s="37" t="n">
        <v>0</v>
      </c>
      <c r="S29" s="37" t="n">
        <v>0</v>
      </c>
      <c r="T29" s="37" t="n">
        <v>0</v>
      </c>
      <c r="U29" s="38" t="n"/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8" t="n"/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 t="n">
        <v>0</v>
      </c>
      <c r="P30" s="37" t="n">
        <v>0</v>
      </c>
      <c r="Q30" s="37" t="n">
        <v>0</v>
      </c>
      <c r="R30" s="37" t="n">
        <v>0</v>
      </c>
      <c r="S30" s="37" t="n">
        <v>0</v>
      </c>
      <c r="T30" s="37" t="n">
        <v>0</v>
      </c>
      <c r="U30" s="38" t="n"/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47.98</v>
      </c>
      <c r="L31" s="35" t="n">
        <v>0</v>
      </c>
      <c r="M31" s="35" t="n">
        <v>0</v>
      </c>
      <c r="N31" s="36">
        <f>SUM(B31:M31)</f>
        <v/>
      </c>
      <c r="O31" s="37" t="n">
        <v>0</v>
      </c>
      <c r="P31" s="37" t="n">
        <v>0</v>
      </c>
      <c r="Q31" s="37" t="n">
        <v>0</v>
      </c>
      <c r="R31" s="37" t="n">
        <v>0</v>
      </c>
      <c r="S31" s="37" t="n">
        <v>0</v>
      </c>
      <c r="T31" s="37" t="n">
        <v>0</v>
      </c>
      <c r="U31" s="38" t="n"/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 t="n">
        <v>0</v>
      </c>
      <c r="P32" s="37" t="n">
        <v>0</v>
      </c>
      <c r="Q32" s="37" t="n">
        <v>0</v>
      </c>
      <c r="R32" s="37" t="n">
        <v>0</v>
      </c>
      <c r="S32" s="37" t="n">
        <v>0</v>
      </c>
      <c r="T32" s="37" t="n">
        <v>0</v>
      </c>
      <c r="U32" s="38" t="n"/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8" t="n"/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 t="n">
        <v>0</v>
      </c>
      <c r="P33" s="37" t="n">
        <v>0</v>
      </c>
      <c r="Q33" s="37" t="n">
        <v>0</v>
      </c>
      <c r="R33" s="37" t="n">
        <v>0</v>
      </c>
      <c r="S33" s="37" t="n">
        <v>0</v>
      </c>
      <c r="T33" s="37" t="n">
        <v>0</v>
      </c>
      <c r="U33" s="38" t="n"/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228.05</v>
      </c>
      <c r="C34" s="42" t="n">
        <v>0</v>
      </c>
      <c r="D34" s="42" t="n">
        <v>0</v>
      </c>
      <c r="E34" s="42" t="n">
        <v>0</v>
      </c>
      <c r="F34" s="42" t="n">
        <v>0</v>
      </c>
      <c r="G34" s="42" t="n">
        <v>0</v>
      </c>
      <c r="H34" s="42" t="n">
        <v>20.97</v>
      </c>
      <c r="I34" s="42" t="n">
        <v>0</v>
      </c>
      <c r="J34" s="42" t="n">
        <v>0</v>
      </c>
      <c r="K34" s="42" t="n">
        <v>47.98</v>
      </c>
      <c r="L34" s="42" t="n">
        <v>0</v>
      </c>
      <c r="M34" s="42" t="n">
        <v>0</v>
      </c>
      <c r="N34" s="43">
        <f>SUM(B34:M34)</f>
        <v/>
      </c>
      <c r="O34" s="44" t="n">
        <v>0</v>
      </c>
      <c r="P34" s="44" t="n">
        <v>0</v>
      </c>
      <c r="Q34" s="44" t="n">
        <v>0</v>
      </c>
      <c r="R34" s="44" t="n">
        <v>0</v>
      </c>
      <c r="S34" s="44" t="n">
        <v>0</v>
      </c>
      <c r="T34" s="44" t="n">
        <v>0</v>
      </c>
      <c r="U34" s="45" t="n">
        <v>0</v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2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8" t="n"/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0</v>
      </c>
      <c r="C37" s="35" t="n">
        <v>0</v>
      </c>
      <c r="D37" s="35" t="n">
        <v>0</v>
      </c>
      <c r="E37" s="35" t="n">
        <v>0</v>
      </c>
      <c r="F37" s="35" t="n">
        <v>0</v>
      </c>
      <c r="G37" s="35" t="n">
        <v>0</v>
      </c>
      <c r="H37" s="35" t="n">
        <v>0</v>
      </c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  <c r="N37" s="36">
        <f>SUM(B37:M37)</f>
        <v/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8" t="n"/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0</v>
      </c>
      <c r="C38" s="35" t="n">
        <v>0</v>
      </c>
      <c r="D38" s="35" t="n">
        <v>0</v>
      </c>
      <c r="E38" s="35" t="n">
        <v>0</v>
      </c>
      <c r="F38" s="35" t="n">
        <v>3705.06</v>
      </c>
      <c r="G38" s="35" t="n">
        <v>0</v>
      </c>
      <c r="H38" s="35" t="n">
        <v>0</v>
      </c>
      <c r="I38" s="35" t="n">
        <v>1930.97</v>
      </c>
      <c r="J38" s="35" t="n">
        <v>0</v>
      </c>
      <c r="K38" s="35" t="n">
        <v>0</v>
      </c>
      <c r="L38" s="35" t="n">
        <v>0</v>
      </c>
      <c r="M38" s="35" t="n">
        <v>0</v>
      </c>
      <c r="N38" s="36">
        <f>SUM(B38:M38)</f>
        <v/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8" t="n"/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0</v>
      </c>
      <c r="C39" s="35" t="n">
        <v>120</v>
      </c>
      <c r="D39" s="35" t="n">
        <v>42</v>
      </c>
      <c r="E39" s="35" t="n">
        <v>0</v>
      </c>
      <c r="F39" s="35" t="n">
        <v>0</v>
      </c>
      <c r="G39" s="35" t="n">
        <v>15</v>
      </c>
      <c r="H39" s="35" t="n">
        <v>0</v>
      </c>
      <c r="I39" s="35" t="n">
        <v>0</v>
      </c>
      <c r="J39" s="35" t="n">
        <v>68.48999999999999</v>
      </c>
      <c r="K39" s="35" t="n">
        <v>405</v>
      </c>
      <c r="L39" s="35" t="n">
        <v>0</v>
      </c>
      <c r="M39" s="35" t="n">
        <v>0</v>
      </c>
      <c r="N39" s="36">
        <f>SUM(B39:M39)</f>
        <v/>
      </c>
      <c r="O39" s="37" t="n">
        <v>0</v>
      </c>
      <c r="P39" s="37" t="n">
        <v>0</v>
      </c>
      <c r="Q39" s="37" t="n">
        <v>0</v>
      </c>
      <c r="R39" s="37" t="n">
        <v>0</v>
      </c>
      <c r="S39" s="37" t="n">
        <v>0</v>
      </c>
      <c r="T39" s="37" t="n">
        <v>0</v>
      </c>
      <c r="U39" s="38" t="n"/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8" t="n"/>
      <c r="V40" s="38" t="n"/>
      <c r="W40" s="38" t="n"/>
      <c r="X40" s="38" t="n"/>
      <c r="Y40" s="38" t="n"/>
      <c r="Z40" s="38" t="n"/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0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  <c r="N41" s="36">
        <f>SUM(B41:M41)</f>
        <v/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8" t="n"/>
      <c r="V41" s="38" t="n"/>
      <c r="W41" s="38" t="n"/>
      <c r="X41" s="38" t="n"/>
      <c r="Y41" s="38" t="n"/>
      <c r="Z41" s="38" t="n"/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420</v>
      </c>
      <c r="C42" s="35" t="n">
        <v>420</v>
      </c>
      <c r="D42" s="35" t="n">
        <v>420</v>
      </c>
      <c r="E42" s="35" t="n">
        <v>0</v>
      </c>
      <c r="F42" s="35" t="n">
        <v>0</v>
      </c>
      <c r="G42" s="35" t="n">
        <v>0</v>
      </c>
      <c r="H42" s="35" t="n">
        <v>1260</v>
      </c>
      <c r="I42" s="35" t="n">
        <v>0</v>
      </c>
      <c r="J42" s="35" t="n">
        <v>0</v>
      </c>
      <c r="K42" s="35" t="n">
        <v>35.97</v>
      </c>
      <c r="L42" s="35" t="n">
        <v>0</v>
      </c>
      <c r="M42" s="35" t="n">
        <v>0</v>
      </c>
      <c r="N42" s="36">
        <f>SUM(B42:M42)</f>
        <v/>
      </c>
      <c r="O42" s="37" t="n">
        <v>0</v>
      </c>
      <c r="P42" s="37" t="n">
        <v>0</v>
      </c>
      <c r="Q42" s="37" t="n">
        <v>0</v>
      </c>
      <c r="R42" s="37" t="n">
        <v>0</v>
      </c>
      <c r="S42" s="37" t="n">
        <v>0</v>
      </c>
      <c r="T42" s="37" t="n">
        <v>0</v>
      </c>
      <c r="U42" s="38" t="n"/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4691.72</v>
      </c>
      <c r="C43" s="35" t="n">
        <v>301.64</v>
      </c>
      <c r="D43" s="35" t="n">
        <v>379.31</v>
      </c>
      <c r="E43" s="35" t="n">
        <v>5181.32</v>
      </c>
      <c r="F43" s="35" t="n">
        <v>449.51</v>
      </c>
      <c r="G43" s="35" t="n">
        <v>423.26</v>
      </c>
      <c r="H43" s="35" t="n">
        <v>4906.49</v>
      </c>
      <c r="I43" s="35" t="n">
        <v>843.59</v>
      </c>
      <c r="J43" s="35" t="n">
        <v>1265.45</v>
      </c>
      <c r="K43" s="35" t="n">
        <v>2046.01</v>
      </c>
      <c r="L43" s="35" t="n">
        <v>1891.51</v>
      </c>
      <c r="M43" s="35" t="n">
        <v>1691.85</v>
      </c>
      <c r="N43" s="36">
        <f>SUM(B43:M43)</f>
        <v/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8" t="n"/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8" t="n"/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0</v>
      </c>
      <c r="P45" s="37" t="n">
        <v>0</v>
      </c>
      <c r="Q45" s="37" t="n">
        <v>0</v>
      </c>
      <c r="R45" s="37" t="n">
        <v>0</v>
      </c>
      <c r="S45" s="37" t="n">
        <v>0</v>
      </c>
      <c r="T45" s="37" t="n">
        <v>0</v>
      </c>
      <c r="U45" s="38" t="n"/>
      <c r="V45" s="38" t="n"/>
      <c r="W45" s="38" t="n"/>
      <c r="X45" s="38" t="n"/>
      <c r="Y45" s="38" t="n"/>
      <c r="Z45" s="38" t="n"/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8" t="n"/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5111.72</v>
      </c>
      <c r="C47" s="42" t="n">
        <v>841.64</v>
      </c>
      <c r="D47" s="42" t="n">
        <v>841.3099999999999</v>
      </c>
      <c r="E47" s="42" t="n">
        <v>5181.32</v>
      </c>
      <c r="F47" s="42" t="n">
        <v>4154.57</v>
      </c>
      <c r="G47" s="42" t="n">
        <v>438.26</v>
      </c>
      <c r="H47" s="42" t="n">
        <v>6166.49</v>
      </c>
      <c r="I47" s="42" t="n">
        <v>2774.56</v>
      </c>
      <c r="J47" s="42" t="n">
        <v>1333.94</v>
      </c>
      <c r="K47" s="42" t="n">
        <v>2486.98</v>
      </c>
      <c r="L47" s="42" t="n">
        <v>1891.51</v>
      </c>
      <c r="M47" s="42" t="n">
        <v>1691.85</v>
      </c>
      <c r="N47" s="52">
        <f>SUM(B47:M47)</f>
        <v/>
      </c>
      <c r="O47" s="44" t="n">
        <v>0</v>
      </c>
      <c r="P47" s="44" t="n">
        <v>0</v>
      </c>
      <c r="Q47" s="44" t="n">
        <v>0</v>
      </c>
      <c r="R47" s="44" t="n">
        <v>0</v>
      </c>
      <c r="S47" s="44" t="n">
        <v>0</v>
      </c>
      <c r="T47" s="44" t="n">
        <v>0</v>
      </c>
      <c r="U47" s="45" t="n">
        <v>0</v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5339.77</v>
      </c>
      <c r="C48" s="23" t="n">
        <v>841.64</v>
      </c>
      <c r="D48" s="23" t="n">
        <v>841.3099999999999</v>
      </c>
      <c r="E48" s="23" t="n">
        <v>5181.32</v>
      </c>
      <c r="F48" s="23" t="n">
        <v>6072.17</v>
      </c>
      <c r="G48" s="23" t="n">
        <v>1070.84</v>
      </c>
      <c r="H48" s="23" t="n">
        <v>6187.46</v>
      </c>
      <c r="I48" s="23" t="n">
        <v>2774.56</v>
      </c>
      <c r="J48" s="23" t="n">
        <v>1333.94</v>
      </c>
      <c r="K48" s="23" t="n">
        <v>2534.96</v>
      </c>
      <c r="L48" s="23" t="n">
        <v>1891.51</v>
      </c>
      <c r="M48" s="23" t="n">
        <v>1691.85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6" t="n">
        <v>0</v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20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-5339.77</v>
      </c>
      <c r="C50" s="55" t="n">
        <v>-841.64</v>
      </c>
      <c r="D50" s="55" t="n">
        <v>-841.3099999999999</v>
      </c>
      <c r="E50" s="55" t="n">
        <v>-5181.32</v>
      </c>
      <c r="F50" s="55" t="n">
        <v>-6072.17</v>
      </c>
      <c r="G50" s="55" t="n">
        <v>-1070.84</v>
      </c>
      <c r="H50" s="55" t="n">
        <v>-6187.46</v>
      </c>
      <c r="I50" s="55" t="n">
        <v>-2774.56</v>
      </c>
      <c r="J50" s="55" t="n">
        <v>-1333.94</v>
      </c>
      <c r="K50" s="55" t="n">
        <v>-2534.96</v>
      </c>
      <c r="L50" s="55" t="n">
        <v>-1891.51</v>
      </c>
      <c r="M50" s="55" t="n">
        <v>-1691.85</v>
      </c>
      <c r="N50" s="55">
        <f>SUM(B50:M50)</f>
        <v/>
      </c>
      <c r="O50" s="55" t="n">
        <v>0</v>
      </c>
      <c r="P50" s="55" t="n">
        <v>0</v>
      </c>
      <c r="Q50" s="55" t="n">
        <v>0</v>
      </c>
      <c r="R50" s="55" t="n">
        <v>0</v>
      </c>
      <c r="S50" s="55" t="n">
        <v>0</v>
      </c>
      <c r="T50" s="55" t="n">
        <v>0</v>
      </c>
      <c r="U50" s="55" t="n">
        <v>0</v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20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20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 t="n">
        <v>110561.6</v>
      </c>
      <c r="P53" s="37" t="n">
        <v>104194.85</v>
      </c>
      <c r="Q53" s="37" t="n">
        <v>122684.97</v>
      </c>
      <c r="R53" s="37" t="n">
        <v>172859.62</v>
      </c>
      <c r="S53" s="37" t="n">
        <v>117438.53</v>
      </c>
      <c r="T53" s="37" t="n">
        <v>116497.42</v>
      </c>
      <c r="U53" s="38" t="n"/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 t="n">
        <v>15829.25</v>
      </c>
      <c r="P54" s="37" t="n">
        <v>14890.45</v>
      </c>
      <c r="Q54" s="37" t="n">
        <v>17671.3</v>
      </c>
      <c r="R54" s="37" t="n">
        <v>25136.38</v>
      </c>
      <c r="S54" s="37" t="n">
        <v>16772.83</v>
      </c>
      <c r="T54" s="37" t="n">
        <v>16744.56</v>
      </c>
      <c r="U54" s="38" t="n"/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585.15</v>
      </c>
      <c r="U55" s="38" t="n"/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 t="n">
        <v>1185.13</v>
      </c>
      <c r="P56" s="37" t="n">
        <v>1099.1</v>
      </c>
      <c r="Q56" s="37" t="n">
        <v>1911.99</v>
      </c>
      <c r="R56" s="37" t="n">
        <v>1982.45</v>
      </c>
      <c r="S56" s="37" t="n">
        <v>1897.62</v>
      </c>
      <c r="T56" s="37" t="n">
        <v>1896.13</v>
      </c>
      <c r="U56" s="38" t="n"/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202.57</v>
      </c>
      <c r="N57" s="36">
        <f>SUM(B57:M57)</f>
        <v/>
      </c>
      <c r="O57" s="37" t="n">
        <v>0</v>
      </c>
      <c r="P57" s="37" t="n">
        <v>0</v>
      </c>
      <c r="Q57" s="37" t="n">
        <v>0</v>
      </c>
      <c r="R57" s="37" t="n">
        <v>0</v>
      </c>
      <c r="S57" s="37" t="n">
        <v>0</v>
      </c>
      <c r="T57" s="37" t="n">
        <v>0</v>
      </c>
      <c r="U57" s="38" t="n"/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 t="n">
        <v>0</v>
      </c>
      <c r="P58" s="37" t="n">
        <v>0</v>
      </c>
      <c r="Q58" s="37" t="n">
        <v>12212.4</v>
      </c>
      <c r="R58" s="37" t="n">
        <v>2756.4</v>
      </c>
      <c r="S58" s="37" t="n">
        <v>0</v>
      </c>
      <c r="T58" s="37" t="n">
        <v>0</v>
      </c>
      <c r="U58" s="38" t="n"/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5" t="n">
        <v>0</v>
      </c>
      <c r="J59" s="35" t="n">
        <v>0</v>
      </c>
      <c r="K59" s="35" t="n">
        <v>0</v>
      </c>
      <c r="L59" s="35" t="n">
        <v>0</v>
      </c>
      <c r="M59" s="35" t="n">
        <v>0</v>
      </c>
      <c r="N59" s="36">
        <f>SUM(B59:M59)</f>
        <v/>
      </c>
      <c r="O59" s="37" t="n">
        <v>2238.11</v>
      </c>
      <c r="P59" s="37" t="n">
        <v>1404.87</v>
      </c>
      <c r="Q59" s="37" t="n">
        <v>1404.87</v>
      </c>
      <c r="R59" s="37" t="n">
        <v>2893.39</v>
      </c>
      <c r="S59" s="37" t="n">
        <v>2933.33</v>
      </c>
      <c r="T59" s="37" t="n">
        <v>14489.47</v>
      </c>
      <c r="U59" s="38" t="n"/>
      <c r="V59" s="38" t="n"/>
      <c r="W59" s="38" t="n"/>
      <c r="X59" s="38" t="n"/>
      <c r="Y59" s="38" t="n"/>
      <c r="Z59" s="38" t="n"/>
      <c r="AA59" s="36">
        <f>SUM(O59:U59)</f>
        <v/>
      </c>
      <c r="AB59" s="36">
        <f>SUM(O59:Z59)</f>
        <v/>
      </c>
      <c r="AC59" s="38" t="n"/>
      <c r="AD59" s="38" t="n"/>
      <c r="AE59" s="38" t="n"/>
      <c r="AF59" s="38" t="n"/>
      <c r="AG59" s="38" t="n"/>
      <c r="AH59" s="38" t="n"/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0</v>
      </c>
      <c r="C60" s="35" t="n">
        <v>100</v>
      </c>
      <c r="D60" s="35" t="n">
        <v>0</v>
      </c>
      <c r="E60" s="35" t="n">
        <v>0</v>
      </c>
      <c r="F60" s="35" t="n">
        <v>-41.73999999999999</v>
      </c>
      <c r="G60" s="35" t="n">
        <v>-13.43</v>
      </c>
      <c r="H60" s="35" t="n">
        <v>0</v>
      </c>
      <c r="I60" s="35" t="n">
        <v>0</v>
      </c>
      <c r="J60" s="35" t="n">
        <v>0</v>
      </c>
      <c r="K60" s="35" t="n">
        <v>7.5</v>
      </c>
      <c r="L60" s="35" t="n">
        <v>109.99</v>
      </c>
      <c r="M60" s="35" t="n">
        <v>269.95</v>
      </c>
      <c r="N60" s="36">
        <f>SUM(B60:M60)</f>
        <v/>
      </c>
      <c r="O60" s="37" t="n">
        <v>1186.5</v>
      </c>
      <c r="P60" s="37" t="n">
        <v>1186.5</v>
      </c>
      <c r="Q60" s="37" t="n">
        <v>1186.5</v>
      </c>
      <c r="R60" s="37" t="n">
        <v>2593.73</v>
      </c>
      <c r="S60" s="37" t="n">
        <v>2593.73</v>
      </c>
      <c r="T60" s="37" t="n">
        <v>2593.73</v>
      </c>
      <c r="U60" s="38" t="n"/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9.23</v>
      </c>
      <c r="C61" s="35" t="n">
        <v>140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0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0</v>
      </c>
      <c r="N61" s="36">
        <f>SUM(B61:M61)</f>
        <v/>
      </c>
      <c r="O61" s="37" t="n">
        <v>5384.61</v>
      </c>
      <c r="P61" s="37" t="n">
        <v>7655.49</v>
      </c>
      <c r="Q61" s="37" t="n">
        <v>7967.039999999999</v>
      </c>
      <c r="R61" s="37" t="n">
        <v>9289.66</v>
      </c>
      <c r="S61" s="37" t="n">
        <v>9122.59</v>
      </c>
      <c r="T61" s="37" t="n">
        <v>16372.61</v>
      </c>
      <c r="U61" s="38" t="n"/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 t="n">
        <v>1610.78</v>
      </c>
      <c r="P62" s="37" t="n">
        <v>345.22</v>
      </c>
      <c r="Q62" s="37" t="n">
        <v>0</v>
      </c>
      <c r="R62" s="37" t="n">
        <v>43.47000000000003</v>
      </c>
      <c r="S62" s="37" t="n">
        <v>88.89</v>
      </c>
      <c r="T62" s="37" t="n">
        <v>1710.61</v>
      </c>
      <c r="U62" s="38" t="n"/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 t="n">
        <v>0</v>
      </c>
      <c r="P63" s="37" t="n">
        <v>0</v>
      </c>
      <c r="Q63" s="37" t="n">
        <v>0</v>
      </c>
      <c r="R63" s="37" t="n">
        <v>0</v>
      </c>
      <c r="S63" s="37" t="n">
        <v>0</v>
      </c>
      <c r="T63" s="37" t="n">
        <v>0</v>
      </c>
      <c r="U63" s="38" t="n"/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8" t="n"/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7485.6</v>
      </c>
      <c r="C65" s="35" t="n">
        <v>30</v>
      </c>
      <c r="D65" s="35" t="n">
        <v>11062.8</v>
      </c>
      <c r="E65" s="35" t="n">
        <v>3073.2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3112.8</v>
      </c>
      <c r="N65" s="36">
        <f>SUM(B65:M65)</f>
        <v/>
      </c>
      <c r="O65" s="37" t="n">
        <v>13797.88</v>
      </c>
      <c r="P65" s="37" t="n">
        <v>5720.969999999999</v>
      </c>
      <c r="Q65" s="37" t="n">
        <v>5427.91</v>
      </c>
      <c r="R65" s="37" t="n">
        <v>4311.21</v>
      </c>
      <c r="S65" s="37" t="n">
        <v>4359.15</v>
      </c>
      <c r="T65" s="37" t="n">
        <v>4667.76</v>
      </c>
      <c r="U65" s="38" t="n"/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 t="n">
        <v>0</v>
      </c>
      <c r="P66" s="37" t="n">
        <v>0</v>
      </c>
      <c r="Q66" s="37" t="n">
        <v>0</v>
      </c>
      <c r="R66" s="37" t="n">
        <v>0</v>
      </c>
      <c r="S66" s="37" t="n">
        <v>0</v>
      </c>
      <c r="T66" s="37" t="n">
        <v>0</v>
      </c>
      <c r="U66" s="38" t="n"/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1068</v>
      </c>
      <c r="D67" s="35" t="n">
        <v>0</v>
      </c>
      <c r="E67" s="35" t="n">
        <v>1220.4</v>
      </c>
      <c r="F67" s="35" t="n">
        <v>0</v>
      </c>
      <c r="G67" s="35" t="n">
        <v>750.6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939.6</v>
      </c>
      <c r="N67" s="36">
        <f>SUM(B67:M67)</f>
        <v/>
      </c>
      <c r="O67" s="37" t="n">
        <v>0</v>
      </c>
      <c r="P67" s="37" t="n">
        <v>0</v>
      </c>
      <c r="Q67" s="37" t="n">
        <v>0</v>
      </c>
      <c r="R67" s="37" t="n">
        <v>0</v>
      </c>
      <c r="S67" s="37" t="n">
        <v>0</v>
      </c>
      <c r="T67" s="37" t="n">
        <v>0</v>
      </c>
      <c r="U67" s="38" t="n"/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159</v>
      </c>
      <c r="C68" s="35" t="n">
        <v>154.4</v>
      </c>
      <c r="D68" s="35" t="n">
        <v>242.15</v>
      </c>
      <c r="E68" s="35" t="n">
        <v>157.57</v>
      </c>
      <c r="F68" s="35" t="n">
        <v>227.35</v>
      </c>
      <c r="G68" s="35" t="n">
        <v>354.85</v>
      </c>
      <c r="H68" s="35" t="n">
        <v>247.7</v>
      </c>
      <c r="I68" s="35" t="n">
        <v>124.9</v>
      </c>
      <c r="J68" s="35" t="n">
        <v>117.15</v>
      </c>
      <c r="K68" s="35" t="n">
        <v>159.9</v>
      </c>
      <c r="L68" s="35" t="n">
        <v>125.75</v>
      </c>
      <c r="M68" s="35" t="n">
        <v>116.05</v>
      </c>
      <c r="N68" s="36">
        <f>SUM(B68:M68)</f>
        <v/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8" t="n"/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7653.83</v>
      </c>
      <c r="C69" s="42" t="n">
        <v>1492.4</v>
      </c>
      <c r="D69" s="42" t="n">
        <v>11304.95</v>
      </c>
      <c r="E69" s="42" t="n">
        <v>4451.17</v>
      </c>
      <c r="F69" s="42" t="n">
        <v>185.61</v>
      </c>
      <c r="G69" s="42" t="n">
        <v>1092.02</v>
      </c>
      <c r="H69" s="42" t="n">
        <v>247.7</v>
      </c>
      <c r="I69" s="42" t="n">
        <v>124.9</v>
      </c>
      <c r="J69" s="42" t="n">
        <v>117.15</v>
      </c>
      <c r="K69" s="42" t="n">
        <v>167.4</v>
      </c>
      <c r="L69" s="42" t="n">
        <v>235.74</v>
      </c>
      <c r="M69" s="42" t="n">
        <v>4640.97</v>
      </c>
      <c r="N69" s="43">
        <f>SUM(B69:M69)</f>
        <v/>
      </c>
      <c r="O69" s="44" t="n">
        <v>0</v>
      </c>
      <c r="P69" s="44" t="n">
        <v>0</v>
      </c>
      <c r="Q69" s="44" t="n">
        <v>0</v>
      </c>
      <c r="R69" s="44" t="n">
        <v>0</v>
      </c>
      <c r="S69" s="44" t="n">
        <v>0</v>
      </c>
      <c r="T69" s="44" t="n">
        <v>0</v>
      </c>
      <c r="U69" s="45" t="n">
        <v>0</v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-12993.6</v>
      </c>
      <c r="C70" s="55" t="n">
        <v>-2334.04</v>
      </c>
      <c r="D70" s="55" t="n">
        <v>-12146.26</v>
      </c>
      <c r="E70" s="55" t="n">
        <v>-9632.49</v>
      </c>
      <c r="F70" s="55" t="n">
        <v>-6257.78</v>
      </c>
      <c r="G70" s="55" t="n">
        <v>-2162.86</v>
      </c>
      <c r="H70" s="55" t="n">
        <v>-6435.16</v>
      </c>
      <c r="I70" s="55" t="n">
        <v>-2899.46</v>
      </c>
      <c r="J70" s="55" t="n">
        <v>-1451.09</v>
      </c>
      <c r="K70" s="55" t="n">
        <v>-2702.36</v>
      </c>
      <c r="L70" s="55" t="n">
        <v>-2127.25</v>
      </c>
      <c r="M70" s="55" t="n">
        <v>-6332.82</v>
      </c>
      <c r="N70" s="55">
        <f>SUM(B70:M70)</f>
        <v/>
      </c>
      <c r="O70" s="55" t="n">
        <v>0</v>
      </c>
      <c r="P70" s="55" t="n">
        <v>0</v>
      </c>
      <c r="Q70" s="55" t="n">
        <v>0</v>
      </c>
      <c r="R70" s="55" t="n">
        <v>0</v>
      </c>
      <c r="S70" s="55" t="n">
        <v>0</v>
      </c>
      <c r="T70" s="55" t="n">
        <v>0</v>
      </c>
      <c r="U70" s="55" t="n">
        <v>0</v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20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20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8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8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8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8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8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7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-12993.6</v>
      </c>
      <c r="C79" s="57" t="n">
        <v>-2334.04</v>
      </c>
      <c r="D79" s="57" t="n">
        <v>-12146.26</v>
      </c>
      <c r="E79" s="57" t="n">
        <v>-9632.49</v>
      </c>
      <c r="F79" s="57" t="n">
        <v>-6257.78</v>
      </c>
      <c r="G79" s="57" t="n">
        <v>-2162.86</v>
      </c>
      <c r="H79" s="57" t="n">
        <v>-6435.16</v>
      </c>
      <c r="I79" s="57" t="n">
        <v>-2899.46</v>
      </c>
      <c r="J79" s="57" t="n">
        <v>-1451.09</v>
      </c>
      <c r="K79" s="57" t="n">
        <v>-2702.36</v>
      </c>
      <c r="L79" s="57" t="n">
        <v>-2127.25</v>
      </c>
      <c r="M79" s="57" t="n">
        <v>-6332.82</v>
      </c>
      <c r="N79" s="78">
        <f>SUM(B79:M79)</f>
        <v/>
      </c>
      <c r="O79" s="55" t="n">
        <v>0</v>
      </c>
      <c r="P79" s="55" t="n">
        <v>0</v>
      </c>
      <c r="Q79" s="55" t="n">
        <v>0</v>
      </c>
      <c r="R79" s="55" t="n">
        <v>0</v>
      </c>
      <c r="S79" s="55" t="n">
        <v>0</v>
      </c>
      <c r="T79" s="55" t="n">
        <v>0</v>
      </c>
      <c r="U79" s="58" t="n"/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20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34" t="inlineStr">
        <is>
          <t>Direct - Sales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60" t="n">
        <v>0</v>
      </c>
      <c r="P82" s="60" t="n">
        <v>0</v>
      </c>
      <c r="Q82" s="60" t="n">
        <v>0</v>
      </c>
      <c r="R82" s="60" t="n">
        <v>0</v>
      </c>
      <c r="S82" s="60" t="n">
        <v>0</v>
      </c>
      <c r="T82" s="60" t="n">
        <v>0</v>
      </c>
      <c r="U82" s="60" t="n">
        <v>0</v>
      </c>
      <c r="V82" s="60">
        <f>-SUMIF('XCCL Blank TB'!$T:$T,'CCL HO P&amp;L'!$A82,'XCCL Blank TB'!J:J)-SUMIF('XCCL HO TB'!$T:$T,'CCL HO P&amp;L'!$A82,'XCCL HO TB'!J:J)</f>
        <v/>
      </c>
      <c r="W82" s="60">
        <f>-SUMIF('XCCL Blank TB'!$T:$T,'CCL HO P&amp;L'!$A82,'XCCL Blank TB'!K:K)-SUMIF('XCCL HO TB'!$T:$T,'CCL HO P&amp;L'!$A82,'XCCL HO TB'!K:K)</f>
        <v/>
      </c>
      <c r="X82" s="60">
        <f>-SUMIF('XCCL Blank TB'!$T:$T,'CCL HO P&amp;L'!$A82,'XCCL Blank TB'!L:L)-SUMIF('XCCL HO TB'!$T:$T,'CCL HO P&amp;L'!$A82,'XCCL HO TB'!L:L)</f>
        <v/>
      </c>
      <c r="Y82" s="60">
        <f>-SUMIF('XCCL Blank TB'!$T:$T,'CCL HO P&amp;L'!$A82,'XCCL Blank TB'!M:M)-SUMIF('XCCL HO TB'!$T:$T,'CCL HO P&amp;L'!$A82,'XCCL HO TB'!M:M)</f>
        <v/>
      </c>
      <c r="Z82" s="60">
        <f>-SUMIF('XCCL Blank TB'!$T:$T,'CCL HO P&amp;L'!$A82,'XCCL Blank TB'!N:N)-SUMIF('XCCL HO TB'!$T:$T,'CCL HO P&amp;L'!$A82,'XCCL HO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60" t="inlineStr">
        <is>
          <t>Direct - Staff Cost</t>
        </is>
      </c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-1917.6</v>
      </c>
      <c r="G83" s="60" t="n">
        <v>-632.5799999999999</v>
      </c>
      <c r="H83" s="60" t="n">
        <v>0</v>
      </c>
      <c r="I83" s="60" t="n">
        <v>0</v>
      </c>
      <c r="J83" s="60" t="n">
        <v>0</v>
      </c>
      <c r="K83" s="60" t="n">
        <v>0</v>
      </c>
      <c r="L83" s="60" t="n">
        <v>0</v>
      </c>
      <c r="M83" s="8" t="n"/>
      <c r="N83" s="8" t="n"/>
      <c r="O83" s="60" t="n">
        <v>0</v>
      </c>
      <c r="P83" s="60" t="n">
        <v>0</v>
      </c>
      <c r="Q83" s="60" t="n">
        <v>0</v>
      </c>
      <c r="R83" s="60" t="n">
        <v>0</v>
      </c>
      <c r="S83" s="60" t="n">
        <v>0</v>
      </c>
      <c r="T83" s="60" t="n">
        <v>0</v>
      </c>
      <c r="U83" s="60" t="n">
        <v>0</v>
      </c>
      <c r="V83" s="60">
        <f>-SUMIF('XCCL Blank TB'!$T:$T,'CCL HO P&amp;L'!$A83,'XCCL Blank TB'!J:J)-SUMIF('XCCL HO TB'!$T:$T,'CCL HO P&amp;L'!$A83,'XCCL HO TB'!J:J)</f>
        <v/>
      </c>
      <c r="W83" s="60">
        <f>-SUMIF('XCCL Blank TB'!$T:$T,'CCL HO P&amp;L'!$A83,'XCCL Blank TB'!K:K)-SUMIF('XCCL HO TB'!$T:$T,'CCL HO P&amp;L'!$A83,'XCCL HO TB'!K:K)</f>
        <v/>
      </c>
      <c r="X83" s="60">
        <f>-SUMIF('XCCL Blank TB'!$T:$T,'CCL HO P&amp;L'!$A83,'XCCL Blank TB'!L:L)-SUMIF('XCCL HO TB'!$T:$T,'CCL HO P&amp;L'!$A83,'XCCL HO TB'!L:L)</f>
        <v/>
      </c>
      <c r="Y83" s="60">
        <f>-SUMIF('XCCL Blank TB'!$T:$T,'CCL HO P&amp;L'!$A83,'XCCL Blank TB'!M:M)-SUMIF('XCCL HO TB'!$T:$T,'CCL HO P&amp;L'!$A83,'XCCL HO TB'!M:M)</f>
        <v/>
      </c>
      <c r="Z83" s="60">
        <f>-SUMIF('XCCL Blank TB'!$T:$T,'CCL HO P&amp;L'!$A83,'XCCL Blank TB'!N:N)-SUMIF('XCCL HO TB'!$T:$T,'CCL HO P&amp;L'!$A83,'XCCL HO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60" t="inlineStr">
        <is>
          <t>Direct - Childcare Cost</t>
        </is>
      </c>
      <c r="B84" s="60" t="n">
        <v>-228.05</v>
      </c>
      <c r="C84" s="60" t="n">
        <v>0</v>
      </c>
      <c r="D84" s="60" t="n">
        <v>0</v>
      </c>
      <c r="E84" s="60" t="n">
        <v>0</v>
      </c>
      <c r="F84" s="60" t="n">
        <v>0</v>
      </c>
      <c r="G84" s="60" t="n">
        <v>0</v>
      </c>
      <c r="H84" s="60" t="n">
        <v>-20.97</v>
      </c>
      <c r="I84" s="60" t="n">
        <v>0</v>
      </c>
      <c r="J84" s="60" t="n">
        <v>0</v>
      </c>
      <c r="K84" s="60" t="n">
        <v>-47.98</v>
      </c>
      <c r="L84" s="60" t="n">
        <v>0</v>
      </c>
      <c r="M84" s="8" t="n"/>
      <c r="N84" s="8" t="n"/>
      <c r="O84" s="60" t="n">
        <v>0</v>
      </c>
      <c r="P84" s="60" t="n">
        <v>0</v>
      </c>
      <c r="Q84" s="60" t="n">
        <v>0</v>
      </c>
      <c r="R84" s="60" t="n">
        <v>0</v>
      </c>
      <c r="S84" s="60" t="n">
        <v>0</v>
      </c>
      <c r="T84" s="60" t="n">
        <v>0</v>
      </c>
      <c r="U84" s="60" t="n">
        <v>0</v>
      </c>
      <c r="V84" s="60">
        <f>-SUMIF('XCCL Blank TB'!$T:$T,'CCL HO P&amp;L'!$A84,'XCCL Blank TB'!J:J)-SUMIF('XCCL HO TB'!$T:$T,'CCL HO P&amp;L'!$A84,'XCCL HO TB'!J:J)</f>
        <v/>
      </c>
      <c r="W84" s="60">
        <f>-SUMIF('XCCL Blank TB'!$T:$T,'CCL HO P&amp;L'!$A84,'XCCL Blank TB'!K:K)-SUMIF('XCCL HO TB'!$T:$T,'CCL HO P&amp;L'!$A84,'XCCL HO TB'!K:K)</f>
        <v/>
      </c>
      <c r="X84" s="60">
        <f>-SUMIF('XCCL Blank TB'!$T:$T,'CCL HO P&amp;L'!$A84,'XCCL Blank TB'!L:L)-SUMIF('XCCL HO TB'!$T:$T,'CCL HO P&amp;L'!$A84,'XCCL HO TB'!L:L)</f>
        <v/>
      </c>
      <c r="Y84" s="60">
        <f>-SUMIF('XCCL Blank TB'!$T:$T,'CCL HO P&amp;L'!$A84,'XCCL Blank TB'!M:M)-SUMIF('XCCL HO TB'!$T:$T,'CCL HO P&amp;L'!$A84,'XCCL HO TB'!M:M)</f>
        <v/>
      </c>
      <c r="Z84" s="60">
        <f>-SUMIF('XCCL Blank TB'!$T:$T,'CCL HO P&amp;L'!$A84,'XCCL Blank TB'!N:N)-SUMIF('XCCL HO TB'!$T:$T,'CCL HO P&amp;L'!$A84,'XCCL HO TB'!N:N)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60" t="inlineStr">
        <is>
          <t>Direct - Premises &amp; Admin</t>
        </is>
      </c>
      <c r="B85" s="18" t="n">
        <v>-5111.72</v>
      </c>
      <c r="C85" s="18" t="n">
        <v>-841.64</v>
      </c>
      <c r="D85" s="18" t="n">
        <v>-841.3099999999999</v>
      </c>
      <c r="E85" s="18" t="n">
        <v>-5181.32</v>
      </c>
      <c r="F85" s="18" t="n">
        <v>-4154.57</v>
      </c>
      <c r="G85" s="18" t="n">
        <v>-438.26</v>
      </c>
      <c r="H85" s="18" t="n">
        <v>-6166.49</v>
      </c>
      <c r="I85" s="18" t="n">
        <v>-2774.56</v>
      </c>
      <c r="J85" s="18" t="n">
        <v>-1333.94</v>
      </c>
      <c r="K85" s="18" t="n">
        <v>-2486.98</v>
      </c>
      <c r="L85" s="18" t="n">
        <v>-1891.51</v>
      </c>
      <c r="M85" s="18" t="n"/>
      <c r="N85" s="8" t="n"/>
      <c r="O85" s="60" t="n">
        <v>0</v>
      </c>
      <c r="P85" s="60" t="n">
        <v>0</v>
      </c>
      <c r="Q85" s="60" t="n">
        <v>0</v>
      </c>
      <c r="R85" s="60" t="n">
        <v>0</v>
      </c>
      <c r="S85" s="60" t="n">
        <v>0</v>
      </c>
      <c r="T85" s="60" t="n">
        <v>0</v>
      </c>
      <c r="U85" s="60" t="n">
        <v>0</v>
      </c>
      <c r="V85" s="60">
        <f>-SUMIF('XCCL Blank TB'!$T:$T,'CCL HO P&amp;L'!$A85,'XCCL Blank TB'!J:J)-SUMIF('XCCL HO TB'!$T:$T,'CCL HO P&amp;L'!$A85,'XCCL HO TB'!J:J)</f>
        <v/>
      </c>
      <c r="W85" s="60">
        <f>-SUMIF('XCCL Blank TB'!$T:$T,'CCL HO P&amp;L'!$A85,'XCCL Blank TB'!K:K)-SUMIF('XCCL HO TB'!$T:$T,'CCL HO P&amp;L'!$A85,'XCCL HO TB'!K:K)</f>
        <v/>
      </c>
      <c r="X85" s="60">
        <f>-SUMIF('XCCL Blank TB'!$T:$T,'CCL HO P&amp;L'!$A85,'XCCL Blank TB'!L:L)-SUMIF('XCCL HO TB'!$T:$T,'CCL HO P&amp;L'!$A85,'XCCL HO TB'!L:L)</f>
        <v/>
      </c>
      <c r="Y85" s="60">
        <f>-SUMIF('XCCL Blank TB'!$T:$T,'CCL HO P&amp;L'!$A85,'XCCL Blank TB'!M:M)-SUMIF('XCCL HO TB'!$T:$T,'CCL HO P&amp;L'!$A85,'XCCL HO TB'!M:M)</f>
        <v/>
      </c>
      <c r="Z85" s="60">
        <f>-SUMIF('XCCL Blank TB'!$T:$T,'CCL HO P&amp;L'!$A85,'XCCL Blank TB'!N:N)-SUMIF('XCCL HO TB'!$T:$T,'CCL HO P&amp;L'!$A85,'XCCL HO TB'!N:N)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In-Direct - Staff Cost</t>
        </is>
      </c>
      <c r="B86" s="60" t="n">
        <v>0</v>
      </c>
      <c r="C86" s="60" t="n">
        <v>0</v>
      </c>
      <c r="D86" s="60" t="n">
        <v>0</v>
      </c>
      <c r="E86" s="60" t="n">
        <v>0</v>
      </c>
      <c r="F86" s="60" t="n">
        <v>0</v>
      </c>
      <c r="G86" s="60" t="n">
        <v>0</v>
      </c>
      <c r="H86" s="60" t="n">
        <v>0</v>
      </c>
      <c r="I86" s="60" t="n">
        <v>0</v>
      </c>
      <c r="J86" s="60" t="n">
        <v>0</v>
      </c>
      <c r="K86" s="60" t="n">
        <v>0</v>
      </c>
      <c r="L86" s="60" t="n">
        <v>0</v>
      </c>
      <c r="M86" s="8" t="n"/>
      <c r="N86" s="8" t="n"/>
      <c r="O86" s="60" t="n">
        <v>0</v>
      </c>
      <c r="P86" s="60" t="n">
        <v>0</v>
      </c>
      <c r="Q86" s="60" t="n">
        <v>0</v>
      </c>
      <c r="R86" s="60" t="n">
        <v>0</v>
      </c>
      <c r="S86" s="60" t="n">
        <v>0</v>
      </c>
      <c r="T86" s="60" t="n">
        <v>0</v>
      </c>
      <c r="U86" s="60" t="n">
        <v>0</v>
      </c>
      <c r="V86" s="60">
        <f>-SUMIF('XCCL Blank TB'!$T:$T,'CCL HO P&amp;L'!$A86,'XCCL Blank TB'!J:J)-SUMIF('XCCL HO TB'!$T:$T,'CCL HO P&amp;L'!$A86,'XCCL HO TB'!J:J)</f>
        <v/>
      </c>
      <c r="W86" s="60">
        <f>-SUMIF('XCCL Blank TB'!$T:$T,'CCL HO P&amp;L'!$A86,'XCCL Blank TB'!K:K)-SUMIF('XCCL HO TB'!$T:$T,'CCL HO P&amp;L'!$A86,'XCCL HO TB'!K:K)</f>
        <v/>
      </c>
      <c r="X86" s="60">
        <f>-SUMIF('XCCL Blank TB'!$T:$T,'CCL HO P&amp;L'!$A86,'XCCL Blank TB'!L:L)-SUMIF('XCCL HO TB'!$T:$T,'CCL HO P&amp;L'!$A86,'XCCL HO TB'!L:L)</f>
        <v/>
      </c>
      <c r="Y86" s="60">
        <f>-SUMIF('XCCL Blank TB'!$T:$T,'CCL HO P&amp;L'!$A86,'XCCL Blank TB'!M:M)-SUMIF('XCCL HO TB'!$T:$T,'CCL HO P&amp;L'!$A86,'XCCL HO TB'!M:M)</f>
        <v/>
      </c>
      <c r="Z86" s="60">
        <f>-SUMIF('XCCL Blank TB'!$T:$T,'CCL HO P&amp;L'!$A86,'XCCL Blank TB'!N:N)-SUMIF('XCCL HO TB'!$T:$T,'CCL HO P&amp;L'!$A86,'XCCL HO TB'!N:N)</f>
        <v/>
      </c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In-Direct - Overheads</t>
        </is>
      </c>
      <c r="B87" s="60" t="n">
        <v>-7653.83</v>
      </c>
      <c r="C87" s="60" t="n">
        <v>-1492.4</v>
      </c>
      <c r="D87" s="60" t="n">
        <v>-11304.95</v>
      </c>
      <c r="E87" s="60" t="n">
        <v>-4451.17</v>
      </c>
      <c r="F87" s="60" t="n">
        <v>-185.61</v>
      </c>
      <c r="G87" s="60" t="n">
        <v>-1092.02</v>
      </c>
      <c r="H87" s="60" t="n">
        <v>-247.7</v>
      </c>
      <c r="I87" s="60" t="n">
        <v>-124.9</v>
      </c>
      <c r="J87" s="60" t="n">
        <v>-117.15</v>
      </c>
      <c r="K87" s="60" t="n">
        <v>-167.4</v>
      </c>
      <c r="L87" s="60" t="n">
        <v>-235.74</v>
      </c>
      <c r="M87" s="8" t="n"/>
      <c r="N87" s="8" t="n"/>
      <c r="O87" s="60" t="n">
        <v>0</v>
      </c>
      <c r="P87" s="60" t="n">
        <v>0</v>
      </c>
      <c r="Q87" s="60" t="n">
        <v>0</v>
      </c>
      <c r="R87" s="60" t="n">
        <v>0</v>
      </c>
      <c r="S87" s="60" t="n">
        <v>0</v>
      </c>
      <c r="T87" s="60" t="n">
        <v>0</v>
      </c>
      <c r="U87" s="60" t="n">
        <v>0</v>
      </c>
      <c r="V87" s="60">
        <f>-SUMIF('XCCL Blank TB'!$T:$T,'CCL HO P&amp;L'!$A87,'XCCL Blank TB'!J:J)-SUMIF('XCCL HO TB'!$T:$T,'CCL HO P&amp;L'!$A87,'XCCL HO TB'!J:J)</f>
        <v/>
      </c>
      <c r="W87" s="60">
        <f>-SUMIF('XCCL Blank TB'!$T:$T,'CCL HO P&amp;L'!$A87,'XCCL Blank TB'!K:K)-SUMIF('XCCL HO TB'!$T:$T,'CCL HO P&amp;L'!$A87,'XCCL HO TB'!K:K)</f>
        <v/>
      </c>
      <c r="X87" s="60">
        <f>-SUMIF('XCCL Blank TB'!$T:$T,'CCL HO P&amp;L'!$A87,'XCCL Blank TB'!L:L)-SUMIF('XCCL HO TB'!$T:$T,'CCL HO P&amp;L'!$A87,'XCCL HO TB'!L:L)</f>
        <v/>
      </c>
      <c r="Y87" s="60">
        <f>-SUMIF('XCCL Blank TB'!$T:$T,'CCL HO P&amp;L'!$A87,'XCCL Blank TB'!M:M)-SUMIF('XCCL HO TB'!$T:$T,'CCL HO P&amp;L'!$A87,'XCCL HO TB'!M:M)</f>
        <v/>
      </c>
      <c r="Z87" s="60">
        <f>-SUMIF('XCCL Blank TB'!$T:$T,'CCL HO P&amp;L'!$A87,'XCCL Blank TB'!N:N)-SUMIF('XCCL HO TB'!$T:$T,'CCL HO P&amp;L'!$A87,'XCCL HO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 ht="15.75" customHeight="1">
      <c r="A88" s="8" t="n"/>
      <c r="B88" s="67" t="n">
        <v>-12993.6</v>
      </c>
      <c r="C88" s="67" t="n">
        <v>-2334.04</v>
      </c>
      <c r="D88" s="67" t="n">
        <v>-12146.26</v>
      </c>
      <c r="E88" s="67" t="n">
        <v>-9632.49</v>
      </c>
      <c r="F88" s="67" t="n">
        <v>-6257.78</v>
      </c>
      <c r="G88" s="67" t="n">
        <v>-2162.86</v>
      </c>
      <c r="H88" s="67" t="n">
        <v>-6435.16</v>
      </c>
      <c r="I88" s="67" t="n">
        <v>-2899.46</v>
      </c>
      <c r="J88" s="67" t="n">
        <v>-1451.09</v>
      </c>
      <c r="K88" s="67" t="n">
        <v>-2702.36</v>
      </c>
      <c r="L88" s="67" t="n">
        <v>-2127.25</v>
      </c>
      <c r="M88" s="67" t="n"/>
      <c r="N88" s="64" t="n"/>
      <c r="O88" s="64" t="n">
        <v>0</v>
      </c>
      <c r="P88" s="64" t="n">
        <v>0</v>
      </c>
      <c r="Q88" s="64" t="n">
        <v>0</v>
      </c>
      <c r="R88" s="64" t="n">
        <v>0</v>
      </c>
      <c r="S88" s="64" t="n">
        <v>0</v>
      </c>
      <c r="T88" s="64" t="n">
        <v>0</v>
      </c>
      <c r="U88" s="64" t="n">
        <v>0</v>
      </c>
      <c r="V88" s="64">
        <f>SUM(V82:V87)</f>
        <v/>
      </c>
      <c r="W88" s="64">
        <f>SUM(W82:W87)</f>
        <v/>
      </c>
      <c r="X88" s="64">
        <f>SUM(X82:X87)</f>
        <v/>
      </c>
      <c r="Y88" s="64">
        <f>SUM(Y82:Y87)</f>
        <v/>
      </c>
      <c r="Z88" s="64">
        <f>SUM(Z82:Z87)</f>
        <v/>
      </c>
      <c r="AA88" s="64">
        <f>SUM(AA82:AA87)</f>
        <v/>
      </c>
      <c r="AB88" s="8" t="n"/>
      <c r="AC88" s="64" t="n"/>
      <c r="AD88" s="64" t="n"/>
      <c r="AE88" s="64" t="n"/>
      <c r="AF88" s="64" t="n"/>
      <c r="AG88" s="64" t="n"/>
      <c r="AH88" s="64" t="n"/>
      <c r="AI88" s="8" t="n"/>
      <c r="AJ88" s="64" t="n"/>
      <c r="AK88" s="64" t="n"/>
      <c r="AL88" s="64" t="n"/>
      <c r="AM88" s="64" t="n"/>
      <c r="AN88" s="64" t="n"/>
      <c r="AO88" s="64" t="n"/>
      <c r="AP88" s="64" t="n"/>
    </row>
    <row r="89" ht="15.75" customHeight="1">
      <c r="A89" s="8" t="n"/>
      <c r="B89" s="18" t="n">
        <v>0</v>
      </c>
      <c r="C89" s="18" t="n">
        <v>0</v>
      </c>
      <c r="D89" s="18" t="n">
        <v>0</v>
      </c>
      <c r="E89" s="18" t="n">
        <v>0</v>
      </c>
      <c r="F89" s="18" t="n">
        <v>0</v>
      </c>
      <c r="G89" s="18" t="n">
        <v>0</v>
      </c>
      <c r="H89" s="18" t="n">
        <v>0</v>
      </c>
      <c r="I89" s="18" t="n">
        <v>0</v>
      </c>
      <c r="J89" s="18" t="n">
        <v>0</v>
      </c>
      <c r="K89" s="18" t="n">
        <v>0</v>
      </c>
      <c r="L89" s="18" t="n">
        <v>0</v>
      </c>
      <c r="M89" s="18" t="n">
        <v>-6332.82</v>
      </c>
      <c r="N89" s="8" t="n"/>
      <c r="O89" s="60" t="n">
        <v>0</v>
      </c>
      <c r="P89" s="60" t="n">
        <v>0</v>
      </c>
      <c r="Q89" s="60" t="n">
        <v>0</v>
      </c>
      <c r="R89" s="60" t="n">
        <v>0</v>
      </c>
      <c r="S89" s="60" t="n">
        <v>0</v>
      </c>
      <c r="T89" s="60" t="n">
        <v>0</v>
      </c>
      <c r="U89" s="60" t="n">
        <v>0</v>
      </c>
      <c r="V89" s="60">
        <f>+V70-V88</f>
        <v/>
      </c>
      <c r="W89" s="60">
        <f>+W70-W88</f>
        <v/>
      </c>
      <c r="X89" s="60">
        <f>+X70-X88</f>
        <v/>
      </c>
      <c r="Y89" s="60">
        <f>+Y70-Y88</f>
        <v/>
      </c>
      <c r="Z89" s="60">
        <f>+Z70-Z88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6332.82</v>
      </c>
      <c r="N91" s="8" t="n"/>
      <c r="O91" s="60" t="n">
        <v>0</v>
      </c>
      <c r="P91" s="60" t="n">
        <v>0</v>
      </c>
      <c r="Q91" s="60" t="n">
        <v>0</v>
      </c>
      <c r="R91" s="60" t="n">
        <v>0</v>
      </c>
      <c r="S91" s="60" t="n">
        <v>0</v>
      </c>
      <c r="T91" s="60" t="n">
        <v>0</v>
      </c>
      <c r="U91" s="60" t="n">
        <v>0</v>
      </c>
      <c r="V91" s="60">
        <f>V88+V92</f>
        <v/>
      </c>
      <c r="W91" s="60">
        <f>W88+W92</f>
        <v/>
      </c>
      <c r="X91" s="60">
        <f>X88+X92</f>
        <v/>
      </c>
      <c r="Y91" s="60">
        <f>Y88+Y92</f>
        <v/>
      </c>
      <c r="Z91" s="60">
        <f>Z88+Z92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>
        <v>12993.6</v>
      </c>
      <c r="C92" s="18" t="n">
        <v>2334.04</v>
      </c>
      <c r="D92" s="18" t="n">
        <v>12146.26</v>
      </c>
      <c r="E92" s="18" t="n">
        <v>9632.49</v>
      </c>
      <c r="F92" s="18" t="n">
        <v>6257.780000000001</v>
      </c>
      <c r="G92" s="18" t="n">
        <v>2162.86</v>
      </c>
      <c r="H92" s="18" t="n">
        <v>6435.16</v>
      </c>
      <c r="I92" s="18" t="n">
        <v>2899.46</v>
      </c>
      <c r="J92" s="18" t="n">
        <v>1451.09</v>
      </c>
      <c r="K92" s="18" t="n">
        <v>2702.36</v>
      </c>
      <c r="L92" s="18" t="n">
        <v>2127.25</v>
      </c>
      <c r="M92" s="18" t="n">
        <v>6332.82</v>
      </c>
      <c r="N92" s="8" t="n"/>
      <c r="O92" s="60" t="n">
        <v>0</v>
      </c>
      <c r="P92" s="60" t="n">
        <v>0</v>
      </c>
      <c r="Q92" s="60" t="n">
        <v>0</v>
      </c>
      <c r="R92" s="60" t="n">
        <v>0</v>
      </c>
      <c r="S92" s="60" t="n">
        <v>0</v>
      </c>
      <c r="T92" s="60" t="n">
        <v>0</v>
      </c>
      <c r="U92" s="60" t="n">
        <v>0</v>
      </c>
      <c r="V92" s="60">
        <f>SUM('XCCL Blank TB'!J2:J37)+SUM('XCCL HO TB'!J2:J44)</f>
        <v/>
      </c>
      <c r="W92" s="60">
        <f>SUM('XCCL Blank TB'!K2:K37)+SUM('XCCL HO TB'!K2:K44)</f>
        <v/>
      </c>
      <c r="X92" s="60">
        <f>SUM('XCCL Blank TB'!L2:L37)+SUM('XCCL HO TB'!L2:L44)</f>
        <v/>
      </c>
      <c r="Y92" s="60">
        <f>SUM('XCCL Blank TB'!M2:M37)+SUM('XCCL HO TB'!M2:M44)</f>
        <v/>
      </c>
      <c r="Z92" s="60">
        <f>SUM('XCCL Blank TB'!N2:N37)+SUM('XCCL HO TB'!N2:N44)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P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5703125" customWidth="1" min="27" max="27"/>
    <col width="9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YBHN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37" t="n">
        <v>0</v>
      </c>
      <c r="U8" s="37" t="n">
        <v>0</v>
      </c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 t="n">
        <v>0</v>
      </c>
      <c r="P9" s="37" t="n">
        <v>0</v>
      </c>
      <c r="Q9" s="37" t="n">
        <v>0</v>
      </c>
      <c r="R9" s="37" t="n">
        <v>0</v>
      </c>
      <c r="S9" s="37" t="n">
        <v>0</v>
      </c>
      <c r="T9" s="37" t="n">
        <v>0</v>
      </c>
      <c r="U9" s="37" t="n">
        <v>0</v>
      </c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 t="n">
        <v>0</v>
      </c>
      <c r="P10" s="37" t="n">
        <v>0</v>
      </c>
      <c r="Q10" s="37" t="n">
        <v>0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3">
        <f>SUM(B11:M11)</f>
        <v/>
      </c>
      <c r="O11" s="44" t="n">
        <v>0</v>
      </c>
      <c r="P11" s="44" t="n">
        <v>0</v>
      </c>
      <c r="Q11" s="44" t="n">
        <v>0</v>
      </c>
      <c r="R11" s="44" t="n">
        <v>0</v>
      </c>
      <c r="S11" s="44" t="n">
        <v>0</v>
      </c>
      <c r="T11" s="44" t="n">
        <v>0</v>
      </c>
      <c r="U11" s="44" t="n">
        <v>0</v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 t="n">
        <v>0</v>
      </c>
      <c r="P13" s="47" t="n">
        <v>0</v>
      </c>
      <c r="Q13" s="47" t="n">
        <v>0</v>
      </c>
      <c r="R13" s="47" t="n">
        <v>0</v>
      </c>
      <c r="S13" s="47" t="n">
        <v>0</v>
      </c>
      <c r="T13" s="47" t="n">
        <v>0</v>
      </c>
      <c r="U13" s="47" t="n">
        <v>0</v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 t="n"/>
      <c r="AD13" s="47" t="n"/>
      <c r="AE13" s="47" t="n"/>
      <c r="AF13" s="47" t="n"/>
      <c r="AG13" s="47" t="n"/>
      <c r="AH13" s="47" t="n"/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37" t="n">
        <v>0</v>
      </c>
      <c r="U17" s="37" t="n">
        <v>0</v>
      </c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37" t="n">
        <v>0</v>
      </c>
      <c r="U18" s="37" t="n">
        <v>0</v>
      </c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0</v>
      </c>
      <c r="U19" s="37" t="n">
        <v>0</v>
      </c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72</v>
      </c>
      <c r="D20" s="35" t="n">
        <v>0</v>
      </c>
      <c r="E20" s="35" t="n">
        <v>31.2</v>
      </c>
      <c r="F20" s="35" t="n">
        <v>72</v>
      </c>
      <c r="G20" s="35" t="n">
        <v>0</v>
      </c>
      <c r="H20" s="35" t="n">
        <v>0</v>
      </c>
      <c r="I20" s="35" t="n">
        <v>0</v>
      </c>
      <c r="J20" s="35" t="n">
        <v>52</v>
      </c>
      <c r="K20" s="35" t="n">
        <v>117.19</v>
      </c>
      <c r="L20" s="35" t="n">
        <v>0</v>
      </c>
      <c r="M20" s="35" t="n">
        <v>0</v>
      </c>
      <c r="N20" s="36">
        <f>SUM(B20:M20)</f>
        <v/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7" t="n">
        <v>0</v>
      </c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98.3</v>
      </c>
      <c r="F21" s="35" t="n">
        <v>125.09</v>
      </c>
      <c r="G21" s="35" t="n">
        <v>0</v>
      </c>
      <c r="H21" s="35" t="n">
        <v>20.24</v>
      </c>
      <c r="I21" s="35" t="n">
        <v>0</v>
      </c>
      <c r="J21" s="35" t="n">
        <v>226.03</v>
      </c>
      <c r="K21" s="35" t="n">
        <v>0</v>
      </c>
      <c r="L21" s="35" t="n">
        <v>19.2</v>
      </c>
      <c r="M21" s="35" t="n">
        <v>10.85</v>
      </c>
      <c r="N21" s="36">
        <f>SUM(B21:M21)</f>
        <v/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37" t="n">
        <v>0</v>
      </c>
      <c r="U21" s="37" t="n">
        <v>0</v>
      </c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7085.94</v>
      </c>
      <c r="C22" s="35" t="n">
        <v>2050</v>
      </c>
      <c r="D22" s="35" t="n">
        <v>1589.67</v>
      </c>
      <c r="E22" s="35" t="n">
        <v>667.9400000000001</v>
      </c>
      <c r="F22" s="35" t="n">
        <v>1928.6</v>
      </c>
      <c r="G22" s="35" t="n">
        <v>3710.27</v>
      </c>
      <c r="H22" s="35" t="n">
        <v>7220.33</v>
      </c>
      <c r="I22" s="35" t="n">
        <v>3434</v>
      </c>
      <c r="J22" s="35" t="n">
        <v>2623</v>
      </c>
      <c r="K22" s="35" t="n">
        <v>4004.61</v>
      </c>
      <c r="L22" s="35" t="n">
        <v>2527.46</v>
      </c>
      <c r="M22" s="35" t="n">
        <v>4279.71</v>
      </c>
      <c r="N22" s="36">
        <f>SUM(B22:M22)</f>
        <v/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8" t="n">
        <v>3600</v>
      </c>
      <c r="W22" s="38" t="n">
        <v>3600</v>
      </c>
      <c r="X22" s="38" t="n">
        <v>3600</v>
      </c>
      <c r="Y22" s="38" t="n">
        <v>3600</v>
      </c>
      <c r="Z22" s="38" t="n">
        <v>3600</v>
      </c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1300</v>
      </c>
      <c r="M23" s="35" t="n">
        <v>0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 t="n">
        <v>0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7" t="n">
        <v>0</v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7085.94</v>
      </c>
      <c r="C25" s="42" t="n">
        <v>2122</v>
      </c>
      <c r="D25" s="42" t="n">
        <v>1589.67</v>
      </c>
      <c r="E25" s="42" t="n">
        <v>797.4400000000001</v>
      </c>
      <c r="F25" s="42" t="n">
        <v>2125.69</v>
      </c>
      <c r="G25" s="42" t="n">
        <v>3710.27</v>
      </c>
      <c r="H25" s="42" t="n">
        <v>7240.57</v>
      </c>
      <c r="I25" s="42" t="n">
        <v>3434</v>
      </c>
      <c r="J25" s="42" t="n">
        <v>2901.03</v>
      </c>
      <c r="K25" s="42" t="n">
        <v>4121.8</v>
      </c>
      <c r="L25" s="42" t="n">
        <v>3846.66</v>
      </c>
      <c r="M25" s="42" t="n">
        <v>4290.56</v>
      </c>
      <c r="N25" s="43">
        <f>SUM(B25:M25)</f>
        <v/>
      </c>
      <c r="O25" s="44" t="n">
        <v>0</v>
      </c>
      <c r="P25" s="44" t="n">
        <v>0</v>
      </c>
      <c r="Q25" s="44" t="n">
        <v>0</v>
      </c>
      <c r="R25" s="44" t="n">
        <v>0</v>
      </c>
      <c r="S25" s="44" t="n">
        <v>0</v>
      </c>
      <c r="T25" s="44" t="n">
        <v>0</v>
      </c>
      <c r="U25" s="44" t="n">
        <v>0</v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104.48</v>
      </c>
      <c r="F27" s="35" t="n">
        <v>0</v>
      </c>
      <c r="G27" s="35" t="n">
        <v>0</v>
      </c>
      <c r="H27" s="35" t="n">
        <v>16.44</v>
      </c>
      <c r="I27" s="35" t="n">
        <v>0</v>
      </c>
      <c r="J27" s="35" t="n">
        <v>0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 t="n">
        <v>0</v>
      </c>
      <c r="P27" s="37" t="n">
        <v>0</v>
      </c>
      <c r="Q27" s="37" t="n">
        <v>0</v>
      </c>
      <c r="R27" s="37" t="n">
        <v>0</v>
      </c>
      <c r="S27" s="37" t="n">
        <v>0</v>
      </c>
      <c r="T27" s="37" t="n">
        <v>0</v>
      </c>
      <c r="U27" s="37" t="n">
        <v>0</v>
      </c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8" t="n"/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0</v>
      </c>
      <c r="K28" s="35" t="n">
        <v>0</v>
      </c>
      <c r="L28" s="35" t="n">
        <v>0</v>
      </c>
      <c r="M28" s="35" t="n">
        <v>0</v>
      </c>
      <c r="N28" s="36">
        <f>SUM(B28:M28)</f>
        <v/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0</v>
      </c>
      <c r="L29" s="35" t="n">
        <v>0</v>
      </c>
      <c r="M29" s="35" t="n">
        <v>0</v>
      </c>
      <c r="N29" s="36">
        <f>SUM(B29:M29)</f>
        <v/>
      </c>
      <c r="O29" s="37" t="n">
        <v>0</v>
      </c>
      <c r="P29" s="37" t="n">
        <v>0</v>
      </c>
      <c r="Q29" s="37" t="n">
        <v>0</v>
      </c>
      <c r="R29" s="37" t="n">
        <v>0</v>
      </c>
      <c r="S29" s="37" t="n">
        <v>0</v>
      </c>
      <c r="T29" s="37" t="n">
        <v>0</v>
      </c>
      <c r="U29" s="37" t="n">
        <v>0</v>
      </c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8" t="n"/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 t="n">
        <v>0</v>
      </c>
      <c r="P30" s="37" t="n">
        <v>0</v>
      </c>
      <c r="Q30" s="37" t="n">
        <v>0</v>
      </c>
      <c r="R30" s="37" t="n">
        <v>0</v>
      </c>
      <c r="S30" s="37" t="n">
        <v>0</v>
      </c>
      <c r="T30" s="37" t="n">
        <v>0</v>
      </c>
      <c r="U30" s="37" t="n">
        <v>0</v>
      </c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0</v>
      </c>
      <c r="L31" s="35" t="n">
        <v>0</v>
      </c>
      <c r="M31" s="35" t="n">
        <v>0</v>
      </c>
      <c r="N31" s="36">
        <f>SUM(B31:M31)</f>
        <v/>
      </c>
      <c r="O31" s="37" t="n">
        <v>0</v>
      </c>
      <c r="P31" s="37" t="n">
        <v>0</v>
      </c>
      <c r="Q31" s="37" t="n">
        <v>0</v>
      </c>
      <c r="R31" s="37" t="n">
        <v>0</v>
      </c>
      <c r="S31" s="37" t="n">
        <v>0</v>
      </c>
      <c r="T31" s="37" t="n">
        <v>0</v>
      </c>
      <c r="U31" s="37" t="n">
        <v>0</v>
      </c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 t="n">
        <v>0</v>
      </c>
      <c r="P32" s="37" t="n">
        <v>0</v>
      </c>
      <c r="Q32" s="37" t="n">
        <v>0</v>
      </c>
      <c r="R32" s="37" t="n">
        <v>0</v>
      </c>
      <c r="S32" s="37" t="n">
        <v>0</v>
      </c>
      <c r="T32" s="37" t="n">
        <v>0</v>
      </c>
      <c r="U32" s="37" t="n">
        <v>0</v>
      </c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8" t="n"/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 t="n">
        <v>0</v>
      </c>
      <c r="P33" s="37" t="n">
        <v>0</v>
      </c>
      <c r="Q33" s="37" t="n">
        <v>0</v>
      </c>
      <c r="R33" s="37" t="n">
        <v>0</v>
      </c>
      <c r="S33" s="37" t="n">
        <v>0</v>
      </c>
      <c r="T33" s="37" t="n">
        <v>0</v>
      </c>
      <c r="U33" s="37" t="n">
        <v>0</v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0</v>
      </c>
      <c r="C34" s="42" t="n">
        <v>0</v>
      </c>
      <c r="D34" s="42" t="n">
        <v>0</v>
      </c>
      <c r="E34" s="42" t="n">
        <v>104.48</v>
      </c>
      <c r="F34" s="42" t="n">
        <v>0</v>
      </c>
      <c r="G34" s="42" t="n">
        <v>0</v>
      </c>
      <c r="H34" s="42" t="n">
        <v>16.44</v>
      </c>
      <c r="I34" s="42" t="n">
        <v>0</v>
      </c>
      <c r="J34" s="42" t="n">
        <v>0</v>
      </c>
      <c r="K34" s="42" t="n">
        <v>0</v>
      </c>
      <c r="L34" s="42" t="n">
        <v>0</v>
      </c>
      <c r="M34" s="42" t="n">
        <v>0</v>
      </c>
      <c r="N34" s="43">
        <f>SUM(B34:M34)</f>
        <v/>
      </c>
      <c r="O34" s="44" t="n">
        <v>0</v>
      </c>
      <c r="P34" s="44" t="n">
        <v>0</v>
      </c>
      <c r="Q34" s="44" t="n">
        <v>0</v>
      </c>
      <c r="R34" s="44" t="n">
        <v>0</v>
      </c>
      <c r="S34" s="44" t="n">
        <v>0</v>
      </c>
      <c r="T34" s="44" t="n">
        <v>0</v>
      </c>
      <c r="U34" s="44" t="n">
        <v>0</v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0</v>
      </c>
      <c r="C37" s="35" t="n">
        <v>0</v>
      </c>
      <c r="D37" s="35" t="n">
        <v>0</v>
      </c>
      <c r="E37" s="35" t="n">
        <v>0</v>
      </c>
      <c r="F37" s="35" t="n">
        <v>0</v>
      </c>
      <c r="G37" s="35" t="n">
        <v>0</v>
      </c>
      <c r="H37" s="35" t="n">
        <v>0</v>
      </c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  <c r="N37" s="36">
        <f>SUM(B37:M37)</f>
        <v/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0</v>
      </c>
      <c r="C38" s="35" t="n">
        <v>0</v>
      </c>
      <c r="D38" s="35" t="n">
        <v>0</v>
      </c>
      <c r="E38" s="35" t="n">
        <v>0</v>
      </c>
      <c r="F38" s="35" t="n">
        <v>0</v>
      </c>
      <c r="G38" s="35" t="n">
        <v>0</v>
      </c>
      <c r="H38" s="35" t="n">
        <v>0</v>
      </c>
      <c r="I38" s="35" t="n">
        <v>0</v>
      </c>
      <c r="J38" s="35" t="n">
        <v>0</v>
      </c>
      <c r="K38" s="35" t="n">
        <v>0</v>
      </c>
      <c r="L38" s="35" t="n">
        <v>0</v>
      </c>
      <c r="M38" s="35" t="n">
        <v>-1212.84</v>
      </c>
      <c r="N38" s="36">
        <f>SUM(B38:M38)</f>
        <v/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0</v>
      </c>
      <c r="C39" s="35" t="n">
        <v>0</v>
      </c>
      <c r="D39" s="35" t="n">
        <v>0</v>
      </c>
      <c r="E39" s="35" t="n">
        <v>0</v>
      </c>
      <c r="F39" s="35" t="n">
        <v>0</v>
      </c>
      <c r="G39" s="35" t="n">
        <v>331.03</v>
      </c>
      <c r="H39" s="35" t="n">
        <v>0</v>
      </c>
      <c r="I39" s="35" t="n">
        <v>0</v>
      </c>
      <c r="J39" s="35" t="n">
        <v>0</v>
      </c>
      <c r="K39" s="35" t="n">
        <v>0</v>
      </c>
      <c r="L39" s="35" t="n">
        <v>0</v>
      </c>
      <c r="M39" s="35" t="n">
        <v>0</v>
      </c>
      <c r="N39" s="36">
        <f>SUM(B39:M39)</f>
        <v/>
      </c>
      <c r="O39" s="37" t="n">
        <v>0</v>
      </c>
      <c r="P39" s="37" t="n">
        <v>0</v>
      </c>
      <c r="Q39" s="37" t="n">
        <v>0</v>
      </c>
      <c r="R39" s="37" t="n">
        <v>0</v>
      </c>
      <c r="S39" s="37" t="n">
        <v>0</v>
      </c>
      <c r="T39" s="37" t="n">
        <v>0</v>
      </c>
      <c r="U39" s="37" t="n">
        <v>0</v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8" t="n"/>
      <c r="W40" s="38" t="n"/>
      <c r="X40" s="38" t="n"/>
      <c r="Y40" s="38" t="n"/>
      <c r="Z40" s="38" t="n"/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102.02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  <c r="N41" s="36">
        <f>SUM(B41:M41)</f>
        <v/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8" t="n"/>
      <c r="W41" s="38" t="n"/>
      <c r="X41" s="38" t="n"/>
      <c r="Y41" s="38" t="n"/>
      <c r="Z41" s="38" t="n"/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0</v>
      </c>
      <c r="D42" s="35" t="n">
        <v>0</v>
      </c>
      <c r="E42" s="35" t="n">
        <v>0</v>
      </c>
      <c r="F42" s="35" t="n">
        <v>0</v>
      </c>
      <c r="G42" s="35" t="n">
        <v>0</v>
      </c>
      <c r="H42" s="35" t="n">
        <v>0</v>
      </c>
      <c r="I42" s="35" t="n">
        <v>0</v>
      </c>
      <c r="J42" s="35" t="n">
        <v>0</v>
      </c>
      <c r="K42" s="35" t="n">
        <v>0</v>
      </c>
      <c r="L42" s="35" t="n">
        <v>0</v>
      </c>
      <c r="M42" s="35" t="n">
        <v>3.27</v>
      </c>
      <c r="N42" s="36">
        <f>SUM(B42:M42)</f>
        <v/>
      </c>
      <c r="O42" s="37" t="n">
        <v>0</v>
      </c>
      <c r="P42" s="37" t="n">
        <v>0</v>
      </c>
      <c r="Q42" s="37" t="n">
        <v>0</v>
      </c>
      <c r="R42" s="37" t="n">
        <v>0</v>
      </c>
      <c r="S42" s="37" t="n">
        <v>0</v>
      </c>
      <c r="T42" s="37" t="n">
        <v>0</v>
      </c>
      <c r="U42" s="37" t="n">
        <v>0</v>
      </c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2555.59</v>
      </c>
      <c r="C45" s="35" t="n">
        <v>2594.31</v>
      </c>
      <c r="D45" s="35" t="n">
        <v>2549.76</v>
      </c>
      <c r="E45" s="35" t="n">
        <v>2555.52</v>
      </c>
      <c r="F45" s="35" t="n">
        <v>2555.85</v>
      </c>
      <c r="G45" s="35" t="n">
        <v>2592.7</v>
      </c>
      <c r="H45" s="35" t="n">
        <v>2549.98</v>
      </c>
      <c r="I45" s="35" t="n">
        <v>2549.94</v>
      </c>
      <c r="J45" s="35" t="n">
        <v>2549.95</v>
      </c>
      <c r="K45" s="35" t="n">
        <v>549.84</v>
      </c>
      <c r="L45" s="35" t="n">
        <v>0</v>
      </c>
      <c r="M45" s="35" t="n">
        <v>1.99</v>
      </c>
      <c r="N45" s="36">
        <f>SUM(B45:M45)</f>
        <v/>
      </c>
      <c r="O45" s="37" t="n">
        <v>0</v>
      </c>
      <c r="P45" s="37" t="n">
        <v>0</v>
      </c>
      <c r="Q45" s="37" t="n">
        <v>0</v>
      </c>
      <c r="R45" s="37" t="n">
        <v>0</v>
      </c>
      <c r="S45" s="37" t="n">
        <v>0</v>
      </c>
      <c r="T45" s="37" t="n">
        <v>0</v>
      </c>
      <c r="U45" s="37" t="n">
        <v>0</v>
      </c>
      <c r="V45" s="38" t="n"/>
      <c r="W45" s="38" t="n"/>
      <c r="X45" s="38" t="n"/>
      <c r="Y45" s="38" t="n"/>
      <c r="Z45" s="38" t="n"/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2555.59</v>
      </c>
      <c r="C47" s="42" t="n">
        <v>2594.31</v>
      </c>
      <c r="D47" s="42" t="n">
        <v>2651.78</v>
      </c>
      <c r="E47" s="42" t="n">
        <v>2555.52</v>
      </c>
      <c r="F47" s="42" t="n">
        <v>2555.85</v>
      </c>
      <c r="G47" s="42" t="n">
        <v>2923.73</v>
      </c>
      <c r="H47" s="42" t="n">
        <v>2549.98</v>
      </c>
      <c r="I47" s="42" t="n">
        <v>2549.94</v>
      </c>
      <c r="J47" s="42" t="n">
        <v>2549.95</v>
      </c>
      <c r="K47" s="42" t="n">
        <v>549.84</v>
      </c>
      <c r="L47" s="42" t="n">
        <v>0</v>
      </c>
      <c r="M47" s="42" t="n">
        <v>-1207.58</v>
      </c>
      <c r="N47" s="52">
        <f>SUM(B47:M47)</f>
        <v/>
      </c>
      <c r="O47" s="44" t="n">
        <v>0</v>
      </c>
      <c r="P47" s="44" t="n">
        <v>0</v>
      </c>
      <c r="Q47" s="44" t="n">
        <v>0</v>
      </c>
      <c r="R47" s="44" t="n">
        <v>0</v>
      </c>
      <c r="S47" s="44" t="n">
        <v>0</v>
      </c>
      <c r="T47" s="44" t="n">
        <v>0</v>
      </c>
      <c r="U47" s="44" t="n">
        <v>0</v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9641.529999999999</v>
      </c>
      <c r="C48" s="23" t="n">
        <v>4716.309999999999</v>
      </c>
      <c r="D48" s="23" t="n">
        <v>4241.450000000001</v>
      </c>
      <c r="E48" s="23" t="n">
        <v>3457.44</v>
      </c>
      <c r="F48" s="23" t="n">
        <v>4681.54</v>
      </c>
      <c r="G48" s="23" t="n">
        <v>6634</v>
      </c>
      <c r="H48" s="23" t="n">
        <v>9806.99</v>
      </c>
      <c r="I48" s="23" t="n">
        <v>5983.940000000001</v>
      </c>
      <c r="J48" s="23" t="n">
        <v>5450.98</v>
      </c>
      <c r="K48" s="23" t="n">
        <v>4671.64</v>
      </c>
      <c r="L48" s="23" t="n">
        <v>3846.66</v>
      </c>
      <c r="M48" s="23" t="n">
        <v>3082.98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-9641.529999999999</v>
      </c>
      <c r="C50" s="55" t="n">
        <v>-4671.809999999999</v>
      </c>
      <c r="D50" s="55" t="n">
        <v>-4241.450000000001</v>
      </c>
      <c r="E50" s="55" t="n">
        <v>-3457.44</v>
      </c>
      <c r="F50" s="55" t="n">
        <v>-4681.54</v>
      </c>
      <c r="G50" s="55" t="n">
        <v>-6634</v>
      </c>
      <c r="H50" s="55" t="n">
        <v>-9806.99</v>
      </c>
      <c r="I50" s="55" t="n">
        <v>-5983.940000000001</v>
      </c>
      <c r="J50" s="55" t="n">
        <v>-5450.98</v>
      </c>
      <c r="K50" s="55" t="n">
        <v>-4671.64</v>
      </c>
      <c r="L50" s="55" t="n">
        <v>-3846.66</v>
      </c>
      <c r="M50" s="55" t="n">
        <v>-3082.98</v>
      </c>
      <c r="N50" s="55">
        <f>SUM(B50:M50)</f>
        <v/>
      </c>
      <c r="O50" s="55" t="n">
        <v>0</v>
      </c>
      <c r="P50" s="55" t="n">
        <v>0</v>
      </c>
      <c r="Q50" s="55" t="n">
        <v>0</v>
      </c>
      <c r="R50" s="55" t="n">
        <v>0</v>
      </c>
      <c r="S50" s="55" t="n">
        <v>0</v>
      </c>
      <c r="T50" s="55" t="n">
        <v>0</v>
      </c>
      <c r="U50" s="55" t="n">
        <v>0</v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 t="n">
        <v>110561.6</v>
      </c>
      <c r="P53" s="37" t="n">
        <v>104194.85</v>
      </c>
      <c r="Q53" s="37" t="n">
        <v>122684.97</v>
      </c>
      <c r="R53" s="37" t="n">
        <v>172859.62</v>
      </c>
      <c r="S53" s="37" t="n">
        <v>117438.53</v>
      </c>
      <c r="T53" s="37" t="n">
        <v>116497.42</v>
      </c>
      <c r="U53" s="37" t="n">
        <v>117057.9</v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 t="n">
        <v>15829.25</v>
      </c>
      <c r="P54" s="37" t="n">
        <v>14890.45</v>
      </c>
      <c r="Q54" s="37" t="n">
        <v>17671.3</v>
      </c>
      <c r="R54" s="37" t="n">
        <v>25136.38</v>
      </c>
      <c r="S54" s="37" t="n">
        <v>16772.83</v>
      </c>
      <c r="T54" s="37" t="n">
        <v>16744.56</v>
      </c>
      <c r="U54" s="37" t="n">
        <v>16640.7</v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585.15</v>
      </c>
      <c r="U55" s="37" t="n">
        <v>585.15</v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 t="n">
        <v>1185.13</v>
      </c>
      <c r="P56" s="37" t="n">
        <v>1099.1</v>
      </c>
      <c r="Q56" s="37" t="n">
        <v>1911.99</v>
      </c>
      <c r="R56" s="37" t="n">
        <v>1982.45</v>
      </c>
      <c r="S56" s="37" t="n">
        <v>1897.62</v>
      </c>
      <c r="T56" s="37" t="n">
        <v>1896.13</v>
      </c>
      <c r="U56" s="37" t="n">
        <v>1156.53</v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 t="n">
        <v>0</v>
      </c>
      <c r="P57" s="37" t="n">
        <v>0</v>
      </c>
      <c r="Q57" s="37" t="n">
        <v>0</v>
      </c>
      <c r="R57" s="37" t="n">
        <v>0</v>
      </c>
      <c r="S57" s="37" t="n">
        <v>0</v>
      </c>
      <c r="T57" s="37" t="n">
        <v>0</v>
      </c>
      <c r="U57" s="37" t="n">
        <v>0</v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 t="n">
        <v>0</v>
      </c>
      <c r="P58" s="37" t="n">
        <v>0</v>
      </c>
      <c r="Q58" s="37" t="n">
        <v>12212.4</v>
      </c>
      <c r="R58" s="37" t="n">
        <v>2756.4</v>
      </c>
      <c r="S58" s="37" t="n">
        <v>0</v>
      </c>
      <c r="T58" s="37" t="n">
        <v>0</v>
      </c>
      <c r="U58" s="37" t="n">
        <v>195.75</v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5" t="n">
        <v>0</v>
      </c>
      <c r="J59" s="35" t="n">
        <v>0</v>
      </c>
      <c r="K59" s="35" t="n">
        <v>0</v>
      </c>
      <c r="L59" s="35" t="n">
        <v>0</v>
      </c>
      <c r="M59" s="35" t="n">
        <v>0</v>
      </c>
      <c r="N59" s="36">
        <f>SUM(B59:M59)</f>
        <v/>
      </c>
      <c r="O59" s="37" t="n">
        <v>2238.11</v>
      </c>
      <c r="P59" s="37" t="n">
        <v>1404.87</v>
      </c>
      <c r="Q59" s="37" t="n">
        <v>1404.87</v>
      </c>
      <c r="R59" s="37" t="n">
        <v>2893.39</v>
      </c>
      <c r="S59" s="37" t="n">
        <v>2933.33</v>
      </c>
      <c r="T59" s="37" t="n">
        <v>14489.47</v>
      </c>
      <c r="U59" s="37" t="n">
        <v>3526.92</v>
      </c>
      <c r="V59" s="38" t="n"/>
      <c r="W59" s="38" t="n"/>
      <c r="X59" s="38" t="n"/>
      <c r="Y59" s="38" t="n"/>
      <c r="Z59" s="38" t="n"/>
      <c r="AA59" s="36">
        <f>SUM(O59:U59)</f>
        <v/>
      </c>
      <c r="AB59" s="36">
        <f>SUM(O59:Z59)</f>
        <v/>
      </c>
      <c r="AC59" s="38" t="n"/>
      <c r="AD59" s="38" t="n"/>
      <c r="AE59" s="38" t="n"/>
      <c r="AF59" s="38" t="n"/>
      <c r="AG59" s="38" t="n"/>
      <c r="AH59" s="38" t="n"/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1830.97</v>
      </c>
      <c r="C60" s="35" t="n">
        <v>458.41</v>
      </c>
      <c r="D60" s="35" t="n">
        <v>256.59</v>
      </c>
      <c r="E60" s="35" t="n">
        <v>385.3100000000001</v>
      </c>
      <c r="F60" s="35" t="n">
        <v>206.21</v>
      </c>
      <c r="G60" s="35" t="n">
        <v>108.78</v>
      </c>
      <c r="H60" s="35" t="n">
        <v>259.42</v>
      </c>
      <c r="I60" s="35" t="n">
        <v>188.7</v>
      </c>
      <c r="J60" s="35" t="n">
        <v>247.71</v>
      </c>
      <c r="K60" s="35" t="n">
        <v>308.29</v>
      </c>
      <c r="L60" s="35" t="n">
        <v>237.44</v>
      </c>
      <c r="M60" s="35" t="n">
        <v>53.14</v>
      </c>
      <c r="N60" s="36">
        <f>SUM(B60:M60)</f>
        <v/>
      </c>
      <c r="O60" s="37" t="n">
        <v>1186.5</v>
      </c>
      <c r="P60" s="37" t="n">
        <v>1186.5</v>
      </c>
      <c r="Q60" s="37" t="n">
        <v>1186.5</v>
      </c>
      <c r="R60" s="37" t="n">
        <v>2593.73</v>
      </c>
      <c r="S60" s="37" t="n">
        <v>2593.73</v>
      </c>
      <c r="T60" s="37" t="n">
        <v>2593.73</v>
      </c>
      <c r="U60" s="37" t="n">
        <v>2593.71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-1.71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0</v>
      </c>
      <c r="N61" s="36">
        <f>SUM(B61:M61)</f>
        <v/>
      </c>
      <c r="O61" s="37" t="n">
        <v>5384.61</v>
      </c>
      <c r="P61" s="37" t="n">
        <v>7655.49</v>
      </c>
      <c r="Q61" s="37" t="n">
        <v>7967.039999999999</v>
      </c>
      <c r="R61" s="37" t="n">
        <v>9289.66</v>
      </c>
      <c r="S61" s="37" t="n">
        <v>9122.59</v>
      </c>
      <c r="T61" s="37" t="n">
        <v>16372.61</v>
      </c>
      <c r="U61" s="37" t="n">
        <v>8138.370000000001</v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697.5</v>
      </c>
      <c r="K62" s="35" t="n">
        <v>0</v>
      </c>
      <c r="L62" s="35" t="n">
        <v>0</v>
      </c>
      <c r="M62" s="35" t="n">
        <v>20</v>
      </c>
      <c r="N62" s="36">
        <f>SUM(B62:M62)</f>
        <v/>
      </c>
      <c r="O62" s="37" t="n">
        <v>1610.78</v>
      </c>
      <c r="P62" s="37" t="n">
        <v>345.22</v>
      </c>
      <c r="Q62" s="37" t="n">
        <v>0</v>
      </c>
      <c r="R62" s="37" t="n">
        <v>43.47000000000003</v>
      </c>
      <c r="S62" s="37" t="n">
        <v>88.89</v>
      </c>
      <c r="T62" s="37" t="n">
        <v>1710.61</v>
      </c>
      <c r="U62" s="37" t="n">
        <v>1093.44</v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 t="n">
        <v>0</v>
      </c>
      <c r="P63" s="37" t="n">
        <v>0</v>
      </c>
      <c r="Q63" s="37" t="n">
        <v>0</v>
      </c>
      <c r="R63" s="37" t="n">
        <v>0</v>
      </c>
      <c r="S63" s="37" t="n">
        <v>0</v>
      </c>
      <c r="T63" s="37" t="n">
        <v>0</v>
      </c>
      <c r="U63" s="37" t="n">
        <v>0</v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30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 t="n">
        <v>13797.88</v>
      </c>
      <c r="P65" s="37" t="n">
        <v>5720.969999999999</v>
      </c>
      <c r="Q65" s="37" t="n">
        <v>5427.91</v>
      </c>
      <c r="R65" s="37" t="n">
        <v>4311.21</v>
      </c>
      <c r="S65" s="37" t="n">
        <v>4359.15</v>
      </c>
      <c r="T65" s="37" t="n">
        <v>4667.76</v>
      </c>
      <c r="U65" s="37" t="n">
        <v>27831.66</v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 t="n">
        <v>0</v>
      </c>
      <c r="P66" s="37" t="n">
        <v>0</v>
      </c>
      <c r="Q66" s="37" t="n">
        <v>0</v>
      </c>
      <c r="R66" s="37" t="n">
        <v>0</v>
      </c>
      <c r="S66" s="37" t="n">
        <v>0</v>
      </c>
      <c r="T66" s="37" t="n">
        <v>0</v>
      </c>
      <c r="U66" s="37" t="n">
        <v>0</v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1220.4</v>
      </c>
      <c r="F67" s="35" t="n">
        <v>0</v>
      </c>
      <c r="G67" s="35" t="n">
        <v>0</v>
      </c>
      <c r="H67" s="35" t="n">
        <v>62.55</v>
      </c>
      <c r="I67" s="35" t="n">
        <v>62.55</v>
      </c>
      <c r="J67" s="35" t="n">
        <v>62.55</v>
      </c>
      <c r="K67" s="35" t="n">
        <v>62.55</v>
      </c>
      <c r="L67" s="35" t="n">
        <v>62.55</v>
      </c>
      <c r="M67" s="35" t="n">
        <v>1002.15</v>
      </c>
      <c r="N67" s="36">
        <f>SUM(B67:M67)</f>
        <v/>
      </c>
      <c r="O67" s="37" t="n">
        <v>0</v>
      </c>
      <c r="P67" s="37" t="n">
        <v>0</v>
      </c>
      <c r="Q67" s="37" t="n">
        <v>0</v>
      </c>
      <c r="R67" s="37" t="n">
        <v>0</v>
      </c>
      <c r="S67" s="37" t="n">
        <v>0</v>
      </c>
      <c r="T67" s="37" t="n">
        <v>0</v>
      </c>
      <c r="U67" s="37" t="n">
        <v>162.4</v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26.95</v>
      </c>
      <c r="C68" s="35" t="n">
        <v>29.75</v>
      </c>
      <c r="D68" s="35" t="n">
        <v>23.45</v>
      </c>
      <c r="E68" s="35" t="n">
        <v>28.7</v>
      </c>
      <c r="F68" s="35" t="n">
        <v>25.2</v>
      </c>
      <c r="G68" s="35" t="n">
        <v>24.15</v>
      </c>
      <c r="H68" s="35" t="n">
        <v>24.85</v>
      </c>
      <c r="I68" s="35" t="n">
        <v>23.8</v>
      </c>
      <c r="J68" s="35" t="n">
        <v>17.85</v>
      </c>
      <c r="K68" s="35" t="n">
        <v>20.3</v>
      </c>
      <c r="L68" s="35" t="n">
        <v>21</v>
      </c>
      <c r="M68" s="35" t="n">
        <v>19.95</v>
      </c>
      <c r="N68" s="36">
        <f>SUM(B68:M68)</f>
        <v/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1857.92</v>
      </c>
      <c r="C69" s="42" t="n">
        <v>518.1600000000001</v>
      </c>
      <c r="D69" s="42" t="n">
        <v>280.04</v>
      </c>
      <c r="E69" s="42" t="n">
        <v>1634.41</v>
      </c>
      <c r="F69" s="42" t="n">
        <v>231.41</v>
      </c>
      <c r="G69" s="42" t="n">
        <v>132.93</v>
      </c>
      <c r="H69" s="42" t="n">
        <v>345.1100000000001</v>
      </c>
      <c r="I69" s="42" t="n">
        <v>275.05</v>
      </c>
      <c r="J69" s="42" t="n">
        <v>1025.61</v>
      </c>
      <c r="K69" s="42" t="n">
        <v>391.14</v>
      </c>
      <c r="L69" s="42" t="n">
        <v>320.99</v>
      </c>
      <c r="M69" s="42" t="n">
        <v>1095.24</v>
      </c>
      <c r="N69" s="43">
        <f>SUM(B69:M69)</f>
        <v/>
      </c>
      <c r="O69" s="44" t="n">
        <v>0</v>
      </c>
      <c r="P69" s="44" t="n">
        <v>0</v>
      </c>
      <c r="Q69" s="44" t="n">
        <v>0</v>
      </c>
      <c r="R69" s="44" t="n">
        <v>0</v>
      </c>
      <c r="S69" s="44" t="n">
        <v>0</v>
      </c>
      <c r="T69" s="44" t="n">
        <v>0</v>
      </c>
      <c r="U69" s="44" t="n">
        <v>0</v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-11499.45</v>
      </c>
      <c r="C70" s="55" t="n">
        <v>-5189.969999999999</v>
      </c>
      <c r="D70" s="55" t="n">
        <v>-4521.490000000001</v>
      </c>
      <c r="E70" s="55" t="n">
        <v>-5091.85</v>
      </c>
      <c r="F70" s="55" t="n">
        <v>-4912.95</v>
      </c>
      <c r="G70" s="55" t="n">
        <v>-6766.93</v>
      </c>
      <c r="H70" s="55" t="n">
        <v>-10152.1</v>
      </c>
      <c r="I70" s="55" t="n">
        <v>-6258.990000000001</v>
      </c>
      <c r="J70" s="55" t="n">
        <v>-6476.589999999999</v>
      </c>
      <c r="K70" s="55" t="n">
        <v>-5062.780000000001</v>
      </c>
      <c r="L70" s="55" t="n">
        <v>-4167.65</v>
      </c>
      <c r="M70" s="55" t="n">
        <v>-4178.22</v>
      </c>
      <c r="N70" s="55">
        <f>SUM(B70:M70)</f>
        <v/>
      </c>
      <c r="O70" s="55" t="n">
        <v>0</v>
      </c>
      <c r="P70" s="55" t="n">
        <v>0</v>
      </c>
      <c r="Q70" s="55" t="n">
        <v>0</v>
      </c>
      <c r="R70" s="55" t="n">
        <v>0</v>
      </c>
      <c r="S70" s="55" t="n">
        <v>0</v>
      </c>
      <c r="T70" s="55" t="n">
        <v>0</v>
      </c>
      <c r="U70" s="55" t="n">
        <v>0</v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54" t="n"/>
      <c r="B71" s="55" t="n"/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5" t="n"/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  <c r="Z71" s="55" t="n"/>
      <c r="AA71" s="55" t="n"/>
      <c r="AB71" s="55" t="n"/>
      <c r="AC71" s="55" t="n"/>
      <c r="AD71" s="55" t="n"/>
      <c r="AE71" s="55" t="n"/>
      <c r="AF71" s="55" t="n"/>
      <c r="AG71" s="55" t="n"/>
      <c r="AH71" s="55" t="n"/>
      <c r="AI71" s="8" t="n"/>
      <c r="AJ71" s="55" t="n"/>
      <c r="AK71" s="55" t="n"/>
      <c r="AL71" s="55" t="n"/>
      <c r="AM71" s="55" t="n"/>
      <c r="AN71" s="55" t="n"/>
      <c r="AO71" s="55" t="n"/>
      <c r="AP71" s="55" t="n"/>
    </row>
    <row r="72">
      <c r="A72" s="28" t="n"/>
      <c r="B72" s="56" t="n"/>
      <c r="C72" s="56" t="n"/>
      <c r="D72" s="56" t="n"/>
      <c r="E72" s="56" t="n"/>
      <c r="F72" s="56" t="n"/>
      <c r="G72" s="56" t="n"/>
      <c r="H72" s="56" t="n"/>
      <c r="I72" s="56" t="n"/>
      <c r="J72" s="56" t="n"/>
      <c r="K72" s="56" t="n"/>
      <c r="L72" s="56" t="n"/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  <c r="Y72" s="56" t="n"/>
      <c r="Z72" s="56" t="n"/>
      <c r="AA72" s="56">
        <f>SUM(O72:T72)</f>
        <v/>
      </c>
      <c r="AB72" s="56" t="n"/>
      <c r="AC72" s="56" t="n"/>
      <c r="AD72" s="56" t="n"/>
      <c r="AE72" s="56" t="n"/>
      <c r="AF72" s="56" t="n"/>
      <c r="AG72" s="56" t="n"/>
      <c r="AH72" s="56" t="n"/>
      <c r="AI72" s="8" t="n"/>
      <c r="AJ72" s="56" t="n"/>
      <c r="AK72" s="56" t="n"/>
      <c r="AL72" s="56" t="n"/>
      <c r="AM72" s="56" t="n"/>
      <c r="AN72" s="56" t="n"/>
      <c r="AO72" s="56" t="n"/>
      <c r="AP72" s="56" t="n"/>
    </row>
    <row r="73">
      <c r="A73" s="28" t="inlineStr">
        <is>
          <t>Borrowing Costs</t>
        </is>
      </c>
      <c r="B73" s="56" t="n"/>
      <c r="C73" s="56" t="n"/>
      <c r="D73" s="56" t="n"/>
      <c r="E73" s="56" t="n"/>
      <c r="F73" s="56" t="n"/>
      <c r="G73" s="56" t="n"/>
      <c r="H73" s="56" t="n"/>
      <c r="I73" s="56" t="n"/>
      <c r="J73" s="56" t="n"/>
      <c r="K73" s="56" t="n"/>
      <c r="L73" s="56" t="n"/>
      <c r="M73" s="56" t="n"/>
      <c r="N73" s="56" t="n"/>
      <c r="O73" s="56" t="n">
        <v>0</v>
      </c>
      <c r="P73" s="56" t="n">
        <v>0</v>
      </c>
      <c r="Q73" s="56" t="n">
        <v>0</v>
      </c>
      <c r="R73" s="56" t="n">
        <v>0</v>
      </c>
      <c r="S73" s="56" t="n">
        <v>0</v>
      </c>
      <c r="T73" s="56" t="n">
        <v>0</v>
      </c>
      <c r="U73" s="56" t="n">
        <v>1</v>
      </c>
      <c r="V73" s="56" t="n">
        <v>0</v>
      </c>
      <c r="W73" s="56" t="n">
        <v>0</v>
      </c>
      <c r="X73" s="56" t="n">
        <v>0</v>
      </c>
      <c r="Y73" s="56" t="n">
        <v>0</v>
      </c>
      <c r="Z73" s="56" t="n">
        <v>0</v>
      </c>
      <c r="AA73" s="56" t="n"/>
      <c r="AB73" s="60" t="n">
        <v>0</v>
      </c>
      <c r="AC73" s="56" t="n"/>
      <c r="AD73" s="56" t="n"/>
      <c r="AE73" s="56" t="n"/>
      <c r="AF73" s="56" t="n"/>
      <c r="AG73" s="56" t="n"/>
      <c r="AH73" s="56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28" t="inlineStr">
        <is>
          <t>Depreciation</t>
        </is>
      </c>
      <c r="B74" s="56" t="n"/>
      <c r="C74" s="56" t="n"/>
      <c r="D74" s="56" t="n"/>
      <c r="E74" s="56" t="n"/>
      <c r="F74" s="56" t="n"/>
      <c r="G74" s="56" t="n"/>
      <c r="H74" s="56" t="n"/>
      <c r="I74" s="56" t="n"/>
      <c r="J74" s="56" t="n"/>
      <c r="K74" s="56" t="n"/>
      <c r="L74" s="56" t="n"/>
      <c r="M74" s="56" t="n"/>
      <c r="N74" s="56" t="n"/>
      <c r="O74" s="56" t="n">
        <v>579.4525</v>
      </c>
      <c r="P74" s="56" t="n">
        <v>579.4525</v>
      </c>
      <c r="Q74" s="56" t="n">
        <v>579.4525</v>
      </c>
      <c r="R74" s="56" t="n">
        <v>579.4525</v>
      </c>
      <c r="S74" s="56" t="n">
        <v>579.4525</v>
      </c>
      <c r="T74" s="56" t="n">
        <v>579.4525</v>
      </c>
      <c r="U74" s="56" t="n">
        <v>580.4525</v>
      </c>
      <c r="V74" s="56" t="n">
        <v>547.8125</v>
      </c>
      <c r="W74" s="56" t="n">
        <v>547.8125</v>
      </c>
      <c r="X74" s="56" t="n">
        <v>547.8125</v>
      </c>
      <c r="Y74" s="56" t="n">
        <v>547.8125</v>
      </c>
      <c r="Z74" s="56" t="n">
        <v>542.1725</v>
      </c>
      <c r="AA74" s="56" t="n"/>
      <c r="AB74" s="60" t="n">
        <v>102606.8643965906</v>
      </c>
      <c r="AC74" s="56" t="n"/>
      <c r="AD74" s="56" t="n"/>
      <c r="AE74" s="56" t="n"/>
      <c r="AF74" s="56" t="n"/>
      <c r="AG74" s="56" t="n"/>
      <c r="AH74" s="56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28" t="inlineStr">
        <is>
          <t>Amortisation</t>
        </is>
      </c>
      <c r="B75" s="56" t="n"/>
      <c r="C75" s="56" t="n"/>
      <c r="D75" s="56" t="n"/>
      <c r="E75" s="56" t="n"/>
      <c r="F75" s="56" t="n"/>
      <c r="G75" s="56" t="n"/>
      <c r="H75" s="56" t="n"/>
      <c r="I75" s="56" t="n"/>
      <c r="J75" s="56" t="n"/>
      <c r="K75" s="56" t="n"/>
      <c r="L75" s="56" t="n"/>
      <c r="M75" s="56" t="n"/>
      <c r="N75" s="56" t="n"/>
      <c r="O75" s="56" t="n">
        <v>0</v>
      </c>
      <c r="P75" s="56" t="n">
        <v>0</v>
      </c>
      <c r="Q75" s="56" t="n">
        <v>0</v>
      </c>
      <c r="R75" s="56" t="n">
        <v>0</v>
      </c>
      <c r="S75" s="56" t="n">
        <v>0</v>
      </c>
      <c r="T75" s="56" t="n">
        <v>0</v>
      </c>
      <c r="U75" s="56" t="n">
        <v>1</v>
      </c>
      <c r="V75" s="56" t="n">
        <v>0</v>
      </c>
      <c r="W75" s="56" t="n">
        <v>0</v>
      </c>
      <c r="X75" s="56" t="n">
        <v>0</v>
      </c>
      <c r="Y75" s="56" t="n">
        <v>0</v>
      </c>
      <c r="Z75" s="56" t="n">
        <v>0</v>
      </c>
      <c r="AA75" s="56" t="n"/>
      <c r="AB75" s="60" t="n">
        <v>0</v>
      </c>
      <c r="AC75" s="56" t="n"/>
      <c r="AD75" s="56" t="n"/>
      <c r="AE75" s="56" t="n"/>
      <c r="AF75" s="56" t="n"/>
      <c r="AG75" s="56" t="n"/>
      <c r="AH75" s="56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28" t="inlineStr">
        <is>
          <t>Profit Before Tax</t>
        </is>
      </c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>
        <v>0</v>
      </c>
      <c r="P76" s="56" t="n">
        <v>0</v>
      </c>
      <c r="Q76" s="56" t="n">
        <v>0</v>
      </c>
      <c r="R76" s="56" t="n">
        <v>0</v>
      </c>
      <c r="S76" s="56" t="n">
        <v>0</v>
      </c>
      <c r="T76" s="56" t="n">
        <v>0</v>
      </c>
      <c r="U76" s="56" t="n">
        <v>0</v>
      </c>
      <c r="V76" s="56">
        <f>V70-V74</f>
        <v/>
      </c>
      <c r="W76" s="56">
        <f>W70-W74</f>
        <v/>
      </c>
      <c r="X76" s="56">
        <f>X70-X74</f>
        <v/>
      </c>
      <c r="Y76" s="56">
        <f>Y70-Y74</f>
        <v/>
      </c>
      <c r="Z76" s="56">
        <f>Z70-Z74</f>
        <v/>
      </c>
      <c r="AA76" s="56" t="n"/>
      <c r="AB76" s="56">
        <f>AB60-AB74</f>
        <v/>
      </c>
      <c r="AC76" s="56" t="n"/>
      <c r="AD76" s="56" t="n"/>
      <c r="AE76" s="56" t="n"/>
      <c r="AF76" s="56" t="n"/>
      <c r="AG76" s="56" t="n"/>
      <c r="AH76" s="56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 ht="15.75" customHeight="1">
      <c r="A77" s="82" t="inlineStr">
        <is>
          <t>Corp Tax Due</t>
        </is>
      </c>
      <c r="B77" s="72" t="n"/>
      <c r="C77" s="72" t="n"/>
      <c r="D77" s="72" t="n"/>
      <c r="E77" s="72" t="n"/>
      <c r="F77" s="72" t="n"/>
      <c r="G77" s="72" t="n"/>
      <c r="H77" s="72" t="n"/>
      <c r="I77" s="72" t="n"/>
      <c r="J77" s="72" t="n"/>
      <c r="K77" s="72" t="n"/>
      <c r="L77" s="72" t="n"/>
      <c r="M77" s="72" t="n"/>
      <c r="N77" s="72" t="n"/>
      <c r="O77" s="72" t="n">
        <v>0</v>
      </c>
      <c r="P77" s="72" t="n">
        <v>0</v>
      </c>
      <c r="Q77" s="72" t="n">
        <v>0</v>
      </c>
      <c r="R77" s="72" t="n">
        <v>0</v>
      </c>
      <c r="S77" s="72" t="n">
        <v>0</v>
      </c>
      <c r="T77" s="72" t="n">
        <v>0</v>
      </c>
      <c r="U77" s="72" t="n">
        <v>0</v>
      </c>
      <c r="V77" s="72">
        <f>V76*0.25</f>
        <v/>
      </c>
      <c r="W77" s="72">
        <f>W76*0.25</f>
        <v/>
      </c>
      <c r="X77" s="72">
        <f>X76*0.25</f>
        <v/>
      </c>
      <c r="Y77" s="72">
        <f>Y76*0.25</f>
        <v/>
      </c>
      <c r="Z77" s="72">
        <f>Z76*0.25</f>
        <v/>
      </c>
      <c r="AA77" s="72" t="n"/>
      <c r="AB77" s="72">
        <f>AB76*0.25</f>
        <v/>
      </c>
      <c r="AC77" s="72" t="n"/>
      <c r="AD77" s="72" t="n"/>
      <c r="AE77" s="72" t="n"/>
      <c r="AF77" s="72" t="n"/>
      <c r="AG77" s="72" t="n"/>
      <c r="AH77" s="72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 ht="15.75" customHeight="1">
      <c r="A78" s="22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60">
        <f>SUM(B78:M78)</f>
        <v/>
      </c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60">
        <f>SUM(O78:T78)</f>
        <v/>
      </c>
      <c r="AB78" s="56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34" t="inlineStr">
        <is>
          <t>Direct - Sales</t>
        </is>
      </c>
      <c r="B79" s="18" t="n">
        <v>0</v>
      </c>
      <c r="C79" s="18" t="n">
        <v>44.5</v>
      </c>
      <c r="D79" s="18" t="n">
        <v>0</v>
      </c>
      <c r="E79" s="18" t="n">
        <v>0</v>
      </c>
      <c r="F79" s="18" t="n">
        <v>0</v>
      </c>
      <c r="G79" s="18" t="n">
        <v>0</v>
      </c>
      <c r="H79" s="18" t="n">
        <v>0</v>
      </c>
      <c r="I79" s="18" t="n">
        <v>0</v>
      </c>
      <c r="J79" s="18" t="n">
        <v>0</v>
      </c>
      <c r="K79" s="18" t="n">
        <v>0</v>
      </c>
      <c r="L79" s="18" t="n">
        <v>0</v>
      </c>
      <c r="M79" s="18" t="n"/>
      <c r="N79" s="8" t="n"/>
      <c r="O79" s="60" t="n">
        <v>0</v>
      </c>
      <c r="P79" s="60" t="n">
        <v>0</v>
      </c>
      <c r="Q79" s="60" t="n">
        <v>0</v>
      </c>
      <c r="R79" s="60" t="n">
        <v>0</v>
      </c>
      <c r="S79" s="60" t="n">
        <v>0</v>
      </c>
      <c r="T79" s="60" t="n">
        <v>0</v>
      </c>
      <c r="U79" s="60" t="n">
        <v>0</v>
      </c>
      <c r="V79" s="60">
        <f>-SUMIF('YBHN Blank TB'!$T:$T,'YBHN HO P&amp;L'!$A79,'YBHN Blank TB'!J:J)-SUMIF('YBHN HO TB'!$T:$T,'YBHN HO P&amp;L'!$A79,'YBHN HO TB'!J:J)</f>
        <v/>
      </c>
      <c r="W79" s="60">
        <f>-SUMIF('YBHN Blank TB'!$T:$T,'YBHN HO P&amp;L'!$A79,'YBHN Blank TB'!K:K)-SUMIF('YBHN HO TB'!$T:$T,'YBHN HO P&amp;L'!$A79,'YBHN HO TB'!K:K)</f>
        <v/>
      </c>
      <c r="X79" s="60">
        <f>-SUMIF('YBHN Blank TB'!$T:$T,'YBHN HO P&amp;L'!$A79,'YBHN Blank TB'!L:L)-SUMIF('YBHN HO TB'!$T:$T,'YBHN HO P&amp;L'!$A79,'YBHN HO TB'!L:L)</f>
        <v/>
      </c>
      <c r="Y79" s="60">
        <f>-SUMIF('YBHN Blank TB'!$T:$T,'YBHN HO P&amp;L'!$A79,'YBHN Blank TB'!M:M)-SUMIF('YBHN HO TB'!$T:$T,'YBHN HO P&amp;L'!$A79,'YBHN HO TB'!M:M)</f>
        <v/>
      </c>
      <c r="Z79" s="60">
        <f>-SUMIF('YBHN Blank TB'!$T:$T,'YBHN HO P&amp;L'!$A79,'YBHN Blank TB'!N:N)-SUMIF('YBHN HO TB'!$T:$T,'YBHN HO P&amp;L'!$A79,'YBHN HO TB'!N:N)</f>
        <v/>
      </c>
      <c r="AA79" s="60">
        <f>SUM(O79:T79)</f>
        <v/>
      </c>
      <c r="AB79" s="56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>
      <c r="A80" s="60" t="inlineStr">
        <is>
          <t>Direct - Staff Cost</t>
        </is>
      </c>
      <c r="B80" s="60" t="n">
        <v>-7085.94</v>
      </c>
      <c r="C80" s="60" t="n">
        <v>-2122</v>
      </c>
      <c r="D80" s="60" t="n">
        <v>-1589.67</v>
      </c>
      <c r="E80" s="60" t="n">
        <v>-797.4400000000001</v>
      </c>
      <c r="F80" s="60" t="n">
        <v>-2125.69</v>
      </c>
      <c r="G80" s="60" t="n">
        <v>-3710.27</v>
      </c>
      <c r="H80" s="60" t="n">
        <v>-7240.57</v>
      </c>
      <c r="I80" s="60" t="n">
        <v>-3434</v>
      </c>
      <c r="J80" s="60" t="n">
        <v>-2901.03</v>
      </c>
      <c r="K80" s="60" t="n">
        <v>-4121.8</v>
      </c>
      <c r="L80" s="60" t="n">
        <v>-3846.66</v>
      </c>
      <c r="M80" s="8" t="n"/>
      <c r="N80" s="8" t="n"/>
      <c r="O80" s="60" t="n">
        <v>0</v>
      </c>
      <c r="P80" s="60" t="n">
        <v>0</v>
      </c>
      <c r="Q80" s="60" t="n">
        <v>0</v>
      </c>
      <c r="R80" s="60" t="n">
        <v>0</v>
      </c>
      <c r="S80" s="60" t="n">
        <v>0</v>
      </c>
      <c r="T80" s="60" t="n">
        <v>0</v>
      </c>
      <c r="U80" s="60" t="n">
        <v>0</v>
      </c>
      <c r="V80" s="60">
        <f>-SUMIF('YBHN Blank TB'!$T:$T,'YBHN HO P&amp;L'!$A80,'YBHN Blank TB'!J:J)-SUMIF('YBHN HO TB'!$T:$T,'YBHN HO P&amp;L'!$A80,'YBHN HO TB'!J:J)</f>
        <v/>
      </c>
      <c r="W80" s="60">
        <f>-SUMIF('YBHN Blank TB'!$T:$T,'YBHN HO P&amp;L'!$A80,'YBHN Blank TB'!K:K)-SUMIF('YBHN HO TB'!$T:$T,'YBHN HO P&amp;L'!$A80,'YBHN HO TB'!K:K)</f>
        <v/>
      </c>
      <c r="X80" s="60">
        <f>-SUMIF('YBHN Blank TB'!$T:$T,'YBHN HO P&amp;L'!$A80,'YBHN Blank TB'!L:L)-SUMIF('YBHN HO TB'!$T:$T,'YBHN HO P&amp;L'!$A80,'YBHN HO TB'!L:L)</f>
        <v/>
      </c>
      <c r="Y80" s="60">
        <f>-SUMIF('YBHN Blank TB'!$T:$T,'YBHN HO P&amp;L'!$A80,'YBHN Blank TB'!M:M)-SUMIF('YBHN HO TB'!$T:$T,'YBHN HO P&amp;L'!$A80,'YBHN HO TB'!M:M)</f>
        <v/>
      </c>
      <c r="Z80" s="60">
        <f>-SUMIF('YBHN Blank TB'!$T:$T,'YBHN HO P&amp;L'!$A80,'YBHN Blank TB'!N:N)-SUMIF('YBHN HO TB'!$T:$T,'YBHN HO P&amp;L'!$A80,'YBHN HO TB'!N:N)</f>
        <v/>
      </c>
      <c r="AA80" s="60">
        <f>SUM(O80:T80)</f>
        <v/>
      </c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60" t="inlineStr">
        <is>
          <t>Direct - Childcare Cost</t>
        </is>
      </c>
      <c r="B81" s="60" t="n">
        <v>0</v>
      </c>
      <c r="C81" s="60" t="n">
        <v>0</v>
      </c>
      <c r="D81" s="60" t="n">
        <v>0</v>
      </c>
      <c r="E81" s="60" t="n">
        <v>-104.48</v>
      </c>
      <c r="F81" s="60" t="n">
        <v>0</v>
      </c>
      <c r="G81" s="60" t="n">
        <v>0</v>
      </c>
      <c r="H81" s="60" t="n">
        <v>-16.44</v>
      </c>
      <c r="I81" s="60" t="n">
        <v>0</v>
      </c>
      <c r="J81" s="60" t="n">
        <v>0</v>
      </c>
      <c r="K81" s="60" t="n">
        <v>0</v>
      </c>
      <c r="L81" s="60" t="n">
        <v>0</v>
      </c>
      <c r="M81" s="8" t="n"/>
      <c r="N81" s="8" t="n"/>
      <c r="O81" s="60" t="n">
        <v>0</v>
      </c>
      <c r="P81" s="60" t="n">
        <v>0</v>
      </c>
      <c r="Q81" s="60" t="n">
        <v>0</v>
      </c>
      <c r="R81" s="60" t="n">
        <v>0</v>
      </c>
      <c r="S81" s="60" t="n">
        <v>0</v>
      </c>
      <c r="T81" s="60" t="n">
        <v>0</v>
      </c>
      <c r="U81" s="60" t="n">
        <v>0</v>
      </c>
      <c r="V81" s="60">
        <f>-SUMIF('YBHN Blank TB'!$T:$T,'YBHN HO P&amp;L'!$A81,'YBHN Blank TB'!J:J)-SUMIF('YBHN HO TB'!$T:$T,'YBHN HO P&amp;L'!$A81,'YBHN HO TB'!J:J)</f>
        <v/>
      </c>
      <c r="W81" s="60">
        <f>-SUMIF('YBHN Blank TB'!$T:$T,'YBHN HO P&amp;L'!$A81,'YBHN Blank TB'!K:K)-SUMIF('YBHN HO TB'!$T:$T,'YBHN HO P&amp;L'!$A81,'YBHN HO TB'!K:K)</f>
        <v/>
      </c>
      <c r="X81" s="60">
        <f>-SUMIF('YBHN Blank TB'!$T:$T,'YBHN HO P&amp;L'!$A81,'YBHN Blank TB'!L:L)-SUMIF('YBHN HO TB'!$T:$T,'YBHN HO P&amp;L'!$A81,'YBHN HO TB'!L:L)</f>
        <v/>
      </c>
      <c r="Y81" s="60">
        <f>-SUMIF('YBHN Blank TB'!$T:$T,'YBHN HO P&amp;L'!$A81,'YBHN Blank TB'!M:M)-SUMIF('YBHN HO TB'!$T:$T,'YBHN HO P&amp;L'!$A81,'YBHN HO TB'!M:M)</f>
        <v/>
      </c>
      <c r="Z81" s="60">
        <f>-SUMIF('YBHN Blank TB'!$T:$T,'YBHN HO P&amp;L'!$A81,'YBHN Blank TB'!N:N)-SUMIF('YBHN HO TB'!$T:$T,'YBHN HO P&amp;L'!$A81,'YBHN HO TB'!N:N)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60" t="inlineStr">
        <is>
          <t>Direct - Premises &amp; Admin</t>
        </is>
      </c>
      <c r="B82" s="18" t="n">
        <v>-2555.59</v>
      </c>
      <c r="C82" s="18" t="n">
        <v>-2594.31</v>
      </c>
      <c r="D82" s="18" t="n">
        <v>-2651.78</v>
      </c>
      <c r="E82" s="18" t="n">
        <v>-2555.52</v>
      </c>
      <c r="F82" s="18" t="n">
        <v>-2555.85</v>
      </c>
      <c r="G82" s="18" t="n">
        <v>-2923.73</v>
      </c>
      <c r="H82" s="18" t="n">
        <v>-2549.98</v>
      </c>
      <c r="I82" s="18" t="n">
        <v>-2549.94</v>
      </c>
      <c r="J82" s="18" t="n">
        <v>-2549.95</v>
      </c>
      <c r="K82" s="18" t="n">
        <v>-549.84</v>
      </c>
      <c r="L82" s="18" t="n">
        <v>0</v>
      </c>
      <c r="M82" s="18" t="n"/>
      <c r="N82" s="8" t="n"/>
      <c r="O82" s="60" t="n">
        <v>0</v>
      </c>
      <c r="P82" s="60" t="n">
        <v>0</v>
      </c>
      <c r="Q82" s="60" t="n">
        <v>0</v>
      </c>
      <c r="R82" s="60" t="n">
        <v>0</v>
      </c>
      <c r="S82" s="60" t="n">
        <v>0</v>
      </c>
      <c r="T82" s="60" t="n">
        <v>0</v>
      </c>
      <c r="U82" s="60" t="n">
        <v>0</v>
      </c>
      <c r="V82" s="60">
        <f>-SUMIF('YBHN Blank TB'!$T:$T,'YBHN HO P&amp;L'!$A82,'YBHN Blank TB'!J:J)-SUMIF('YBHN HO TB'!$T:$T,'YBHN HO P&amp;L'!$A82,'YBHN HO TB'!J:J)</f>
        <v/>
      </c>
      <c r="W82" s="60">
        <f>-SUMIF('YBHN Blank TB'!$T:$T,'YBHN HO P&amp;L'!$A82,'YBHN Blank TB'!K:K)-SUMIF('YBHN HO TB'!$T:$T,'YBHN HO P&amp;L'!$A82,'YBHN HO TB'!K:K)</f>
        <v/>
      </c>
      <c r="X82" s="60">
        <f>-SUMIF('YBHN Blank TB'!$T:$T,'YBHN HO P&amp;L'!$A82,'YBHN Blank TB'!L:L)-SUMIF('YBHN HO TB'!$T:$T,'YBHN HO P&amp;L'!$A82,'YBHN HO TB'!L:L)</f>
        <v/>
      </c>
      <c r="Y82" s="60">
        <f>-SUMIF('YBHN Blank TB'!$T:$T,'YBHN HO P&amp;L'!$A82,'YBHN Blank TB'!M:M)-SUMIF('YBHN HO TB'!$T:$T,'YBHN HO P&amp;L'!$A82,'YBHN HO TB'!M:M)</f>
        <v/>
      </c>
      <c r="Z82" s="60">
        <f>-SUMIF('YBHN Blank TB'!$T:$T,'YBHN HO P&amp;L'!$A82,'YBHN Blank TB'!N:N)-SUMIF('YBHN HO TB'!$T:$T,'YBHN HO P&amp;L'!$A82,'YBHN HO TB'!N:N)</f>
        <v/>
      </c>
      <c r="AA82" s="60">
        <f>SUM(O82:T82)</f>
        <v/>
      </c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60" t="inlineStr">
        <is>
          <t>In-Direct - Staff Cost</t>
        </is>
      </c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0</v>
      </c>
      <c r="G83" s="60" t="n">
        <v>0</v>
      </c>
      <c r="H83" s="60" t="n">
        <v>0</v>
      </c>
      <c r="I83" s="60" t="n">
        <v>0</v>
      </c>
      <c r="J83" s="60" t="n">
        <v>0</v>
      </c>
      <c r="K83" s="60" t="n">
        <v>0</v>
      </c>
      <c r="L83" s="60" t="n">
        <v>0</v>
      </c>
      <c r="M83" s="8" t="n"/>
      <c r="N83" s="8" t="n"/>
      <c r="O83" s="60" t="n">
        <v>0</v>
      </c>
      <c r="P83" s="60" t="n">
        <v>0</v>
      </c>
      <c r="Q83" s="60" t="n">
        <v>0</v>
      </c>
      <c r="R83" s="60" t="n">
        <v>0</v>
      </c>
      <c r="S83" s="60" t="n">
        <v>0</v>
      </c>
      <c r="T83" s="60" t="n">
        <v>0</v>
      </c>
      <c r="U83" s="60" t="n">
        <v>0</v>
      </c>
      <c r="V83" s="60">
        <f>-SUMIF('YBHN Blank TB'!$T:$T,'YBHN HO P&amp;L'!$A83,'YBHN Blank TB'!J:J)-SUMIF('YBHN HO TB'!$T:$T,'YBHN HO P&amp;L'!$A83,'YBHN HO TB'!J:J)</f>
        <v/>
      </c>
      <c r="W83" s="60">
        <f>-SUMIF('YBHN Blank TB'!$T:$T,'YBHN HO P&amp;L'!$A83,'YBHN Blank TB'!K:K)-SUMIF('YBHN HO TB'!$T:$T,'YBHN HO P&amp;L'!$A83,'YBHN HO TB'!K:K)</f>
        <v/>
      </c>
      <c r="X83" s="60">
        <f>-SUMIF('YBHN Blank TB'!$T:$T,'YBHN HO P&amp;L'!$A83,'YBHN Blank TB'!L:L)-SUMIF('YBHN HO TB'!$T:$T,'YBHN HO P&amp;L'!$A83,'YBHN HO TB'!L:L)</f>
        <v/>
      </c>
      <c r="Y83" s="60">
        <f>-SUMIF('YBHN Blank TB'!$T:$T,'YBHN HO P&amp;L'!$A83,'YBHN Blank TB'!M:M)-SUMIF('YBHN HO TB'!$T:$T,'YBHN HO P&amp;L'!$A83,'YBHN HO TB'!M:M)</f>
        <v/>
      </c>
      <c r="Z83" s="60">
        <f>-SUMIF('YBHN Blank TB'!$T:$T,'YBHN HO P&amp;L'!$A83,'YBHN Blank TB'!N:N)-SUMIF('YBHN HO TB'!$T:$T,'YBHN HO P&amp;L'!$A83,'YBHN HO TB'!N:N)</f>
        <v/>
      </c>
      <c r="AA83" s="60">
        <f>SUM(O83:T83)</f>
        <v/>
      </c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60" t="inlineStr">
        <is>
          <t>In-Direct - Overheads</t>
        </is>
      </c>
      <c r="B84" s="60" t="n">
        <v>-1857.92</v>
      </c>
      <c r="C84" s="60" t="n">
        <v>-518.1600000000001</v>
      </c>
      <c r="D84" s="60" t="n">
        <v>-280.04</v>
      </c>
      <c r="E84" s="60" t="n">
        <v>-1634.41</v>
      </c>
      <c r="F84" s="60" t="n">
        <v>-231.41</v>
      </c>
      <c r="G84" s="60" t="n">
        <v>-132.93</v>
      </c>
      <c r="H84" s="60" t="n">
        <v>-345.11</v>
      </c>
      <c r="I84" s="60" t="n">
        <v>-275.05</v>
      </c>
      <c r="J84" s="60" t="n">
        <v>-1025.61</v>
      </c>
      <c r="K84" s="60" t="n">
        <v>-391.14</v>
      </c>
      <c r="L84" s="60" t="n">
        <v>-320.99</v>
      </c>
      <c r="M84" s="8" t="n"/>
      <c r="N84" s="8" t="n"/>
      <c r="O84" s="60" t="n">
        <v>0</v>
      </c>
      <c r="P84" s="60" t="n">
        <v>0</v>
      </c>
      <c r="Q84" s="60" t="n">
        <v>0</v>
      </c>
      <c r="R84" s="60" t="n">
        <v>0</v>
      </c>
      <c r="S84" s="60" t="n">
        <v>0</v>
      </c>
      <c r="T84" s="60" t="n">
        <v>0</v>
      </c>
      <c r="U84" s="60" t="n">
        <v>0</v>
      </c>
      <c r="V84" s="60">
        <f>-SUMIF('YBHN Blank TB'!$T:$T,'YBHN HO P&amp;L'!$A84,'YBHN Blank TB'!J:J)-SUMIF('YBHN HO TB'!$T:$T,'YBHN HO P&amp;L'!$A84,'YBHN HO TB'!J:J)</f>
        <v/>
      </c>
      <c r="W84" s="60">
        <f>-SUMIF('YBHN Blank TB'!$T:$T,'YBHN HO P&amp;L'!$A84,'YBHN Blank TB'!K:K)-SUMIF('YBHN HO TB'!$T:$T,'YBHN HO P&amp;L'!$A84,'YBHN HO TB'!K:K)</f>
        <v/>
      </c>
      <c r="X84" s="60">
        <f>-SUMIF('YBHN Blank TB'!$T:$T,'YBHN HO P&amp;L'!$A84,'YBHN Blank TB'!L:L)-SUMIF('YBHN HO TB'!$T:$T,'YBHN HO P&amp;L'!$A84,'YBHN HO TB'!L:L)</f>
        <v/>
      </c>
      <c r="Y84" s="60">
        <f>-SUMIF('YBHN Blank TB'!$T:$T,'YBHN HO P&amp;L'!$A84,'YBHN Blank TB'!M:M)-SUMIF('YBHN HO TB'!$T:$T,'YBHN HO P&amp;L'!$A84,'YBHN HO TB'!M:M)</f>
        <v/>
      </c>
      <c r="Z84" s="60">
        <f>-SUMIF('YBHN Blank TB'!$T:$T,'YBHN HO P&amp;L'!$A84,'YBHN Blank TB'!N:N)-SUMIF('YBHN HO TB'!$T:$T,'YBHN HO P&amp;L'!$A84,'YBHN HO TB'!N:N)</f>
        <v/>
      </c>
      <c r="AA84" s="60">
        <f>SUM(O84:T84)</f>
        <v/>
      </c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 ht="15.75" customHeight="1">
      <c r="A85" s="8" t="n"/>
      <c r="B85" s="67" t="n">
        <v>-11499.45</v>
      </c>
      <c r="C85" s="67" t="n">
        <v>-5189.969999999999</v>
      </c>
      <c r="D85" s="67" t="n">
        <v>-4521.490000000001</v>
      </c>
      <c r="E85" s="67" t="n">
        <v>-5091.85</v>
      </c>
      <c r="F85" s="67" t="n">
        <v>-4912.95</v>
      </c>
      <c r="G85" s="67" t="n">
        <v>-6766.93</v>
      </c>
      <c r="H85" s="67" t="n">
        <v>-10152.1</v>
      </c>
      <c r="I85" s="67" t="n">
        <v>-6258.990000000001</v>
      </c>
      <c r="J85" s="67" t="n">
        <v>-6476.59</v>
      </c>
      <c r="K85" s="67" t="n">
        <v>-5062.780000000001</v>
      </c>
      <c r="L85" s="67" t="n">
        <v>-4167.65</v>
      </c>
      <c r="M85" s="18" t="n"/>
      <c r="N85" s="8" t="n"/>
      <c r="O85" s="64" t="n">
        <v>0</v>
      </c>
      <c r="P85" s="64" t="n">
        <v>0</v>
      </c>
      <c r="Q85" s="64" t="n">
        <v>0</v>
      </c>
      <c r="R85" s="64" t="n">
        <v>0</v>
      </c>
      <c r="S85" s="64" t="n">
        <v>0</v>
      </c>
      <c r="T85" s="64" t="n">
        <v>0</v>
      </c>
      <c r="U85" s="64" t="n">
        <v>0</v>
      </c>
      <c r="V85" s="64">
        <f>SUM(V79:V84)</f>
        <v/>
      </c>
      <c r="W85" s="64">
        <f>SUM(W79:W84)</f>
        <v/>
      </c>
      <c r="X85" s="64">
        <f>SUM(X79:X84)</f>
        <v/>
      </c>
      <c r="Y85" s="64">
        <f>SUM(Y79:Y84)</f>
        <v/>
      </c>
      <c r="Z85" s="64">
        <f>SUM(Z79:Z84)</f>
        <v/>
      </c>
      <c r="AA85" s="60">
        <f>SUM(O85:T85)</f>
        <v/>
      </c>
      <c r="AB85" s="8" t="n"/>
      <c r="AC85" s="64" t="n"/>
      <c r="AD85" s="64" t="n"/>
      <c r="AE85" s="64" t="n"/>
      <c r="AF85" s="64" t="n"/>
      <c r="AG85" s="64" t="n"/>
      <c r="AH85" s="64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 ht="15.75" customHeight="1">
      <c r="A86" s="8" t="n"/>
      <c r="B86" s="18" t="n">
        <v>0</v>
      </c>
      <c r="C86" s="18" t="n">
        <v>0</v>
      </c>
      <c r="D86" s="18" t="n">
        <v>0</v>
      </c>
      <c r="E86" s="18" t="n">
        <v>0</v>
      </c>
      <c r="F86" s="18" t="n">
        <v>0</v>
      </c>
      <c r="G86" s="18" t="n">
        <v>0</v>
      </c>
      <c r="H86" s="18" t="n">
        <v>0</v>
      </c>
      <c r="I86" s="18" t="n">
        <v>0</v>
      </c>
      <c r="J86" s="18" t="n">
        <v>0</v>
      </c>
      <c r="K86" s="18" t="n">
        <v>0</v>
      </c>
      <c r="L86" s="18" t="n">
        <v>0</v>
      </c>
      <c r="M86" s="18" t="n">
        <v>-4178.22</v>
      </c>
      <c r="N86" s="8" t="n"/>
      <c r="O86" s="60" t="n">
        <v>0</v>
      </c>
      <c r="P86" s="60" t="n">
        <v>0</v>
      </c>
      <c r="Q86" s="60" t="n">
        <v>0</v>
      </c>
      <c r="R86" s="60" t="n">
        <v>0</v>
      </c>
      <c r="S86" s="60" t="n">
        <v>0</v>
      </c>
      <c r="T86" s="60" t="n">
        <v>0</v>
      </c>
      <c r="U86" s="60" t="n">
        <v>0</v>
      </c>
      <c r="V86" s="60">
        <f>+V70-V85</f>
        <v/>
      </c>
      <c r="W86" s="60">
        <f>+W70-W85</f>
        <v/>
      </c>
      <c r="X86" s="60">
        <f>+X70-X85</f>
        <v/>
      </c>
      <c r="Y86" s="60">
        <f>+Y70-Y85</f>
        <v/>
      </c>
      <c r="Z86" s="60">
        <f>+Z70-Z85</f>
        <v/>
      </c>
      <c r="AA86" s="60">
        <f>SUM(O86:T86)</f>
        <v/>
      </c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60">
        <f>SUM(O87:T87)</f>
        <v/>
      </c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>
        <v>-26.95000000000073</v>
      </c>
      <c r="C88" s="18" t="n">
        <v>-29.75</v>
      </c>
      <c r="D88" s="18" t="n">
        <v>-23.44999999999982</v>
      </c>
      <c r="E88" s="18" t="n">
        <v>-28.70000000000073</v>
      </c>
      <c r="F88" s="18" t="n">
        <v>-25.19999999999982</v>
      </c>
      <c r="G88" s="18" t="n">
        <v>-24.15000000000146</v>
      </c>
      <c r="H88" s="18" t="n">
        <v>-24.85000000000036</v>
      </c>
      <c r="I88" s="18" t="n">
        <v>-23.80000000000018</v>
      </c>
      <c r="J88" s="18" t="n">
        <v>-17.85000000000036</v>
      </c>
      <c r="K88" s="18" t="n">
        <v>-20.30000000000109</v>
      </c>
      <c r="L88" s="18" t="n">
        <v>-20.99999999999909</v>
      </c>
      <c r="M88" s="18" t="n">
        <v>4158.27</v>
      </c>
      <c r="N88" s="8" t="n"/>
      <c r="O88" s="60" t="n">
        <v>0</v>
      </c>
      <c r="P88" s="60" t="n">
        <v>0</v>
      </c>
      <c r="Q88" s="60" t="n">
        <v>0</v>
      </c>
      <c r="R88" s="60" t="n">
        <v>0</v>
      </c>
      <c r="S88" s="60" t="n">
        <v>0</v>
      </c>
      <c r="T88" s="60" t="n">
        <v>0</v>
      </c>
      <c r="U88" s="60" t="n">
        <v>0</v>
      </c>
      <c r="V88" s="60">
        <f>V85+V89</f>
        <v/>
      </c>
      <c r="W88" s="60">
        <f>W85+W89</f>
        <v/>
      </c>
      <c r="X88" s="60">
        <f>X85+X89</f>
        <v/>
      </c>
      <c r="Y88" s="60">
        <f>Y85+Y89</f>
        <v/>
      </c>
      <c r="Z88" s="60">
        <f>Z85+Z89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>
        <v>11472.5</v>
      </c>
      <c r="C89" s="18" t="n">
        <v>5160.219999999999</v>
      </c>
      <c r="D89" s="18" t="n">
        <v>4498.040000000001</v>
      </c>
      <c r="E89" s="18" t="n">
        <v>5063.15</v>
      </c>
      <c r="F89" s="18" t="n">
        <v>4887.75</v>
      </c>
      <c r="G89" s="18" t="n">
        <v>6742.779999999999</v>
      </c>
      <c r="H89" s="18" t="n">
        <v>10127.25</v>
      </c>
      <c r="I89" s="18" t="n">
        <v>6235.190000000001</v>
      </c>
      <c r="J89" s="18" t="n">
        <v>6458.74</v>
      </c>
      <c r="K89" s="18" t="n">
        <v>5042.48</v>
      </c>
      <c r="L89" s="18" t="n">
        <v>4146.650000000001</v>
      </c>
      <c r="M89" s="18" t="n">
        <v>4158.27</v>
      </c>
      <c r="N89" s="8" t="n"/>
      <c r="O89" s="60" t="n">
        <v>0</v>
      </c>
      <c r="P89" s="60" t="n">
        <v>0</v>
      </c>
      <c r="Q89" s="60" t="n">
        <v>0</v>
      </c>
      <c r="R89" s="60" t="n">
        <v>0</v>
      </c>
      <c r="S89" s="60" t="n">
        <v>0</v>
      </c>
      <c r="T89" s="60" t="n">
        <v>0</v>
      </c>
      <c r="U89" s="60" t="n">
        <v>0</v>
      </c>
      <c r="V89" s="60">
        <f>SUM('YBHN Blank TB'!J2:J36)+SUM('YBHN HO TB'!J2:J43)</f>
        <v/>
      </c>
      <c r="W89" s="60">
        <f>SUM('YBHN Blank TB'!K2:K36)+SUM('YBHN HO TB'!K2:K43)</f>
        <v/>
      </c>
      <c r="X89" s="60">
        <f>SUM('YBHN Blank TB'!L2:L36)+SUM('YBHN HO TB'!L2:L43)</f>
        <v/>
      </c>
      <c r="Y89" s="60">
        <f>SUM('YBHN Blank TB'!M2:M36)+SUM('YBHN HO TB'!M2:M43)</f>
        <v/>
      </c>
      <c r="Z89" s="60">
        <f>SUM('YBHN Blank TB'!N2:N36)+SUM('YBHN HO TB'!N2:N43)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140625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YBN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37" t="n">
        <v>0</v>
      </c>
      <c r="U8" s="37" t="n">
        <v>0</v>
      </c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 t="n">
        <v>0</v>
      </c>
      <c r="P9" s="37" t="n">
        <v>0</v>
      </c>
      <c r="Q9" s="37" t="n">
        <v>0</v>
      </c>
      <c r="R9" s="37" t="n">
        <v>0</v>
      </c>
      <c r="S9" s="37" t="n">
        <v>0</v>
      </c>
      <c r="T9" s="37" t="n">
        <v>0</v>
      </c>
      <c r="U9" s="37" t="n">
        <v>0</v>
      </c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 t="n">
        <v>0</v>
      </c>
      <c r="P10" s="37" t="n">
        <v>0</v>
      </c>
      <c r="Q10" s="37" t="n">
        <v>0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3">
        <f>SUM(B11:M11)</f>
        <v/>
      </c>
      <c r="O11" s="44" t="n">
        <v>0</v>
      </c>
      <c r="P11" s="44" t="n">
        <v>0</v>
      </c>
      <c r="Q11" s="44" t="n">
        <v>0</v>
      </c>
      <c r="R11" s="44" t="n">
        <v>0</v>
      </c>
      <c r="S11" s="44" t="n">
        <v>0</v>
      </c>
      <c r="T11" s="44" t="n">
        <v>0</v>
      </c>
      <c r="U11" s="44" t="n">
        <v>0</v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 t="n">
        <v>0</v>
      </c>
      <c r="P13" s="47" t="n">
        <v>0</v>
      </c>
      <c r="Q13" s="47" t="n">
        <v>0</v>
      </c>
      <c r="R13" s="47" t="n">
        <v>0</v>
      </c>
      <c r="S13" s="47" t="n">
        <v>0</v>
      </c>
      <c r="T13" s="47" t="n">
        <v>0</v>
      </c>
      <c r="U13" s="47" t="n">
        <v>0</v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 t="n"/>
      <c r="AD13" s="47" t="n"/>
      <c r="AE13" s="47" t="n"/>
      <c r="AF13" s="47" t="n"/>
      <c r="AG13" s="47" t="n"/>
      <c r="AH13" s="47" t="n"/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37" t="n">
        <v>0</v>
      </c>
      <c r="U17" s="37" t="n">
        <v>0</v>
      </c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37" t="n">
        <v>0</v>
      </c>
      <c r="U18" s="37" t="n">
        <v>0</v>
      </c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0</v>
      </c>
      <c r="U19" s="37" t="n">
        <v>0</v>
      </c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0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0</v>
      </c>
      <c r="M20" s="35" t="n">
        <v>0</v>
      </c>
      <c r="N20" s="36">
        <f>SUM(B20:M20)</f>
        <v/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7" t="n">
        <v>0</v>
      </c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0</v>
      </c>
      <c r="K21" s="35" t="n">
        <v>0</v>
      </c>
      <c r="L21" s="35" t="n">
        <v>0</v>
      </c>
      <c r="M21" s="35" t="n">
        <v>0</v>
      </c>
      <c r="N21" s="36">
        <f>SUM(B21:M21)</f>
        <v/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37" t="n">
        <v>0</v>
      </c>
      <c r="U21" s="37" t="n">
        <v>0</v>
      </c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 t="n">
        <v>0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7" t="n">
        <v>0</v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0</v>
      </c>
      <c r="C25" s="42" t="n">
        <v>0</v>
      </c>
      <c r="D25" s="42" t="n">
        <v>0</v>
      </c>
      <c r="E25" s="42" t="n">
        <v>0</v>
      </c>
      <c r="F25" s="42" t="n">
        <v>0</v>
      </c>
      <c r="G25" s="42" t="n">
        <v>0</v>
      </c>
      <c r="H25" s="42" t="n">
        <v>0</v>
      </c>
      <c r="I25" s="42" t="n">
        <v>0</v>
      </c>
      <c r="J25" s="42" t="n">
        <v>0</v>
      </c>
      <c r="K25" s="42" t="n">
        <v>0</v>
      </c>
      <c r="L25" s="42" t="n">
        <v>0</v>
      </c>
      <c r="M25" s="42" t="n">
        <v>0</v>
      </c>
      <c r="N25" s="43">
        <f>SUM(B25:M25)</f>
        <v/>
      </c>
      <c r="O25" s="44" t="n">
        <v>0</v>
      </c>
      <c r="P25" s="44" t="n">
        <v>0</v>
      </c>
      <c r="Q25" s="44" t="n">
        <v>0</v>
      </c>
      <c r="R25" s="44" t="n">
        <v>0</v>
      </c>
      <c r="S25" s="44" t="n">
        <v>0</v>
      </c>
      <c r="T25" s="44" t="n">
        <v>0</v>
      </c>
      <c r="U25" s="44" t="n">
        <v>0</v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5" t="n">
        <v>0</v>
      </c>
      <c r="I27" s="35" t="n">
        <v>0</v>
      </c>
      <c r="J27" s="35" t="n">
        <v>0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 t="n">
        <v>0</v>
      </c>
      <c r="P27" s="37" t="n">
        <v>0</v>
      </c>
      <c r="Q27" s="37" t="n">
        <v>0</v>
      </c>
      <c r="R27" s="37" t="n">
        <v>0</v>
      </c>
      <c r="S27" s="37" t="n">
        <v>0</v>
      </c>
      <c r="T27" s="37" t="n">
        <v>0</v>
      </c>
      <c r="U27" s="37" t="n">
        <v>0</v>
      </c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8" t="n"/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0</v>
      </c>
      <c r="K28" s="35" t="n">
        <v>0</v>
      </c>
      <c r="L28" s="35" t="n">
        <v>0</v>
      </c>
      <c r="M28" s="35" t="n">
        <v>0</v>
      </c>
      <c r="N28" s="36">
        <f>SUM(B28:M28)</f>
        <v/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0</v>
      </c>
      <c r="L29" s="35" t="n">
        <v>45</v>
      </c>
      <c r="M29" s="35" t="n">
        <v>0</v>
      </c>
      <c r="N29" s="36">
        <f>SUM(B29:M29)</f>
        <v/>
      </c>
      <c r="O29" s="37" t="n">
        <v>0</v>
      </c>
      <c r="P29" s="37" t="n">
        <v>0</v>
      </c>
      <c r="Q29" s="37" t="n">
        <v>0</v>
      </c>
      <c r="R29" s="37" t="n">
        <v>0</v>
      </c>
      <c r="S29" s="37" t="n">
        <v>0</v>
      </c>
      <c r="T29" s="37" t="n">
        <v>0</v>
      </c>
      <c r="U29" s="37" t="n">
        <v>0</v>
      </c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8" t="n"/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 t="n">
        <v>0</v>
      </c>
      <c r="P30" s="37" t="n">
        <v>0</v>
      </c>
      <c r="Q30" s="37" t="n">
        <v>0</v>
      </c>
      <c r="R30" s="37" t="n">
        <v>0</v>
      </c>
      <c r="S30" s="37" t="n">
        <v>0</v>
      </c>
      <c r="T30" s="37" t="n">
        <v>0</v>
      </c>
      <c r="U30" s="37" t="n">
        <v>0</v>
      </c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0</v>
      </c>
      <c r="L31" s="35" t="n">
        <v>0</v>
      </c>
      <c r="M31" s="35" t="n">
        <v>0</v>
      </c>
      <c r="N31" s="36">
        <f>SUM(B31:M31)</f>
        <v/>
      </c>
      <c r="O31" s="37" t="n">
        <v>0</v>
      </c>
      <c r="P31" s="37" t="n">
        <v>0</v>
      </c>
      <c r="Q31" s="37" t="n">
        <v>0</v>
      </c>
      <c r="R31" s="37" t="n">
        <v>0</v>
      </c>
      <c r="S31" s="37" t="n">
        <v>0</v>
      </c>
      <c r="T31" s="37" t="n">
        <v>0</v>
      </c>
      <c r="U31" s="37" t="n">
        <v>0</v>
      </c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 t="n">
        <v>0</v>
      </c>
      <c r="P32" s="37" t="n">
        <v>0</v>
      </c>
      <c r="Q32" s="37" t="n">
        <v>0</v>
      </c>
      <c r="R32" s="37" t="n">
        <v>0</v>
      </c>
      <c r="S32" s="37" t="n">
        <v>0</v>
      </c>
      <c r="T32" s="37" t="n">
        <v>0</v>
      </c>
      <c r="U32" s="37" t="n">
        <v>0</v>
      </c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8" t="n"/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 t="n">
        <v>0</v>
      </c>
      <c r="P33" s="37" t="n">
        <v>0</v>
      </c>
      <c r="Q33" s="37" t="n">
        <v>0</v>
      </c>
      <c r="R33" s="37" t="n">
        <v>0</v>
      </c>
      <c r="S33" s="37" t="n">
        <v>0</v>
      </c>
      <c r="T33" s="37" t="n">
        <v>0</v>
      </c>
      <c r="U33" s="37" t="n">
        <v>0</v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0</v>
      </c>
      <c r="C34" s="42" t="n">
        <v>0</v>
      </c>
      <c r="D34" s="42" t="n">
        <v>0</v>
      </c>
      <c r="E34" s="42" t="n">
        <v>0</v>
      </c>
      <c r="F34" s="42" t="n">
        <v>0</v>
      </c>
      <c r="G34" s="42" t="n">
        <v>0</v>
      </c>
      <c r="H34" s="42" t="n">
        <v>0</v>
      </c>
      <c r="I34" s="42" t="n">
        <v>0</v>
      </c>
      <c r="J34" s="42" t="n">
        <v>0</v>
      </c>
      <c r="K34" s="42" t="n">
        <v>0</v>
      </c>
      <c r="L34" s="42" t="n">
        <v>45</v>
      </c>
      <c r="M34" s="42" t="n">
        <v>0</v>
      </c>
      <c r="N34" s="43">
        <f>SUM(B34:M34)</f>
        <v/>
      </c>
      <c r="O34" s="44" t="n">
        <v>0</v>
      </c>
      <c r="P34" s="44" t="n">
        <v>0</v>
      </c>
      <c r="Q34" s="44" t="n">
        <v>0</v>
      </c>
      <c r="R34" s="44" t="n">
        <v>0</v>
      </c>
      <c r="S34" s="44" t="n">
        <v>0</v>
      </c>
      <c r="T34" s="44" t="n">
        <v>0</v>
      </c>
      <c r="U34" s="44" t="n">
        <v>0</v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0</v>
      </c>
      <c r="C37" s="35" t="n">
        <v>0</v>
      </c>
      <c r="D37" s="35" t="n">
        <v>0</v>
      </c>
      <c r="E37" s="35" t="n">
        <v>0</v>
      </c>
      <c r="F37" s="35" t="n">
        <v>0</v>
      </c>
      <c r="G37" s="35" t="n">
        <v>0</v>
      </c>
      <c r="H37" s="35" t="n">
        <v>0</v>
      </c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  <c r="N37" s="36">
        <f>SUM(B37:M37)</f>
        <v/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0</v>
      </c>
      <c r="C38" s="35" t="n">
        <v>0</v>
      </c>
      <c r="D38" s="35" t="n">
        <v>0</v>
      </c>
      <c r="E38" s="35" t="n">
        <v>0</v>
      </c>
      <c r="F38" s="35" t="n">
        <v>0</v>
      </c>
      <c r="G38" s="35" t="n">
        <v>0</v>
      </c>
      <c r="H38" s="35" t="n">
        <v>0</v>
      </c>
      <c r="I38" s="35" t="n">
        <v>0</v>
      </c>
      <c r="J38" s="35" t="n">
        <v>0</v>
      </c>
      <c r="K38" s="35" t="n">
        <v>0</v>
      </c>
      <c r="L38" s="35" t="n">
        <v>0</v>
      </c>
      <c r="M38" s="35" t="n">
        <v>0</v>
      </c>
      <c r="N38" s="36">
        <f>SUM(B38:M38)</f>
        <v/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0</v>
      </c>
      <c r="C39" s="35" t="n">
        <v>0</v>
      </c>
      <c r="D39" s="35" t="n">
        <v>0</v>
      </c>
      <c r="E39" s="35" t="n">
        <v>0</v>
      </c>
      <c r="F39" s="35" t="n">
        <v>71.98</v>
      </c>
      <c r="G39" s="35" t="n">
        <v>0</v>
      </c>
      <c r="H39" s="35" t="n">
        <v>0</v>
      </c>
      <c r="I39" s="35" t="n">
        <v>0</v>
      </c>
      <c r="J39" s="35" t="n">
        <v>0</v>
      </c>
      <c r="K39" s="35" t="n">
        <v>0</v>
      </c>
      <c r="L39" s="35" t="n">
        <v>0</v>
      </c>
      <c r="M39" s="35" t="n">
        <v>0</v>
      </c>
      <c r="N39" s="36">
        <f>SUM(B39:M39)</f>
        <v/>
      </c>
      <c r="O39" s="37" t="n">
        <v>0</v>
      </c>
      <c r="P39" s="37" t="n">
        <v>0</v>
      </c>
      <c r="Q39" s="37" t="n">
        <v>0</v>
      </c>
      <c r="R39" s="37" t="n">
        <v>0</v>
      </c>
      <c r="S39" s="37" t="n">
        <v>0</v>
      </c>
      <c r="T39" s="37" t="n">
        <v>0</v>
      </c>
      <c r="U39" s="37" t="n">
        <v>0</v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8" t="n"/>
      <c r="W40" s="38" t="n"/>
      <c r="X40" s="38" t="n"/>
      <c r="Y40" s="38" t="n"/>
      <c r="Z40" s="38" t="n"/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0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  <c r="N41" s="36">
        <f>SUM(B41:M41)</f>
        <v/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8" t="n"/>
      <c r="W41" s="38" t="n"/>
      <c r="X41" s="38" t="n"/>
      <c r="Y41" s="38" t="n"/>
      <c r="Z41" s="38" t="n"/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0</v>
      </c>
      <c r="D42" s="35" t="n">
        <v>0</v>
      </c>
      <c r="E42" s="35" t="n">
        <v>0</v>
      </c>
      <c r="F42" s="35" t="n">
        <v>0</v>
      </c>
      <c r="G42" s="35" t="n">
        <v>0</v>
      </c>
      <c r="H42" s="35" t="n">
        <v>0</v>
      </c>
      <c r="I42" s="35" t="n">
        <v>0</v>
      </c>
      <c r="J42" s="35" t="n">
        <v>0</v>
      </c>
      <c r="K42" s="35" t="n">
        <v>0</v>
      </c>
      <c r="L42" s="35" t="n">
        <v>0</v>
      </c>
      <c r="M42" s="35" t="n">
        <v>0</v>
      </c>
      <c r="N42" s="36">
        <f>SUM(B42:M42)</f>
        <v/>
      </c>
      <c r="O42" s="37" t="n">
        <v>0</v>
      </c>
      <c r="P42" s="37" t="n">
        <v>0</v>
      </c>
      <c r="Q42" s="37" t="n">
        <v>0</v>
      </c>
      <c r="R42" s="37" t="n">
        <v>0</v>
      </c>
      <c r="S42" s="37" t="n">
        <v>0</v>
      </c>
      <c r="T42" s="37" t="n">
        <v>0</v>
      </c>
      <c r="U42" s="37" t="n">
        <v>0</v>
      </c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0</v>
      </c>
      <c r="P45" s="37" t="n">
        <v>0</v>
      </c>
      <c r="Q45" s="37" t="n">
        <v>0</v>
      </c>
      <c r="R45" s="37" t="n">
        <v>0</v>
      </c>
      <c r="S45" s="37" t="n">
        <v>0</v>
      </c>
      <c r="T45" s="37" t="n">
        <v>0</v>
      </c>
      <c r="U45" s="37" t="n">
        <v>0</v>
      </c>
      <c r="V45" s="38" t="n"/>
      <c r="W45" s="38" t="n"/>
      <c r="X45" s="38" t="n"/>
      <c r="Y45" s="38" t="n"/>
      <c r="Z45" s="38" t="n"/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0</v>
      </c>
      <c r="C47" s="42" t="n">
        <v>0</v>
      </c>
      <c r="D47" s="42" t="n">
        <v>0</v>
      </c>
      <c r="E47" s="42" t="n">
        <v>0</v>
      </c>
      <c r="F47" s="42" t="n">
        <v>71.98</v>
      </c>
      <c r="G47" s="42" t="n">
        <v>0</v>
      </c>
      <c r="H47" s="42" t="n">
        <v>0</v>
      </c>
      <c r="I47" s="42" t="n">
        <v>0</v>
      </c>
      <c r="J47" s="42" t="n">
        <v>0</v>
      </c>
      <c r="K47" s="42" t="n">
        <v>0</v>
      </c>
      <c r="L47" s="42" t="n">
        <v>0</v>
      </c>
      <c r="M47" s="42" t="n">
        <v>0</v>
      </c>
      <c r="N47" s="52">
        <f>SUM(B47:M47)</f>
        <v/>
      </c>
      <c r="O47" s="44" t="n">
        <v>0</v>
      </c>
      <c r="P47" s="44" t="n">
        <v>0</v>
      </c>
      <c r="Q47" s="44" t="n">
        <v>0</v>
      </c>
      <c r="R47" s="44" t="n">
        <v>0</v>
      </c>
      <c r="S47" s="44" t="n">
        <v>0</v>
      </c>
      <c r="T47" s="44" t="n">
        <v>0</v>
      </c>
      <c r="U47" s="44" t="n">
        <v>0</v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71.98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45</v>
      </c>
      <c r="M48" s="23" t="n">
        <v>0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0</v>
      </c>
      <c r="C50" s="55" t="n">
        <v>0</v>
      </c>
      <c r="D50" s="55" t="n">
        <v>0</v>
      </c>
      <c r="E50" s="55" t="n">
        <v>0</v>
      </c>
      <c r="F50" s="55" t="n">
        <v>-71.98</v>
      </c>
      <c r="G50" s="55" t="n">
        <v>0</v>
      </c>
      <c r="H50" s="55" t="n">
        <v>0</v>
      </c>
      <c r="I50" s="55" t="n">
        <v>0</v>
      </c>
      <c r="J50" s="55" t="n">
        <v>0</v>
      </c>
      <c r="K50" s="55" t="n">
        <v>0</v>
      </c>
      <c r="L50" s="55" t="n">
        <v>-45</v>
      </c>
      <c r="M50" s="55" t="n">
        <v>0</v>
      </c>
      <c r="N50" s="55">
        <f>SUM(B50:M50)</f>
        <v/>
      </c>
      <c r="O50" s="55" t="n">
        <v>0</v>
      </c>
      <c r="P50" s="55" t="n">
        <v>0</v>
      </c>
      <c r="Q50" s="55" t="n">
        <v>0</v>
      </c>
      <c r="R50" s="55" t="n">
        <v>0</v>
      </c>
      <c r="S50" s="55" t="n">
        <v>0</v>
      </c>
      <c r="T50" s="55" t="n">
        <v>0</v>
      </c>
      <c r="U50" s="55" t="n">
        <v>0</v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 t="n">
        <v>110561.6</v>
      </c>
      <c r="P53" s="37" t="n">
        <v>104194.85</v>
      </c>
      <c r="Q53" s="37" t="n">
        <v>122684.97</v>
      </c>
      <c r="R53" s="37" t="n">
        <v>172859.62</v>
      </c>
      <c r="S53" s="37" t="n">
        <v>117438.53</v>
      </c>
      <c r="T53" s="37" t="n">
        <v>116497.42</v>
      </c>
      <c r="U53" s="37" t="n">
        <v>117057.9</v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 t="n">
        <v>15829.25</v>
      </c>
      <c r="P54" s="37" t="n">
        <v>14890.45</v>
      </c>
      <c r="Q54" s="37" t="n">
        <v>17671.3</v>
      </c>
      <c r="R54" s="37" t="n">
        <v>25136.38</v>
      </c>
      <c r="S54" s="37" t="n">
        <v>16772.83</v>
      </c>
      <c r="T54" s="37" t="n">
        <v>16744.56</v>
      </c>
      <c r="U54" s="37" t="n">
        <v>16640.7</v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585.15</v>
      </c>
      <c r="U55" s="37" t="n">
        <v>585.15</v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 t="n">
        <v>1185.13</v>
      </c>
      <c r="P56" s="37" t="n">
        <v>1099.1</v>
      </c>
      <c r="Q56" s="37" t="n">
        <v>1911.99</v>
      </c>
      <c r="R56" s="37" t="n">
        <v>1982.45</v>
      </c>
      <c r="S56" s="37" t="n">
        <v>1897.62</v>
      </c>
      <c r="T56" s="37" t="n">
        <v>1896.13</v>
      </c>
      <c r="U56" s="37" t="n">
        <v>1156.53</v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 t="n">
        <v>0</v>
      </c>
      <c r="P57" s="37" t="n">
        <v>0</v>
      </c>
      <c r="Q57" s="37" t="n">
        <v>0</v>
      </c>
      <c r="R57" s="37" t="n">
        <v>0</v>
      </c>
      <c r="S57" s="37" t="n">
        <v>0</v>
      </c>
      <c r="T57" s="37" t="n">
        <v>0</v>
      </c>
      <c r="U57" s="37" t="n">
        <v>0</v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 t="n">
        <v>0</v>
      </c>
      <c r="P58" s="37" t="n">
        <v>0</v>
      </c>
      <c r="Q58" s="37" t="n">
        <v>12212.4</v>
      </c>
      <c r="R58" s="37" t="n">
        <v>2756.4</v>
      </c>
      <c r="S58" s="37" t="n">
        <v>0</v>
      </c>
      <c r="T58" s="37" t="n">
        <v>0</v>
      </c>
      <c r="U58" s="37" t="n">
        <v>195.75</v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5" t="n">
        <v>0</v>
      </c>
      <c r="J59" s="35" t="n">
        <v>0</v>
      </c>
      <c r="K59" s="35" t="n">
        <v>0</v>
      </c>
      <c r="L59" s="35" t="n">
        <v>0</v>
      </c>
      <c r="M59" s="35" t="n">
        <v>0</v>
      </c>
      <c r="N59" s="36">
        <f>SUM(B59:M59)</f>
        <v/>
      </c>
      <c r="O59" s="37" t="n">
        <v>2238.11</v>
      </c>
      <c r="P59" s="37" t="n">
        <v>1404.87</v>
      </c>
      <c r="Q59" s="37" t="n">
        <v>1404.87</v>
      </c>
      <c r="R59" s="37" t="n">
        <v>2893.39</v>
      </c>
      <c r="S59" s="37" t="n">
        <v>2933.33</v>
      </c>
      <c r="T59" s="37" t="n">
        <v>14489.47</v>
      </c>
      <c r="U59" s="37" t="n">
        <v>3526.92</v>
      </c>
      <c r="V59" s="38" t="n"/>
      <c r="W59" s="38" t="n"/>
      <c r="X59" s="38" t="n"/>
      <c r="Y59" s="38" t="n"/>
      <c r="Z59" s="38" t="n"/>
      <c r="AA59" s="36">
        <f>SUM(O59:U59)</f>
        <v/>
      </c>
      <c r="AB59" s="36">
        <f>SUM(O59:Z59)</f>
        <v/>
      </c>
      <c r="AC59" s="38" t="n"/>
      <c r="AD59" s="38" t="n"/>
      <c r="AE59" s="38" t="n"/>
      <c r="AF59" s="38" t="n"/>
      <c r="AG59" s="38" t="n"/>
      <c r="AH59" s="38" t="n"/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0</v>
      </c>
      <c r="C60" s="35" t="n">
        <v>0</v>
      </c>
      <c r="D60" s="35" t="n">
        <v>0</v>
      </c>
      <c r="E60" s="35" t="n">
        <v>0</v>
      </c>
      <c r="F60" s="35" t="n">
        <v>0</v>
      </c>
      <c r="G60" s="35" t="n">
        <v>0</v>
      </c>
      <c r="H60" s="35" t="n">
        <v>0</v>
      </c>
      <c r="I60" s="35" t="n">
        <v>0</v>
      </c>
      <c r="J60" s="35" t="n">
        <v>0</v>
      </c>
      <c r="K60" s="35" t="n">
        <v>0</v>
      </c>
      <c r="L60" s="35" t="n">
        <v>0</v>
      </c>
      <c r="M60" s="35" t="n">
        <v>0</v>
      </c>
      <c r="N60" s="36">
        <f>SUM(B60:M60)</f>
        <v/>
      </c>
      <c r="O60" s="37" t="n">
        <v>1186.5</v>
      </c>
      <c r="P60" s="37" t="n">
        <v>1186.5</v>
      </c>
      <c r="Q60" s="37" t="n">
        <v>1186.5</v>
      </c>
      <c r="R60" s="37" t="n">
        <v>2593.73</v>
      </c>
      <c r="S60" s="37" t="n">
        <v>2593.73</v>
      </c>
      <c r="T60" s="37" t="n">
        <v>2593.73</v>
      </c>
      <c r="U60" s="37" t="n">
        <v>2593.71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-1.97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0</v>
      </c>
      <c r="N61" s="36">
        <f>SUM(B61:M61)</f>
        <v/>
      </c>
      <c r="O61" s="37" t="n">
        <v>5384.61</v>
      </c>
      <c r="P61" s="37" t="n">
        <v>7655.49</v>
      </c>
      <c r="Q61" s="37" t="n">
        <v>7967.039999999999</v>
      </c>
      <c r="R61" s="37" t="n">
        <v>9289.66</v>
      </c>
      <c r="S61" s="37" t="n">
        <v>9122.59</v>
      </c>
      <c r="T61" s="37" t="n">
        <v>16372.61</v>
      </c>
      <c r="U61" s="37" t="n">
        <v>8138.370000000001</v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 t="n">
        <v>1610.78</v>
      </c>
      <c r="P62" s="37" t="n">
        <v>345.22</v>
      </c>
      <c r="Q62" s="37" t="n">
        <v>0</v>
      </c>
      <c r="R62" s="37" t="n">
        <v>43.47000000000003</v>
      </c>
      <c r="S62" s="37" t="n">
        <v>88.89</v>
      </c>
      <c r="T62" s="37" t="n">
        <v>1710.61</v>
      </c>
      <c r="U62" s="37" t="n">
        <v>1093.44</v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 t="n">
        <v>0</v>
      </c>
      <c r="P63" s="37" t="n">
        <v>0</v>
      </c>
      <c r="Q63" s="37" t="n">
        <v>0</v>
      </c>
      <c r="R63" s="37" t="n">
        <v>0</v>
      </c>
      <c r="S63" s="37" t="n">
        <v>0</v>
      </c>
      <c r="T63" s="37" t="n">
        <v>0</v>
      </c>
      <c r="U63" s="37" t="n">
        <v>0</v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30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 t="n">
        <v>13797.88</v>
      </c>
      <c r="P65" s="37" t="n">
        <v>5720.969999999999</v>
      </c>
      <c r="Q65" s="37" t="n">
        <v>5427.91</v>
      </c>
      <c r="R65" s="37" t="n">
        <v>4311.21</v>
      </c>
      <c r="S65" s="37" t="n">
        <v>4359.15</v>
      </c>
      <c r="T65" s="37" t="n">
        <v>4667.76</v>
      </c>
      <c r="U65" s="37" t="n">
        <v>27831.66</v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 t="n">
        <v>0</v>
      </c>
      <c r="P66" s="37" t="n">
        <v>0</v>
      </c>
      <c r="Q66" s="37" t="n">
        <v>0</v>
      </c>
      <c r="R66" s="37" t="n">
        <v>0</v>
      </c>
      <c r="S66" s="37" t="n">
        <v>0</v>
      </c>
      <c r="T66" s="37" t="n">
        <v>0</v>
      </c>
      <c r="U66" s="37" t="n">
        <v>0</v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915.6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704.4</v>
      </c>
      <c r="N67" s="36">
        <f>SUM(B67:M67)</f>
        <v/>
      </c>
      <c r="O67" s="37" t="n">
        <v>0</v>
      </c>
      <c r="P67" s="37" t="n">
        <v>0</v>
      </c>
      <c r="Q67" s="37" t="n">
        <v>0</v>
      </c>
      <c r="R67" s="37" t="n">
        <v>0</v>
      </c>
      <c r="S67" s="37" t="n">
        <v>0</v>
      </c>
      <c r="T67" s="37" t="n">
        <v>0</v>
      </c>
      <c r="U67" s="37" t="n">
        <v>162.4</v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5.95</v>
      </c>
      <c r="C68" s="35" t="n">
        <v>9.800000000000001</v>
      </c>
      <c r="D68" s="35" t="n">
        <v>7</v>
      </c>
      <c r="E68" s="35" t="n">
        <v>7.7</v>
      </c>
      <c r="F68" s="35" t="n">
        <v>7</v>
      </c>
      <c r="G68" s="35" t="n">
        <v>5.95</v>
      </c>
      <c r="H68" s="35" t="n">
        <v>6.65</v>
      </c>
      <c r="I68" s="35" t="n">
        <v>7.35</v>
      </c>
      <c r="J68" s="35" t="n">
        <v>3.5</v>
      </c>
      <c r="K68" s="35" t="n">
        <v>5.25</v>
      </c>
      <c r="L68" s="35" t="n">
        <v>3.5</v>
      </c>
      <c r="M68" s="35" t="n">
        <v>3.85</v>
      </c>
      <c r="N68" s="36">
        <f>SUM(B68:M68)</f>
        <v/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5.95</v>
      </c>
      <c r="C69" s="42" t="n">
        <v>39.8</v>
      </c>
      <c r="D69" s="42" t="n">
        <v>7</v>
      </c>
      <c r="E69" s="42" t="n">
        <v>923.3000000000001</v>
      </c>
      <c r="F69" s="42" t="n">
        <v>7</v>
      </c>
      <c r="G69" s="42" t="n">
        <v>5.95</v>
      </c>
      <c r="H69" s="42" t="n">
        <v>4.680000000000001</v>
      </c>
      <c r="I69" s="42" t="n">
        <v>7.35</v>
      </c>
      <c r="J69" s="42" t="n">
        <v>3.5</v>
      </c>
      <c r="K69" s="42" t="n">
        <v>5.25</v>
      </c>
      <c r="L69" s="42" t="n">
        <v>3.5</v>
      </c>
      <c r="M69" s="42" t="n">
        <v>708.25</v>
      </c>
      <c r="N69" s="43">
        <f>SUM(B69:M69)</f>
        <v/>
      </c>
      <c r="O69" s="44" t="n">
        <v>0</v>
      </c>
      <c r="P69" s="44" t="n">
        <v>0</v>
      </c>
      <c r="Q69" s="44" t="n">
        <v>0</v>
      </c>
      <c r="R69" s="44" t="n">
        <v>0</v>
      </c>
      <c r="S69" s="44" t="n">
        <v>0</v>
      </c>
      <c r="T69" s="44" t="n">
        <v>0</v>
      </c>
      <c r="U69" s="44" t="n">
        <v>0</v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-5.95</v>
      </c>
      <c r="C70" s="55" t="n">
        <v>-39.8</v>
      </c>
      <c r="D70" s="55" t="n">
        <v>-7</v>
      </c>
      <c r="E70" s="55" t="n">
        <v>-923.3000000000001</v>
      </c>
      <c r="F70" s="55" t="n">
        <v>-78.98</v>
      </c>
      <c r="G70" s="55" t="n">
        <v>-5.95</v>
      </c>
      <c r="H70" s="55" t="n">
        <v>-4.680000000000001</v>
      </c>
      <c r="I70" s="55" t="n">
        <v>-7.35</v>
      </c>
      <c r="J70" s="55" t="n">
        <v>-3.5</v>
      </c>
      <c r="K70" s="55" t="n">
        <v>-5.25</v>
      </c>
      <c r="L70" s="55" t="n">
        <v>-48.5</v>
      </c>
      <c r="M70" s="55" t="n">
        <v>-708.25</v>
      </c>
      <c r="N70" s="55">
        <f>SUM(B70:M70)</f>
        <v/>
      </c>
      <c r="O70" s="55" t="n">
        <v>0</v>
      </c>
      <c r="P70" s="55" t="n">
        <v>0</v>
      </c>
      <c r="Q70" s="55" t="n">
        <v>0</v>
      </c>
      <c r="R70" s="55" t="n">
        <v>0</v>
      </c>
      <c r="S70" s="55" t="n">
        <v>0</v>
      </c>
      <c r="T70" s="55" t="n">
        <v>0</v>
      </c>
      <c r="U70" s="55" t="n">
        <v>0</v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-5.95</v>
      </c>
      <c r="C79" s="57" t="n">
        <v>-39.8</v>
      </c>
      <c r="D79" s="57" t="n">
        <v>-7</v>
      </c>
      <c r="E79" s="57" t="n">
        <v>-923.3000000000001</v>
      </c>
      <c r="F79" s="57" t="n">
        <v>-78.98</v>
      </c>
      <c r="G79" s="57" t="n">
        <v>-5.95</v>
      </c>
      <c r="H79" s="57" t="n">
        <v>-4.680000000000001</v>
      </c>
      <c r="I79" s="57" t="n">
        <v>-7.35</v>
      </c>
      <c r="J79" s="57" t="n">
        <v>-3.5</v>
      </c>
      <c r="K79" s="57" t="n">
        <v>-5.25</v>
      </c>
      <c r="L79" s="57" t="n">
        <v>-48.5</v>
      </c>
      <c r="M79" s="57" t="n">
        <v>-708.25</v>
      </c>
      <c r="N79" s="78">
        <f>SUM(B79:M79)</f>
        <v/>
      </c>
      <c r="O79" s="55" t="n">
        <v>0</v>
      </c>
      <c r="P79" s="55" t="n">
        <v>0</v>
      </c>
      <c r="Q79" s="55" t="n">
        <v>0</v>
      </c>
      <c r="R79" s="55" t="n">
        <v>0</v>
      </c>
      <c r="S79" s="55" t="n">
        <v>0</v>
      </c>
      <c r="T79" s="55" t="n">
        <v>0</v>
      </c>
      <c r="U79" s="55" t="n">
        <v>0</v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34" t="inlineStr">
        <is>
          <t>Direct - Sales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60" t="n">
        <v>0</v>
      </c>
      <c r="P82" s="60" t="n">
        <v>0</v>
      </c>
      <c r="Q82" s="60" t="n">
        <v>0</v>
      </c>
      <c r="R82" s="60" t="n">
        <v>0</v>
      </c>
      <c r="S82" s="60" t="n">
        <v>0</v>
      </c>
      <c r="T82" s="60" t="n">
        <v>0</v>
      </c>
      <c r="U82" s="60" t="n">
        <v>0</v>
      </c>
      <c r="V82" s="60">
        <f>-SUMIF('YBN Blank TB'!$T:$T,'YBN HO P&amp;L'!$A82,'YBN Blank TB'!J:J)-SUMIF('YBN HO TB'!$T:$T,'YBN HO P&amp;L'!$A82,'YBN HO TB'!J:J)</f>
        <v/>
      </c>
      <c r="W82" s="60">
        <f>-SUMIF('YBN Blank TB'!$T:$T,'YBN HO P&amp;L'!$A82,'YBN Blank TB'!K:K)-SUMIF('YBN HO TB'!$T:$T,'YBN HO P&amp;L'!$A82,'YBN HO TB'!K:K)</f>
        <v/>
      </c>
      <c r="X82" s="60">
        <f>-SUMIF('YBN Blank TB'!$T:$T,'YBN HO P&amp;L'!$A82,'YBN Blank TB'!L:L)-SUMIF('YBN HO TB'!$T:$T,'YBN HO P&amp;L'!$A82,'YBN HO TB'!L:L)</f>
        <v/>
      </c>
      <c r="Y82" s="60">
        <f>-SUMIF('YBN Blank TB'!$T:$T,'YBN HO P&amp;L'!$A82,'YBN Blank TB'!M:M)-SUMIF('YBN HO TB'!$T:$T,'YBN HO P&amp;L'!$A82,'YBN HO TB'!M:M)</f>
        <v/>
      </c>
      <c r="Z82" s="60">
        <f>-SUMIF('YBN Blank TB'!$T:$T,'YBN HO P&amp;L'!$A82,'YBN Blank TB'!N:N)-SUMIF('YBN HO TB'!$T:$T,'YBN HO P&amp;L'!$A82,'YBN HO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60" t="inlineStr">
        <is>
          <t>Direct - Staff Cost</t>
        </is>
      </c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0</v>
      </c>
      <c r="G83" s="60" t="n">
        <v>0</v>
      </c>
      <c r="H83" s="60" t="n">
        <v>0</v>
      </c>
      <c r="I83" s="60" t="n">
        <v>0</v>
      </c>
      <c r="J83" s="60" t="n">
        <v>0</v>
      </c>
      <c r="K83" s="60" t="n">
        <v>0</v>
      </c>
      <c r="L83" s="60" t="n">
        <v>0</v>
      </c>
      <c r="M83" s="8" t="n"/>
      <c r="N83" s="8" t="n"/>
      <c r="O83" s="60" t="n">
        <v>0</v>
      </c>
      <c r="P83" s="60" t="n">
        <v>0</v>
      </c>
      <c r="Q83" s="60" t="n">
        <v>0</v>
      </c>
      <c r="R83" s="60" t="n">
        <v>0</v>
      </c>
      <c r="S83" s="60" t="n">
        <v>0</v>
      </c>
      <c r="T83" s="60" t="n">
        <v>0</v>
      </c>
      <c r="U83" s="60" t="n">
        <v>0</v>
      </c>
      <c r="V83" s="60">
        <f>-SUMIF('YBN Blank TB'!$T:$T,'YBN HO P&amp;L'!$A83,'YBN Blank TB'!J:J)-SUMIF('YBN HO TB'!$T:$T,'YBN HO P&amp;L'!$A83,'YBN HO TB'!J:J)</f>
        <v/>
      </c>
      <c r="W83" s="60">
        <f>-SUMIF('YBN Blank TB'!$T:$T,'YBN HO P&amp;L'!$A83,'YBN Blank TB'!K:K)-SUMIF('YBN HO TB'!$T:$T,'YBN HO P&amp;L'!$A83,'YBN HO TB'!K:K)</f>
        <v/>
      </c>
      <c r="X83" s="60">
        <f>-SUMIF('YBN Blank TB'!$T:$T,'YBN HO P&amp;L'!$A83,'YBN Blank TB'!L:L)-SUMIF('YBN HO TB'!$T:$T,'YBN HO P&amp;L'!$A83,'YBN HO TB'!L:L)</f>
        <v/>
      </c>
      <c r="Y83" s="60">
        <f>-SUMIF('YBN Blank TB'!$T:$T,'YBN HO P&amp;L'!$A83,'YBN Blank TB'!M:M)-SUMIF('YBN HO TB'!$T:$T,'YBN HO P&amp;L'!$A83,'YBN HO TB'!M:M)</f>
        <v/>
      </c>
      <c r="Z83" s="60">
        <f>-SUMIF('YBN Blank TB'!$T:$T,'YBN HO P&amp;L'!$A83,'YBN Blank TB'!N:N)-SUMIF('YBN HO TB'!$T:$T,'YBN HO P&amp;L'!$A83,'YBN HO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60" t="inlineStr">
        <is>
          <t>Direct - Childcare Cost</t>
        </is>
      </c>
      <c r="B84" s="60" t="n">
        <v>0</v>
      </c>
      <c r="C84" s="60" t="n">
        <v>0</v>
      </c>
      <c r="D84" s="60" t="n">
        <v>0</v>
      </c>
      <c r="E84" s="60" t="n">
        <v>0</v>
      </c>
      <c r="F84" s="60" t="n">
        <v>0</v>
      </c>
      <c r="G84" s="60" t="n">
        <v>0</v>
      </c>
      <c r="H84" s="60" t="n">
        <v>0</v>
      </c>
      <c r="I84" s="60" t="n">
        <v>0</v>
      </c>
      <c r="J84" s="60" t="n">
        <v>0</v>
      </c>
      <c r="K84" s="60" t="n">
        <v>0</v>
      </c>
      <c r="L84" s="60" t="n">
        <v>-45</v>
      </c>
      <c r="M84" s="8" t="n"/>
      <c r="N84" s="8" t="n"/>
      <c r="O84" s="60" t="n">
        <v>0</v>
      </c>
      <c r="P84" s="60" t="n">
        <v>0</v>
      </c>
      <c r="Q84" s="60" t="n">
        <v>0</v>
      </c>
      <c r="R84" s="60" t="n">
        <v>0</v>
      </c>
      <c r="S84" s="60" t="n">
        <v>0</v>
      </c>
      <c r="T84" s="60" t="n">
        <v>0</v>
      </c>
      <c r="U84" s="60" t="n">
        <v>0</v>
      </c>
      <c r="V84" s="60">
        <f>-SUMIF('YBN Blank TB'!$T:$T,'YBN HO P&amp;L'!$A84,'YBN Blank TB'!J:J)-SUMIF('YBN HO TB'!$T:$T,'YBN HO P&amp;L'!$A84,'YBN HO TB'!J:J)</f>
        <v/>
      </c>
      <c r="W84" s="60">
        <f>-SUMIF('YBN Blank TB'!$T:$T,'YBN HO P&amp;L'!$A84,'YBN Blank TB'!K:K)-SUMIF('YBN HO TB'!$T:$T,'YBN HO P&amp;L'!$A84,'YBN HO TB'!K:K)</f>
        <v/>
      </c>
      <c r="X84" s="60">
        <f>-SUMIF('YBN Blank TB'!$T:$T,'YBN HO P&amp;L'!$A84,'YBN Blank TB'!L:L)-SUMIF('YBN HO TB'!$T:$T,'YBN HO P&amp;L'!$A84,'YBN HO TB'!L:L)</f>
        <v/>
      </c>
      <c r="Y84" s="60">
        <f>-SUMIF('YBN Blank TB'!$T:$T,'YBN HO P&amp;L'!$A84,'YBN Blank TB'!M:M)-SUMIF('YBN HO TB'!$T:$T,'YBN HO P&amp;L'!$A84,'YBN HO TB'!M:M)</f>
        <v/>
      </c>
      <c r="Z84" s="60">
        <f>-SUMIF('YBN Blank TB'!$T:$T,'YBN HO P&amp;L'!$A84,'YBN Blank TB'!N:N)-SUMIF('YBN HO TB'!$T:$T,'YBN HO P&amp;L'!$A84,'YBN HO TB'!N:N)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60" t="inlineStr">
        <is>
          <t>Direct - Premises &amp; Admin</t>
        </is>
      </c>
      <c r="B85" s="18" t="n">
        <v>0</v>
      </c>
      <c r="C85" s="18" t="n">
        <v>0</v>
      </c>
      <c r="D85" s="18" t="n">
        <v>0</v>
      </c>
      <c r="E85" s="18" t="n">
        <v>0</v>
      </c>
      <c r="F85" s="18" t="n">
        <v>-71.98</v>
      </c>
      <c r="G85" s="18" t="n">
        <v>0</v>
      </c>
      <c r="H85" s="18" t="n">
        <v>0</v>
      </c>
      <c r="I85" s="18" t="n">
        <v>0</v>
      </c>
      <c r="J85" s="18" t="n">
        <v>0</v>
      </c>
      <c r="K85" s="18" t="n">
        <v>0</v>
      </c>
      <c r="L85" s="18" t="n">
        <v>0</v>
      </c>
      <c r="M85" s="18" t="n"/>
      <c r="N85" s="8" t="n"/>
      <c r="O85" s="60" t="n">
        <v>0</v>
      </c>
      <c r="P85" s="60" t="n">
        <v>0</v>
      </c>
      <c r="Q85" s="60" t="n">
        <v>0</v>
      </c>
      <c r="R85" s="60" t="n">
        <v>0</v>
      </c>
      <c r="S85" s="60" t="n">
        <v>0</v>
      </c>
      <c r="T85" s="60" t="n">
        <v>0</v>
      </c>
      <c r="U85" s="60" t="n">
        <v>0</v>
      </c>
      <c r="V85" s="60">
        <f>-SUMIF('YBN Blank TB'!$T:$T,'YBN HO P&amp;L'!$A85,'YBN Blank TB'!J:J)-SUMIF('YBN HO TB'!$T:$T,'YBN HO P&amp;L'!$A85,'YBN HO TB'!J:J)</f>
        <v/>
      </c>
      <c r="W85" s="60">
        <f>-SUMIF('YBN Blank TB'!$T:$T,'YBN HO P&amp;L'!$A85,'YBN Blank TB'!K:K)-SUMIF('YBN HO TB'!$T:$T,'YBN HO P&amp;L'!$A85,'YBN HO TB'!K:K)</f>
        <v/>
      </c>
      <c r="X85" s="60">
        <f>-SUMIF('YBN Blank TB'!$T:$T,'YBN HO P&amp;L'!$A85,'YBN Blank TB'!L:L)-SUMIF('YBN HO TB'!$T:$T,'YBN HO P&amp;L'!$A85,'YBN HO TB'!L:L)</f>
        <v/>
      </c>
      <c r="Y85" s="60">
        <f>-SUMIF('YBN Blank TB'!$T:$T,'YBN HO P&amp;L'!$A85,'YBN Blank TB'!M:M)-SUMIF('YBN HO TB'!$T:$T,'YBN HO P&amp;L'!$A85,'YBN HO TB'!M:M)</f>
        <v/>
      </c>
      <c r="Z85" s="60">
        <f>-SUMIF('YBN Blank TB'!$T:$T,'YBN HO P&amp;L'!$A85,'YBN Blank TB'!N:N)-SUMIF('YBN HO TB'!$T:$T,'YBN HO P&amp;L'!$A85,'YBN HO TB'!N:N)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In-Direct - Staff Cost</t>
        </is>
      </c>
      <c r="B86" s="60" t="n">
        <v>0</v>
      </c>
      <c r="C86" s="60" t="n">
        <v>0</v>
      </c>
      <c r="D86" s="60" t="n">
        <v>0</v>
      </c>
      <c r="E86" s="60" t="n">
        <v>0</v>
      </c>
      <c r="F86" s="60" t="n">
        <v>0</v>
      </c>
      <c r="G86" s="60" t="n">
        <v>0</v>
      </c>
      <c r="H86" s="60" t="n">
        <v>0</v>
      </c>
      <c r="I86" s="60" t="n">
        <v>0</v>
      </c>
      <c r="J86" s="60" t="n">
        <v>0</v>
      </c>
      <c r="K86" s="60" t="n">
        <v>0</v>
      </c>
      <c r="L86" s="60" t="n">
        <v>0</v>
      </c>
      <c r="M86" s="8" t="n"/>
      <c r="N86" s="8" t="n"/>
      <c r="O86" s="60" t="n">
        <v>0</v>
      </c>
      <c r="P86" s="60" t="n">
        <v>0</v>
      </c>
      <c r="Q86" s="60" t="n">
        <v>0</v>
      </c>
      <c r="R86" s="60" t="n">
        <v>0</v>
      </c>
      <c r="S86" s="60" t="n">
        <v>0</v>
      </c>
      <c r="T86" s="60" t="n">
        <v>0</v>
      </c>
      <c r="U86" s="60" t="n">
        <v>0</v>
      </c>
      <c r="V86" s="60">
        <f>-SUMIF('YBN Blank TB'!$T:$T,'YBN HO P&amp;L'!$A86,'YBN Blank TB'!J:J)-SUMIF('YBN HO TB'!$T:$T,'YBN HO P&amp;L'!$A86,'YBN HO TB'!J:J)</f>
        <v/>
      </c>
      <c r="W86" s="60">
        <f>-SUMIF('YBN Blank TB'!$T:$T,'YBN HO P&amp;L'!$A86,'YBN Blank TB'!K:K)-SUMIF('YBN HO TB'!$T:$T,'YBN HO P&amp;L'!$A86,'YBN HO TB'!K:K)</f>
        <v/>
      </c>
      <c r="X86" s="60">
        <f>-SUMIF('YBN Blank TB'!$T:$T,'YBN HO P&amp;L'!$A86,'YBN Blank TB'!L:L)-SUMIF('YBN HO TB'!$T:$T,'YBN HO P&amp;L'!$A86,'YBN HO TB'!L:L)</f>
        <v/>
      </c>
      <c r="Y86" s="60">
        <f>-SUMIF('YBN Blank TB'!$T:$T,'YBN HO P&amp;L'!$A86,'YBN Blank TB'!M:M)-SUMIF('YBN HO TB'!$T:$T,'YBN HO P&amp;L'!$A86,'YBN HO TB'!M:M)</f>
        <v/>
      </c>
      <c r="Z86" s="60">
        <f>-SUMIF('YBN Blank TB'!$T:$T,'YBN HO P&amp;L'!$A86,'YBN Blank TB'!N:N)-SUMIF('YBN HO TB'!$T:$T,'YBN HO P&amp;L'!$A86,'YBN HO TB'!N:N)</f>
        <v/>
      </c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In-Direct - Overheads</t>
        </is>
      </c>
      <c r="B87" s="60" t="n">
        <v>-5.95</v>
      </c>
      <c r="C87" s="60" t="n">
        <v>-39.8</v>
      </c>
      <c r="D87" s="60" t="n">
        <v>-7</v>
      </c>
      <c r="E87" s="60" t="n">
        <v>-923.3000000000001</v>
      </c>
      <c r="F87" s="60" t="n">
        <v>-7</v>
      </c>
      <c r="G87" s="60" t="n">
        <v>-5.95</v>
      </c>
      <c r="H87" s="60" t="n">
        <v>-4.680000000000001</v>
      </c>
      <c r="I87" s="60" t="n">
        <v>-7.35</v>
      </c>
      <c r="J87" s="60" t="n">
        <v>-3.5</v>
      </c>
      <c r="K87" s="60" t="n">
        <v>-5.25</v>
      </c>
      <c r="L87" s="60" t="n">
        <v>-3.5</v>
      </c>
      <c r="M87" s="8" t="n"/>
      <c r="N87" s="8" t="n"/>
      <c r="O87" s="60" t="n">
        <v>0</v>
      </c>
      <c r="P87" s="60" t="n">
        <v>0</v>
      </c>
      <c r="Q87" s="60" t="n">
        <v>0</v>
      </c>
      <c r="R87" s="60" t="n">
        <v>0</v>
      </c>
      <c r="S87" s="60" t="n">
        <v>0</v>
      </c>
      <c r="T87" s="60" t="n">
        <v>0</v>
      </c>
      <c r="U87" s="60" t="n">
        <v>0</v>
      </c>
      <c r="V87" s="60">
        <f>-SUMIF('YBN Blank TB'!$T:$T,'YBN HO P&amp;L'!$A87,'YBN Blank TB'!J:J)-SUMIF('YBN HO TB'!$T:$T,'YBN HO P&amp;L'!$A87,'YBN HO TB'!J:J)</f>
        <v/>
      </c>
      <c r="W87" s="60">
        <f>-SUMIF('YBN Blank TB'!$T:$T,'YBN HO P&amp;L'!$A87,'YBN Blank TB'!K:K)-SUMIF('YBN HO TB'!$T:$T,'YBN HO P&amp;L'!$A87,'YBN HO TB'!K:K)</f>
        <v/>
      </c>
      <c r="X87" s="60">
        <f>-SUMIF('YBN Blank TB'!$T:$T,'YBN HO P&amp;L'!$A87,'YBN Blank TB'!L:L)-SUMIF('YBN HO TB'!$T:$T,'YBN HO P&amp;L'!$A87,'YBN HO TB'!L:L)</f>
        <v/>
      </c>
      <c r="Y87" s="60">
        <f>-SUMIF('YBN Blank TB'!$T:$T,'YBN HO P&amp;L'!$A87,'YBN Blank TB'!M:M)-SUMIF('YBN HO TB'!$T:$T,'YBN HO P&amp;L'!$A87,'YBN HO TB'!M:M)</f>
        <v/>
      </c>
      <c r="Z87" s="60">
        <f>-SUMIF('YBN Blank TB'!$T:$T,'YBN HO P&amp;L'!$A87,'YBN Blank TB'!N:N)-SUMIF('YBN HO TB'!$T:$T,'YBN HO P&amp;L'!$A87,'YBN HO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 ht="15.75" customHeight="1">
      <c r="A88" s="8" t="n"/>
      <c r="B88" s="67" t="n">
        <v>-5.95</v>
      </c>
      <c r="C88" s="67" t="n">
        <v>-39.8</v>
      </c>
      <c r="D88" s="67" t="n">
        <v>-7</v>
      </c>
      <c r="E88" s="67" t="n">
        <v>-923.3000000000001</v>
      </c>
      <c r="F88" s="67" t="n">
        <v>-78.98</v>
      </c>
      <c r="G88" s="67" t="n">
        <v>-5.95</v>
      </c>
      <c r="H88" s="67" t="n">
        <v>-4.680000000000001</v>
      </c>
      <c r="I88" s="67" t="n">
        <v>-7.35</v>
      </c>
      <c r="J88" s="67" t="n">
        <v>-3.5</v>
      </c>
      <c r="K88" s="67" t="n">
        <v>-5.25</v>
      </c>
      <c r="L88" s="67" t="n">
        <v>-48.5</v>
      </c>
      <c r="M88" s="18" t="n"/>
      <c r="N88" s="8" t="n"/>
      <c r="O88" s="64" t="n">
        <v>0</v>
      </c>
      <c r="P88" s="64" t="n">
        <v>0</v>
      </c>
      <c r="Q88" s="64" t="n">
        <v>0</v>
      </c>
      <c r="R88" s="64" t="n">
        <v>0</v>
      </c>
      <c r="S88" s="64" t="n">
        <v>0</v>
      </c>
      <c r="T88" s="64" t="n">
        <v>0</v>
      </c>
      <c r="U88" s="64" t="n">
        <v>0</v>
      </c>
      <c r="V88" s="64">
        <f>SUM(V82:V87)</f>
        <v/>
      </c>
      <c r="W88" s="64">
        <f>SUM(W82:W87)</f>
        <v/>
      </c>
      <c r="X88" s="64">
        <f>SUM(X82:X87)</f>
        <v/>
      </c>
      <c r="Y88" s="64">
        <f>SUM(Y82:Y87)</f>
        <v/>
      </c>
      <c r="Z88" s="64">
        <f>SUM(Z82:Z87)</f>
        <v/>
      </c>
      <c r="AA88" s="8" t="n"/>
      <c r="AB88" s="8" t="n"/>
      <c r="AC88" s="64" t="n"/>
      <c r="AD88" s="64" t="n"/>
      <c r="AE88" s="64" t="n"/>
      <c r="AF88" s="64" t="n"/>
      <c r="AG88" s="64" t="n"/>
      <c r="AH88" s="64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 ht="15.75" customHeight="1">
      <c r="A89" s="8" t="n"/>
      <c r="B89" s="18" t="n">
        <v>0</v>
      </c>
      <c r="C89" s="18" t="n">
        <v>0</v>
      </c>
      <c r="D89" s="18" t="n">
        <v>0</v>
      </c>
      <c r="E89" s="18" t="n">
        <v>0</v>
      </c>
      <c r="F89" s="18" t="n">
        <v>0</v>
      </c>
      <c r="G89" s="18" t="n">
        <v>0</v>
      </c>
      <c r="H89" s="18" t="n">
        <v>0</v>
      </c>
      <c r="I89" s="18" t="n">
        <v>0</v>
      </c>
      <c r="J89" s="18" t="n">
        <v>0</v>
      </c>
      <c r="K89" s="18" t="n">
        <v>0</v>
      </c>
      <c r="L89" s="18" t="n">
        <v>0</v>
      </c>
      <c r="M89" s="18" t="n">
        <v>-708.25</v>
      </c>
      <c r="N89" s="8" t="n"/>
      <c r="O89" s="60" t="n">
        <v>0</v>
      </c>
      <c r="P89" s="60" t="n">
        <v>0</v>
      </c>
      <c r="Q89" s="60" t="n">
        <v>0</v>
      </c>
      <c r="R89" s="60" t="n">
        <v>0</v>
      </c>
      <c r="S89" s="60" t="n">
        <v>0</v>
      </c>
      <c r="T89" s="60" t="n">
        <v>0</v>
      </c>
      <c r="U89" s="60" t="n">
        <v>0</v>
      </c>
      <c r="V89" s="60">
        <f>+V70-V88</f>
        <v/>
      </c>
      <c r="W89" s="60">
        <f>+W70-W88</f>
        <v/>
      </c>
      <c r="X89" s="60">
        <f>+X70-X88</f>
        <v/>
      </c>
      <c r="Y89" s="60">
        <f>+Y70-Y88</f>
        <v/>
      </c>
      <c r="Z89" s="60">
        <f>+Z70-Z88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708.25</v>
      </c>
      <c r="N91" s="8" t="n"/>
      <c r="O91" s="60" t="n">
        <v>0</v>
      </c>
      <c r="P91" s="60" t="n">
        <v>0</v>
      </c>
      <c r="Q91" s="60" t="n">
        <v>0</v>
      </c>
      <c r="R91" s="60" t="n">
        <v>0</v>
      </c>
      <c r="S91" s="60" t="n">
        <v>0</v>
      </c>
      <c r="T91" s="60" t="n">
        <v>0</v>
      </c>
      <c r="U91" s="60" t="n">
        <v>0</v>
      </c>
      <c r="V91" s="60">
        <f>V88+V92</f>
        <v/>
      </c>
      <c r="W91" s="60">
        <f>W88+W92</f>
        <v/>
      </c>
      <c r="X91" s="60">
        <f>X88+X92</f>
        <v/>
      </c>
      <c r="Y91" s="60">
        <f>Y88+Y92</f>
        <v/>
      </c>
      <c r="Z91" s="60">
        <f>Z88+Z92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>
        <v>5.95</v>
      </c>
      <c r="C92" s="18" t="n">
        <v>39.8</v>
      </c>
      <c r="D92" s="18" t="n">
        <v>7</v>
      </c>
      <c r="E92" s="18" t="n">
        <v>923.3000000000001</v>
      </c>
      <c r="F92" s="18" t="n">
        <v>78.98</v>
      </c>
      <c r="G92" s="18" t="n">
        <v>5.95</v>
      </c>
      <c r="H92" s="18" t="n">
        <v>4.680000000000001</v>
      </c>
      <c r="I92" s="18" t="n">
        <v>7.35</v>
      </c>
      <c r="J92" s="18" t="n">
        <v>3.5</v>
      </c>
      <c r="K92" s="18" t="n">
        <v>5.25</v>
      </c>
      <c r="L92" s="18" t="n">
        <v>48.5</v>
      </c>
      <c r="M92" s="18" t="n">
        <v>708.25</v>
      </c>
      <c r="N92" s="8" t="n"/>
      <c r="O92" s="60" t="n">
        <v>0</v>
      </c>
      <c r="P92" s="60" t="n">
        <v>0</v>
      </c>
      <c r="Q92" s="60" t="n">
        <v>0</v>
      </c>
      <c r="R92" s="60" t="n">
        <v>0</v>
      </c>
      <c r="S92" s="60" t="n">
        <v>0</v>
      </c>
      <c r="T92" s="60" t="n">
        <v>0</v>
      </c>
      <c r="U92" s="60" t="n">
        <v>0</v>
      </c>
      <c r="V92" s="60">
        <f>SUM('YBN Blank TB'!J2:J36)+SUM('YBN HO TB'!J2:J43)</f>
        <v/>
      </c>
      <c r="W92" s="60">
        <f>SUM('YBN Blank TB'!K2:K36)+SUM('YBN HO TB'!K2:K43)</f>
        <v/>
      </c>
      <c r="X92" s="60">
        <f>SUM('YBN Blank TB'!L2:L36)+SUM('YBN HO TB'!L2:L43)</f>
        <v/>
      </c>
      <c r="Y92" s="60">
        <f>SUM('YBN Blank TB'!M2:M36)+SUM('YBN HO TB'!M2:M43)</f>
        <v/>
      </c>
      <c r="Z92" s="60">
        <f>SUM('YBN Blank TB'!N2:N36)+SUM('YBN HO TB'!N2:N43)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3.5703125" customWidth="1" min="2" max="2"/>
    <col width="11" customWidth="1" min="3" max="3"/>
    <col width="12" customWidth="1" min="4" max="4"/>
    <col width="11.5703125" customWidth="1" min="5" max="5"/>
    <col width="11.140625" customWidth="1" min="6" max="6"/>
    <col width="12" customWidth="1" min="7" max="7"/>
    <col width="11" customWidth="1" min="9" max="9"/>
    <col width="11.7109375" customWidth="1" min="10" max="10"/>
    <col width="11" customWidth="1" min="11" max="11"/>
    <col width="12" customWidth="1" min="12" max="12"/>
    <col width="18.28515625" customWidth="1" min="14" max="14"/>
    <col width="13.7109375" customWidth="1" min="15" max="15"/>
    <col width="12.85546875" customWidth="1" min="22" max="22"/>
    <col width="11.7109375" customWidth="1" min="23" max="23"/>
    <col width="12.85546875" customWidth="1" min="26" max="26"/>
    <col width="14.28515625" customWidth="1" min="27" max="27"/>
    <col width="14.42578125" customWidth="1" min="28" max="28"/>
    <col width="12.85546875" customWidth="1" min="30" max="30"/>
    <col width="11.7109375" customWidth="1" min="35" max="35"/>
    <col width="14.85546875" customWidth="1" min="36" max="36"/>
    <col width="15.28515625" customWidth="1" min="37" max="37"/>
    <col width="14.42578125" customWidth="1" min="38" max="38"/>
    <col width="14.85546875" customWidth="1" min="39" max="39"/>
    <col width="5.7109375" customWidth="1" min="40" max="40"/>
    <col width="14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Group Totals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83" t="n"/>
      <c r="W1" s="83" t="n"/>
      <c r="X1" s="83" t="n"/>
      <c r="Y1" s="83" t="n"/>
      <c r="Z1" s="83" t="n"/>
      <c r="AA1" s="6" t="n"/>
      <c r="AB1" s="6" t="n"/>
      <c r="AC1" s="84" t="n">
        <v>2027</v>
      </c>
      <c r="AD1" s="83" t="inlineStr">
        <is>
          <t>NOT COMPLETED - STRETCHED FUNDING INCOMING- NEEDS REVIEW</t>
        </is>
      </c>
      <c r="AE1" s="83" t="n"/>
      <c r="AF1" s="83" t="n"/>
      <c r="AG1" s="83" t="n"/>
      <c r="AH1" s="83" t="n"/>
      <c r="AI1" s="8" t="n"/>
      <c r="AJ1" s="85" t="inlineStr">
        <is>
          <t>Q1</t>
        </is>
      </c>
      <c r="AK1" s="86" t="inlineStr">
        <is>
          <t>Q2</t>
        </is>
      </c>
      <c r="AL1" s="86" t="inlineStr">
        <is>
          <t>Q3</t>
        </is>
      </c>
      <c r="AM1" s="85" t="inlineStr">
        <is>
          <t>Q4</t>
        </is>
      </c>
      <c r="AN1" s="10" t="n"/>
      <c r="AO1" s="87" t="inlineStr">
        <is>
          <t>FY27 Q1</t>
        </is>
      </c>
      <c r="AP1" s="87" t="inlineStr">
        <is>
          <t>FY27 Q2</t>
        </is>
      </c>
    </row>
    <row r="2" ht="30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5" t="inlineStr">
        <is>
          <t xml:space="preserve">12 Month Rolling Total </t>
        </is>
      </c>
      <c r="AN2" s="17" t="n"/>
      <c r="AO2" s="88" t="inlineStr">
        <is>
          <t xml:space="preserve">12 Month Rolling Total </t>
        </is>
      </c>
      <c r="AP2" s="88" t="inlineStr">
        <is>
          <t xml:space="preserve">13 Month Rolling Total </t>
        </is>
      </c>
    </row>
    <row r="3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19" t="n"/>
      <c r="AN3" s="8" t="n"/>
      <c r="AO3" s="89" t="n"/>
      <c r="AP3" s="89" t="n"/>
    </row>
    <row r="4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4" t="n"/>
      <c r="AN4" s="25" t="n"/>
      <c r="AO4" s="90" t="n"/>
      <c r="AP4" s="90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4" t="n"/>
      <c r="AN5" s="25" t="n"/>
      <c r="AO5" s="90" t="n"/>
      <c r="AP5" s="90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0" t="n"/>
      <c r="AN6" s="31" t="n"/>
      <c r="AO6" s="91" t="n"/>
      <c r="AP6" s="91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4" t="n"/>
      <c r="AN7" s="25" t="n"/>
      <c r="AO7" s="90" t="n"/>
      <c r="AP7" s="90" t="n"/>
    </row>
    <row r="8">
      <c r="A8" s="34" t="inlineStr">
        <is>
          <t>Fee Income Regular</t>
        </is>
      </c>
      <c r="B8" s="35" t="n">
        <v>647715.77</v>
      </c>
      <c r="C8" s="35" t="n">
        <v>594448.1800000001</v>
      </c>
      <c r="D8" s="35" t="n">
        <v>695801.55</v>
      </c>
      <c r="E8" s="35" t="n">
        <v>784658.2799999998</v>
      </c>
      <c r="F8" s="35" t="n">
        <v>675656.28</v>
      </c>
      <c r="G8" s="35" t="n">
        <v>654597.29</v>
      </c>
      <c r="H8" s="35" t="n">
        <v>849228.45</v>
      </c>
      <c r="I8" s="35" t="n">
        <v>716505.1899999999</v>
      </c>
      <c r="J8" s="35" t="n">
        <v>551179.66</v>
      </c>
      <c r="K8" s="35" t="n">
        <v>547817.34</v>
      </c>
      <c r="L8" s="35" t="n">
        <v>484059.63</v>
      </c>
      <c r="M8" s="35" t="n">
        <v>655079.4399999999</v>
      </c>
      <c r="N8" s="36">
        <f>SUM(B8:M8)</f>
        <v/>
      </c>
      <c r="O8" s="37">
        <f>'ABA'!O8+'BK'!O8+'BW'!O8+'CED'!O8+'HAB'!O8+'HB'!O8+'OD'!O8+'HDN'!O8+'KIN'!O8+'LE'!O8+'MER'!O8+'NDN'!O8+'SALT'!O8+'SDN'!O8+'SST'!O8+'WH'!O8+'FH'!O8+'KNL HO'!O8+'CCL HO'!O8+'YBHN HO'!O8+'YBN HO'!O8</f>
        <v/>
      </c>
      <c r="P8" s="37">
        <f>'ABA'!P8+'BK'!P8+'BW'!P8+'CED'!P8+'HAB'!P8+'HB'!P8+'OD'!P8+'HDN'!P8+'KIN'!P8+'LE'!P8+'MER'!P8+'NDN'!P8+'SALT'!P8+'SDN'!P8+'SST'!P8+'WH'!P8+'FH'!P8+'KNL HO'!P8+'CCL HO'!P8+'YBHN HO'!P8+'YBN HO'!P8</f>
        <v/>
      </c>
      <c r="Q8" s="37">
        <f>'ABA'!Q8+'BK'!Q8+'BW'!Q8+'CED'!Q8+'HAB'!Q8+'HB'!Q8+'OD'!Q8+'HDN'!Q8+'KIN'!Q8+'LE'!Q8+'MER'!Q8+'NDN'!Q8+'SALT'!Q8+'SDN'!Q8+'SST'!Q8+'WH'!Q8+'FH'!Q8+'KNL HO'!Q8+'CCL HO'!Q8+'YBHN HO'!Q8+'YBN HO'!Q8</f>
        <v/>
      </c>
      <c r="R8" s="37">
        <f>'ABA'!R8+'BK'!R8+'BW'!R8+'CED'!R8+'HAB'!R8+'HB'!R8+'OD'!R8+'HDN'!R8+'KIN'!R8+'LE'!R8+'MER'!R8+'NDN'!R8+'SALT'!R8+'SDN'!R8+'SST'!R8+'WH'!R8+'FH'!R8+'KNL HO'!R8+'CCL HO'!R8+'YBHN HO'!R8+'YBN HO'!R8</f>
        <v/>
      </c>
      <c r="S8" s="37">
        <f>'ABA'!S8+'BK'!S8+'BW'!S8+'CED'!S8+'HAB'!S8+'HB'!S8+'OD'!S8+'HDN'!S8+'KIN'!S8+'LE'!S8+'MER'!S8+'NDN'!S8+'SALT'!S8+'SDN'!S8+'SST'!S8+'WH'!S8+'FH'!S8+'KNL HO'!S8+'CCL HO'!S8+'YBHN HO'!S8+'YBN HO'!S8</f>
        <v/>
      </c>
      <c r="T8" s="37">
        <f>'ABA'!T8+'BK'!T8+'BW'!T8+'CED'!T8+'HAB'!T8+'HB'!T8+'OD'!T8+'HDN'!T8+'KIN'!T8+'LE'!T8+'MER'!T8+'NDN'!T8+'SALT'!T8+'SDN'!T8+'SST'!T8+'WH'!T8+'FH'!T8+'KNL HO'!T8+'CCL HO'!T8+'YBHN HO'!T8+'YBN HO'!T8</f>
        <v/>
      </c>
      <c r="U8" s="37">
        <f>'ABA'!U8+'BK'!U8+'BW'!U8+'CED'!U8+'HAB'!U8+'HB'!U8+'OD'!U8+'HDN'!U8+'KIN'!U8+'LE'!U8+'MER'!U8+'NDN'!U8+'SALT'!U8+'SDN'!U8+'SST'!U8+'WH'!U8+'FH'!U8+'KNL HO'!U8+'CCL HO'!U8+'YBHN HO'!U8+'YBN HO'!U8</f>
        <v/>
      </c>
      <c r="V8" s="38">
        <f>'KNL HO'!V8+'CCL GROUP P&amp;L'!V8+'YBHN GROUP P&amp;L'!V8+'YBN Group P&amp;L'!V8+'HAB'!V8+'Moe2 P&amp;L'!V8</f>
        <v/>
      </c>
      <c r="W8" s="38">
        <f>'KNL HO'!W8+'CCL GROUP P&amp;L'!W8+'YBHN GROUP P&amp;L'!W8+'YBN Group P&amp;L'!W8+'HAB'!W8+'Moe2 P&amp;L'!W8</f>
        <v/>
      </c>
      <c r="X8" s="38">
        <f>'KNL HO'!X8+'CCL GROUP P&amp;L'!X8+'YBHN GROUP P&amp;L'!X8+'YBN Group P&amp;L'!X8+'HAB'!X8+'Moe2 P&amp;L'!X8</f>
        <v/>
      </c>
      <c r="Y8" s="38">
        <f>'KNL HO'!Y8+'CCL GROUP P&amp;L'!Y8+'YBHN GROUP P&amp;L'!Y8+'YBN Group P&amp;L'!Y8+'HAB'!Y8+'Moe2 P&amp;L'!Y8</f>
        <v/>
      </c>
      <c r="Z8" s="38">
        <f>'KNL HO'!Z8+'CCL GROUP P&amp;L'!Z8+'YBHN GROUP P&amp;L'!Z8+'YBN Group P&amp;L'!Z8+'HAB'!Z8+'Moe2 P&amp;L'!Z8</f>
        <v/>
      </c>
      <c r="AA8" s="36">
        <f>SUM(O8:U8)</f>
        <v/>
      </c>
      <c r="AB8" s="36">
        <f>SUM(O8:Z8)</f>
        <v/>
      </c>
      <c r="AC8" s="38">
        <f>'KNL HO'!AC8+'CCL GROUP P&amp;L'!AC8+'YBHN GROUP P&amp;L'!AC8+'YBN Group P&amp;L'!AC8+'HAB'!AC8+'Moe2 P&amp;L'!AC8</f>
        <v/>
      </c>
      <c r="AD8" s="38">
        <f>'KNL HO'!AD8+'CCL GROUP P&amp;L'!AD8+'YBHN GROUP P&amp;L'!AD8+'YBN Group P&amp;L'!AD8+'HAB'!AD8+'Moe2 P&amp;L'!AD8</f>
        <v/>
      </c>
      <c r="AE8" s="38">
        <f>'KNL HO'!AE8+'CCL GROUP P&amp;L'!AE8+'YBHN GROUP P&amp;L'!AE8+'YBN Group P&amp;L'!AE8+'HAB'!AE8+'Moe2 P&amp;L'!AE8</f>
        <v/>
      </c>
      <c r="AF8" s="38">
        <f>'KNL HO'!AF8+'CCL GROUP P&amp;L'!AF8+'YBHN GROUP P&amp;L'!AF8+'YBN Group P&amp;L'!AF8+'HAB'!AF8+'Moe2 P&amp;L'!AF8</f>
        <v/>
      </c>
      <c r="AG8" s="38">
        <f>'KNL HO'!AG8+'CCL GROUP P&amp;L'!AG8+'YBHN GROUP P&amp;L'!AG8+'YBN Group P&amp;L'!AG8+'HAB'!AG8+'Moe2 P&amp;L'!AG8</f>
        <v/>
      </c>
      <c r="AH8" s="38">
        <f>'KNL HO'!AH8+'CCL GROUP P&amp;L'!AH8+'YBHN GROUP P&amp;L'!AH8+'YBN Group P&amp;L'!AH8+'HAB'!AH8+'Moe2 P&amp;L'!AH8</f>
        <v/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6">
        <f>SUM(N8:Z8)-$N8</f>
        <v/>
      </c>
      <c r="AN8" s="40" t="n"/>
      <c r="AO8" s="92">
        <f>SUM(AC8:AE8)+SUM(R8:Z8)</f>
        <v/>
      </c>
      <c r="AP8" s="92">
        <f>SUM(AC8:AH8)+SUM(U8:Z8)</f>
        <v/>
      </c>
    </row>
    <row r="9">
      <c r="A9" s="34" t="inlineStr">
        <is>
          <t>EEEF Embeded</t>
        </is>
      </c>
      <c r="B9" s="35" t="n">
        <v>212506</v>
      </c>
      <c r="C9" s="35" t="n">
        <v>307925.86</v>
      </c>
      <c r="D9" s="35" t="n">
        <v>375959.43</v>
      </c>
      <c r="E9" s="35" t="n">
        <v>178590.14</v>
      </c>
      <c r="F9" s="35" t="n">
        <v>178590.06</v>
      </c>
      <c r="G9" s="35" t="n">
        <v>323527.77</v>
      </c>
      <c r="H9" s="35" t="n">
        <v>437878.41</v>
      </c>
      <c r="I9" s="35" t="n">
        <v>0</v>
      </c>
      <c r="J9" s="35" t="n">
        <v>209701.09</v>
      </c>
      <c r="K9" s="35" t="n">
        <v>247373.69</v>
      </c>
      <c r="L9" s="35" t="n">
        <v>461711.13</v>
      </c>
      <c r="M9" s="35" t="n">
        <v>507534.39</v>
      </c>
      <c r="N9" s="36">
        <f>SUM(B9:M9)</f>
        <v/>
      </c>
      <c r="O9" s="37">
        <f>'ABA'!O9+'BK'!O9+'BW'!O9+'CED'!O9+'HAB'!O9+'HB'!O9+'OD'!O9+'HDN'!O9+'KIN'!O9+'LE'!O9+'MER'!O9+'NDN'!O9+'SALT'!O9+'SDN'!O9+'SST'!O9+'WH'!O9+'FH'!O9+'KNL HO'!O9+'CCL HO'!O9+'YBHN HO'!O9+'YBN HO'!O9</f>
        <v/>
      </c>
      <c r="P9" s="37">
        <f>'ABA'!P9+'BK'!P9+'BW'!P9+'CED'!P9+'HAB'!P9+'HB'!P9+'OD'!P9+'HDN'!P9+'KIN'!P9+'LE'!P9+'MER'!P9+'NDN'!P9+'SALT'!P9+'SDN'!P9+'SST'!P9+'WH'!P9+'FH'!P9+'KNL HO'!P9+'CCL HO'!P9+'YBHN HO'!P9+'YBN HO'!P9</f>
        <v/>
      </c>
      <c r="Q9" s="37">
        <f>'ABA'!Q9+'BK'!Q9+'BW'!Q9+'CED'!Q9+'HAB'!Q9+'HB'!Q9+'OD'!Q9+'HDN'!Q9+'KIN'!Q9+'LE'!Q9+'MER'!Q9+'NDN'!Q9+'SALT'!Q9+'SDN'!Q9+'SST'!Q9+'WH'!Q9+'FH'!Q9+'KNL HO'!Q9+'CCL HO'!Q9+'YBHN HO'!Q9+'YBN HO'!Q9</f>
        <v/>
      </c>
      <c r="R9" s="37">
        <f>'ABA'!R9+'BK'!R9+'BW'!R9+'CED'!R9+'HAB'!R9+'HB'!R9+'OD'!R9+'HDN'!R9+'KIN'!R9+'LE'!R9+'MER'!R9+'NDN'!R9+'SALT'!R9+'SDN'!R9+'SST'!R9+'WH'!R9+'FH'!R9+'KNL HO'!R9+'CCL HO'!R9+'YBHN HO'!R9+'YBN HO'!R9</f>
        <v/>
      </c>
      <c r="S9" s="37">
        <f>'ABA'!S9+'BK'!S9+'BW'!S9+'CED'!S9+'HAB'!S9+'HB'!S9+'OD'!S9+'HDN'!S9+'KIN'!S9+'LE'!S9+'MER'!S9+'NDN'!S9+'SALT'!S9+'SDN'!S9+'SST'!S9+'WH'!S9+'FH'!S9+'KNL HO'!S9+'CCL HO'!S9+'YBHN HO'!S9+'YBN HO'!S9</f>
        <v/>
      </c>
      <c r="T9" s="37">
        <f>'ABA'!T9+'BK'!T9+'BW'!T9+'CED'!T9+'HAB'!T9+'HB'!T9+'OD'!T9+'HDN'!T9+'KIN'!T9+'LE'!T9+'MER'!T9+'NDN'!T9+'SALT'!T9+'SDN'!T9+'SST'!T9+'WH'!T9+'FH'!T9+'KNL HO'!T9+'CCL HO'!T9+'YBHN HO'!T9+'YBN HO'!T9</f>
        <v/>
      </c>
      <c r="U9" s="37">
        <f>'ABA'!U9+'BK'!U9+'BW'!U9+'CED'!U9+'HAB'!U9+'HB'!U9+'OD'!U9+'HDN'!U9+'KIN'!U9+'LE'!U9+'MER'!U9+'NDN'!U9+'SALT'!U9+'SDN'!U9+'SST'!U9+'WH'!U9+'FH'!U9+'KNL HO'!U9+'CCL HO'!U9+'YBHN HO'!U9+'YBN HO'!U9</f>
        <v/>
      </c>
      <c r="V9" s="38">
        <f>'KNL HO'!V9+'CCL GROUP P&amp;L'!V9+'YBHN GROUP P&amp;L'!V9+'YBN Group P&amp;L'!V9+'HAB'!V9+'Moe2 P&amp;L'!V9</f>
        <v/>
      </c>
      <c r="W9" s="38">
        <f>'KNL HO'!W9+'CCL GROUP P&amp;L'!W9+'YBHN GROUP P&amp;L'!W9+'YBN Group P&amp;L'!W9+'HAB'!W9+'Moe2 P&amp;L'!W9</f>
        <v/>
      </c>
      <c r="X9" s="38">
        <f>'KNL HO'!X9+'CCL GROUP P&amp;L'!X9+'YBHN GROUP P&amp;L'!X9+'YBN Group P&amp;L'!X9+'HAB'!X9+'Moe2 P&amp;L'!X9</f>
        <v/>
      </c>
      <c r="Y9" s="38">
        <f>'KNL HO'!Y9+'CCL GROUP P&amp;L'!Y9+'YBHN GROUP P&amp;L'!Y9+'YBN Group P&amp;L'!Y9+'HAB'!Y9+'Moe2 P&amp;L'!Y9</f>
        <v/>
      </c>
      <c r="Z9" s="38">
        <f>'KNL HO'!Z9+'CCL GROUP P&amp;L'!Z9+'YBHN GROUP P&amp;L'!Z9+'YBN Group P&amp;L'!Z9+'HAB'!Z9+'Moe2 P&amp;L'!Z9</f>
        <v/>
      </c>
      <c r="AA9" s="36">
        <f>SUM(O9:U9)</f>
        <v/>
      </c>
      <c r="AB9" s="36">
        <f>SUM(O9:Z9)</f>
        <v/>
      </c>
      <c r="AC9" s="38">
        <f>'KNL HO'!AC9+'CCL GROUP P&amp;L'!AC9+'YBHN GROUP P&amp;L'!AC9+'YBN Group P&amp;L'!AC9+'HAB'!AC9+'Moe2 P&amp;L'!AC9</f>
        <v/>
      </c>
      <c r="AD9" s="38">
        <f>'KNL HO'!AD9+'CCL GROUP P&amp;L'!AD9+'YBHN GROUP P&amp;L'!AD9+'YBN Group P&amp;L'!AD9+'HAB'!AD9+'Moe2 P&amp;L'!AD9</f>
        <v/>
      </c>
      <c r="AE9" s="38">
        <f>'KNL HO'!AE9+'CCL GROUP P&amp;L'!AE9+'YBHN GROUP P&amp;L'!AE9+'YBN Group P&amp;L'!AE9+'HAB'!AE9+'Moe2 P&amp;L'!AE9</f>
        <v/>
      </c>
      <c r="AF9" s="38">
        <f>'KNL HO'!AF9+'CCL GROUP P&amp;L'!AF9+'YBHN GROUP P&amp;L'!AF9+'YBN Group P&amp;L'!AF9+'HAB'!AF9+'Moe2 P&amp;L'!AF9</f>
        <v/>
      </c>
      <c r="AG9" s="38">
        <f>'KNL HO'!AG9+'CCL GROUP P&amp;L'!AG9+'YBHN GROUP P&amp;L'!AG9+'YBN Group P&amp;L'!AG9+'HAB'!AG9+'Moe2 P&amp;L'!AG9</f>
        <v/>
      </c>
      <c r="AH9" s="38">
        <f>'KNL HO'!AH9+'CCL GROUP P&amp;L'!AH9+'YBHN GROUP P&amp;L'!AH9+'YBN Group P&amp;L'!AH9+'HAB'!AH9+'Moe2 P&amp;L'!AH9</f>
        <v/>
      </c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6">
        <f>SUM(N9:Z9)-$N9</f>
        <v/>
      </c>
      <c r="AN9" s="40" t="n"/>
      <c r="AO9" s="92">
        <f>SUM(AC9:AE9)+SUM(R9:Z9)</f>
        <v/>
      </c>
      <c r="AP9" s="92">
        <f>SUM(AC9:AH9)+SUM(U9:Z9)</f>
        <v/>
      </c>
    </row>
    <row r="10" ht="15.75" customHeight="1">
      <c r="A10" s="34" t="inlineStr">
        <is>
          <t>Other Income</t>
        </is>
      </c>
      <c r="B10" s="35" t="n">
        <v>2306.25</v>
      </c>
      <c r="C10" s="35" t="n">
        <v>950</v>
      </c>
      <c r="D10" s="35" t="n">
        <v>1785</v>
      </c>
      <c r="E10" s="35" t="n">
        <v>2573.34</v>
      </c>
      <c r="F10" s="35" t="n">
        <v>1650</v>
      </c>
      <c r="G10" s="35" t="n">
        <v>3786.01</v>
      </c>
      <c r="H10" s="35" t="n">
        <v>2072.69</v>
      </c>
      <c r="I10" s="35" t="n">
        <v>48269.93</v>
      </c>
      <c r="J10" s="35" t="n">
        <v>2050.57</v>
      </c>
      <c r="K10" s="35" t="n">
        <v>1175</v>
      </c>
      <c r="L10" s="35" t="n">
        <v>1780.24</v>
      </c>
      <c r="M10" s="35" t="n">
        <v>5624.13</v>
      </c>
      <c r="N10" s="36">
        <f>SUM(B10:M10)</f>
        <v/>
      </c>
      <c r="O10" s="37">
        <f>'ABA'!O10+'BK'!O10+'BW'!O10+'CED'!O10+'HAB'!O10+'HB'!O10+'OD'!O10+'HDN'!O10+'KIN'!O10+'LE'!O10+'MER'!O10+'NDN'!O10+'SALT'!O10+'SDN'!O10+'SST'!O10+'WH'!O10+'FH'!O10+'KNL HO'!O10+'CCL HO'!O10+'YBHN HO'!O10+'YBN HO'!O10</f>
        <v/>
      </c>
      <c r="P10" s="37">
        <f>'ABA'!P10+'BK'!P10+'BW'!P10+'CED'!P10+'HAB'!P10+'HB'!P10+'OD'!P10+'HDN'!P10+'KIN'!P10+'LE'!P10+'MER'!P10+'NDN'!P10+'SALT'!P10+'SDN'!P10+'SST'!P10+'WH'!P10+'FH'!P10+'KNL HO'!P10+'CCL HO'!P10+'YBHN HO'!P10+'YBN HO'!P10</f>
        <v/>
      </c>
      <c r="Q10" s="37">
        <f>'ABA'!Q10+'BK'!Q10+'BW'!Q10+'CED'!Q10+'HAB'!Q10+'HB'!Q10+'OD'!Q10+'HDN'!Q10+'KIN'!Q10+'LE'!Q10+'MER'!Q10+'NDN'!Q10+'SALT'!Q10+'SDN'!Q10+'SST'!Q10+'WH'!Q10+'FH'!Q10+'KNL HO'!Q10+'CCL HO'!Q10+'YBHN HO'!Q10+'YBN HO'!Q10</f>
        <v/>
      </c>
      <c r="R10" s="37">
        <f>'ABA'!R10+'BK'!R10+'BW'!R10+'CED'!R10+'HAB'!R10+'HB'!R10+'OD'!R10+'HDN'!R10+'KIN'!R10+'LE'!R10+'MER'!R10+'NDN'!R10+'SALT'!R10+'SDN'!R10+'SST'!R10+'WH'!R10+'FH'!R10+'KNL HO'!R10+'CCL HO'!R10+'YBHN HO'!R10+'YBN HO'!R10</f>
        <v/>
      </c>
      <c r="S10" s="37">
        <f>'ABA'!S10+'BK'!S10+'BW'!S10+'CED'!S10+'HAB'!S10+'HB'!S10+'OD'!S10+'HDN'!S10+'KIN'!S10+'LE'!S10+'MER'!S10+'NDN'!S10+'SALT'!S10+'SDN'!S10+'SST'!S10+'WH'!S10+'FH'!S10+'KNL HO'!S10+'CCL HO'!S10+'YBHN HO'!S10+'YBN HO'!S10</f>
        <v/>
      </c>
      <c r="T10" s="37">
        <f>'ABA'!T10+'BK'!T10+'BW'!T10+'CED'!T10+'HAB'!T10+'HB'!T10+'OD'!T10+'HDN'!T10+'KIN'!T10+'LE'!T10+'MER'!T10+'NDN'!T10+'SALT'!T10+'SDN'!T10+'SST'!T10+'WH'!T10+'FH'!T10+'KNL HO'!T10+'CCL HO'!T10+'YBHN HO'!T10+'YBN HO'!T10</f>
        <v/>
      </c>
      <c r="U10" s="37">
        <f>'ABA'!U10+'BK'!U10+'BW'!U10+'CED'!U10+'HAB'!U10+'HB'!U10+'OD'!U10+'HDN'!U10+'KIN'!U10+'LE'!U10+'MER'!U10+'NDN'!U10+'SALT'!U10+'SDN'!U10+'SST'!U10+'WH'!U10+'FH'!U10+'KNL HO'!U10+'CCL HO'!U10+'YBHN HO'!U10+'YBN HO'!U10</f>
        <v/>
      </c>
      <c r="V10" s="38">
        <f>'KNL HO'!V10+'CCL GROUP P&amp;L'!V10+'YBHN GROUP P&amp;L'!V10+'YBN Group P&amp;L'!V10+'HAB'!V10+'Moe2 P&amp;L'!V10</f>
        <v/>
      </c>
      <c r="W10" s="38">
        <f>'KNL HO'!W10+'CCL GROUP P&amp;L'!W10+'YBHN GROUP P&amp;L'!W10+'YBN Group P&amp;L'!W10+'HAB'!W10+'Moe2 P&amp;L'!W10</f>
        <v/>
      </c>
      <c r="X10" s="38">
        <f>'KNL HO'!X10+'CCL GROUP P&amp;L'!X10+'YBHN GROUP P&amp;L'!X10+'YBN Group P&amp;L'!X10+'HAB'!X10+'Moe2 P&amp;L'!X10</f>
        <v/>
      </c>
      <c r="Y10" s="38">
        <f>'KNL HO'!Y10+'CCL GROUP P&amp;L'!Y10+'YBHN GROUP P&amp;L'!Y10+'YBN Group P&amp;L'!Y10+'HAB'!Y10+'Moe2 P&amp;L'!Y10</f>
        <v/>
      </c>
      <c r="Z10" s="38">
        <f>'KNL HO'!Z10+'CCL GROUP P&amp;L'!Z10+'YBHN GROUP P&amp;L'!Z10+'YBN Group P&amp;L'!Z10+'HAB'!Z10+'Moe2 P&amp;L'!Z10</f>
        <v/>
      </c>
      <c r="AA10" s="36">
        <f>SUM(O10:U10)</f>
        <v/>
      </c>
      <c r="AB10" s="36">
        <f>SUM(O10:Z10)</f>
        <v/>
      </c>
      <c r="AC10" s="38">
        <f>'KNL HO'!AC10+'CCL GROUP P&amp;L'!AC10+'YBHN GROUP P&amp;L'!AC10+'YBN Group P&amp;L'!AC10+'HAB'!AC10+'Moe2 P&amp;L'!AC10</f>
        <v/>
      </c>
      <c r="AD10" s="38">
        <f>'KNL HO'!AD10+'CCL GROUP P&amp;L'!AD10+'YBHN GROUP P&amp;L'!AD10+'YBN Group P&amp;L'!AD10+'HAB'!AD10+'Moe2 P&amp;L'!AD10</f>
        <v/>
      </c>
      <c r="AE10" s="38">
        <f>'KNL HO'!AE10+'CCL GROUP P&amp;L'!AE10+'YBHN GROUP P&amp;L'!AE10+'YBN Group P&amp;L'!AE10+'HAB'!AE10+'Moe2 P&amp;L'!AE10</f>
        <v/>
      </c>
      <c r="AF10" s="38">
        <f>'KNL HO'!AF10+'CCL GROUP P&amp;L'!AF10+'YBHN GROUP P&amp;L'!AF10+'YBN Group P&amp;L'!AF10+'HAB'!AF10+'Moe2 P&amp;L'!AF10</f>
        <v/>
      </c>
      <c r="AG10" s="38">
        <f>'KNL HO'!AG10+'CCL GROUP P&amp;L'!AG10+'YBHN GROUP P&amp;L'!AG10+'YBN Group P&amp;L'!AG10+'HAB'!AG10+'Moe2 P&amp;L'!AG10</f>
        <v/>
      </c>
      <c r="AH10" s="38">
        <f>'KNL HO'!AH10+'CCL GROUP P&amp;L'!AH10+'YBHN GROUP P&amp;L'!AH10+'YBN Group P&amp;L'!AH10+'HAB'!AH10+'Moe2 P&amp;L'!AH10</f>
        <v/>
      </c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6">
        <f>SUM(N10:Z10)-$N10</f>
        <v/>
      </c>
      <c r="AN10" s="40" t="n"/>
      <c r="AO10" s="92">
        <f>SUM(AC10:AE10)+SUM(R10:Z10)</f>
        <v/>
      </c>
      <c r="AP10" s="92">
        <f>SUM(AC10:AH10)+SUM(U10:Z10)</f>
        <v/>
      </c>
    </row>
    <row r="11" ht="15.75" customHeight="1">
      <c r="A11" s="41" t="inlineStr">
        <is>
          <t>Total Income</t>
        </is>
      </c>
      <c r="B11" s="42" t="n">
        <v>862528.02</v>
      </c>
      <c r="C11" s="42" t="n">
        <v>903324.04</v>
      </c>
      <c r="D11" s="42" t="n">
        <v>1073545.98</v>
      </c>
      <c r="E11" s="42" t="n">
        <v>965821.7599999998</v>
      </c>
      <c r="F11" s="42" t="n">
        <v>855896.3400000001</v>
      </c>
      <c r="G11" s="42" t="n">
        <v>981911.0700000001</v>
      </c>
      <c r="H11" s="42" t="n">
        <v>1289179.55</v>
      </c>
      <c r="I11" s="42" t="n">
        <v>764775.12</v>
      </c>
      <c r="J11" s="42" t="n">
        <v>762931.3199999999</v>
      </c>
      <c r="K11" s="42" t="n">
        <v>796366.03</v>
      </c>
      <c r="L11" s="42" t="n">
        <v>947551</v>
      </c>
      <c r="M11" s="42" t="n">
        <v>1168237.96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SUM(O11:U11)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93">
        <f>SUM(AO8:AO10)</f>
        <v/>
      </c>
      <c r="AP11" s="9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SUM(O12:U12)</f>
        <v/>
      </c>
      <c r="AB12" s="36" t="n"/>
      <c r="AC12" s="32">
        <f>'KNL HO'!AC12+'CCL GROUP P&amp;L'!AC12+'YBHN GROUP P&amp;L'!AC12+'YBN Group P&amp;L'!AC12+'HAB'!AC12+'Moe2 P&amp;L'!AC12</f>
        <v/>
      </c>
      <c r="AD12" s="32">
        <f>'KNL HO'!AD12+'CCL GROUP P&amp;L'!AD12+'YBHN GROUP P&amp;L'!AD12+'YBN Group P&amp;L'!AD12+'HAB'!AD12+'Moe2 P&amp;L'!AD12</f>
        <v/>
      </c>
      <c r="AE12" s="32">
        <f>'KNL HO'!AE12+'CCL GROUP P&amp;L'!AE12+'YBHN GROUP P&amp;L'!AE12+'YBN Group P&amp;L'!AE12+'HAB'!AE12+'Moe2 P&amp;L'!AE12</f>
        <v/>
      </c>
      <c r="AF12" s="32">
        <f>'KNL HO'!AF12+'CCL GROUP P&amp;L'!AF12+'YBHN GROUP P&amp;L'!AF12+'YBN Group P&amp;L'!AF12+'HAB'!AF12+'Moe2 P&amp;L'!AF12</f>
        <v/>
      </c>
      <c r="AG12" s="32">
        <f>'KNL HO'!AG12+'CCL GROUP P&amp;L'!AG12+'YBHN GROUP P&amp;L'!AG12+'YBN Group P&amp;L'!AG12+'HAB'!AG12+'Moe2 P&amp;L'!AG12</f>
        <v/>
      </c>
      <c r="AH12" s="32">
        <f>'KNL HO'!AH12+'CCL GROUP P&amp;L'!AH12+'YBHN GROUP P&amp;L'!AH12+'YBN Group P&amp;L'!AH12+'HAB'!AH12+'Moe2 P&amp;L'!AH12</f>
        <v/>
      </c>
      <c r="AI12" s="8" t="n"/>
      <c r="AJ12" s="36" t="n"/>
      <c r="AK12" s="36" t="n"/>
      <c r="AL12" s="36" t="n"/>
      <c r="AM12" s="36" t="n"/>
      <c r="AN12" s="40" t="n"/>
      <c r="AO12" s="92" t="n"/>
      <c r="AP12" s="92" t="n"/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8" t="n"/>
      <c r="AJ13" s="47">
        <f>SUM(AJ16:AJ18)/AJ11</f>
        <v/>
      </c>
      <c r="AK13" s="47">
        <f>SUM(AK16:AK18)/AK11</f>
        <v/>
      </c>
      <c r="AL13" s="47">
        <f>SUM(AL16:AL18)/AL11</f>
        <v/>
      </c>
      <c r="AM13" s="47">
        <f>SUM(AM16:AM18)/AM11</f>
        <v/>
      </c>
      <c r="AN13" s="79" t="n"/>
      <c r="AO13" s="94">
        <f>SUM(AO16:AO18)/AO11</f>
        <v/>
      </c>
      <c r="AP13" s="94">
        <f>SUM(AP16:AP18)/AP11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>
        <f>SUM(O14:U14)</f>
        <v/>
      </c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6" t="n"/>
      <c r="AN14" s="40" t="n"/>
      <c r="AO14" s="92" t="n"/>
      <c r="AP14" s="92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 t="n"/>
      <c r="O15" s="25" t="n"/>
      <c r="P15" s="31" t="n"/>
      <c r="Q15" s="95" t="n"/>
      <c r="R15" s="95" t="n"/>
      <c r="S15" s="95" t="n"/>
      <c r="T15" s="95" t="n"/>
      <c r="U15" s="95" t="n"/>
      <c r="V15" s="26" t="n"/>
      <c r="W15" s="26" t="n"/>
      <c r="X15" s="26" t="n"/>
      <c r="Y15" s="26" t="n"/>
      <c r="Z15" s="26" t="n"/>
      <c r="AA15" s="36">
        <f>SUM(O15:U15)</f>
        <v/>
      </c>
      <c r="AB15" s="36" t="n"/>
      <c r="AC15" s="26">
        <f>'KNL HO'!AC15+'CCL GROUP P&amp;L'!AC15+'YBHN GROUP P&amp;L'!AC15+'YBN Group P&amp;L'!AC15+'HAB'!AC15+'Moe2 P&amp;L'!AC15</f>
        <v/>
      </c>
      <c r="AD15" s="26">
        <f>'KNL HO'!AD15+'CCL GROUP P&amp;L'!AD15+'YBHN GROUP P&amp;L'!AD15+'YBN Group P&amp;L'!AD15+'HAB'!AD15+'Moe2 P&amp;L'!AD15</f>
        <v/>
      </c>
      <c r="AE15" s="26">
        <f>'KNL HO'!AE15+'CCL GROUP P&amp;L'!AE15+'YBHN GROUP P&amp;L'!AE15+'YBN Group P&amp;L'!AE15+'HAB'!AE15+'Moe2 P&amp;L'!AE15</f>
        <v/>
      </c>
      <c r="AF15" s="26">
        <f>'KNL HO'!AF15+'CCL GROUP P&amp;L'!AF15+'YBHN GROUP P&amp;L'!AF15+'YBN Group P&amp;L'!AF15+'HAB'!AF15+'Moe2 P&amp;L'!AF15</f>
        <v/>
      </c>
      <c r="AG15" s="26">
        <f>'KNL HO'!AG15+'CCL GROUP P&amp;L'!AG15+'YBHN GROUP P&amp;L'!AG15+'YBN Group P&amp;L'!AG15+'HAB'!AG15+'Moe2 P&amp;L'!AG15</f>
        <v/>
      </c>
      <c r="AH15" s="26">
        <f>'KNL HO'!AH15+'CCL GROUP P&amp;L'!AH15+'YBHN GROUP P&amp;L'!AH15+'YBN Group P&amp;L'!AH15+'HAB'!AH15+'Moe2 P&amp;L'!AH15</f>
        <v/>
      </c>
      <c r="AI15" s="8" t="n"/>
      <c r="AJ15" s="36" t="n"/>
      <c r="AK15" s="36" t="n"/>
      <c r="AL15" s="36" t="n"/>
      <c r="AM15" s="36" t="n"/>
      <c r="AN15" s="40" t="n"/>
      <c r="AO15" s="92" t="n"/>
      <c r="AP15" s="92" t="n"/>
    </row>
    <row r="16">
      <c r="A16" s="34" t="inlineStr">
        <is>
          <t>Nursery Salaries</t>
        </is>
      </c>
      <c r="B16" s="35" t="n">
        <v>397485.6</v>
      </c>
      <c r="C16" s="35" t="n">
        <v>396799.71</v>
      </c>
      <c r="D16" s="35" t="n">
        <v>402127.02</v>
      </c>
      <c r="E16" s="35" t="n">
        <v>444579.13</v>
      </c>
      <c r="F16" s="35" t="n">
        <v>448030.21</v>
      </c>
      <c r="G16" s="35" t="n">
        <v>429293.8300000001</v>
      </c>
      <c r="H16" s="35" t="n">
        <v>463754.97</v>
      </c>
      <c r="I16" s="35" t="n">
        <v>431073.65</v>
      </c>
      <c r="J16" s="35" t="n">
        <v>448953</v>
      </c>
      <c r="K16" s="35" t="n">
        <v>448201.55</v>
      </c>
      <c r="L16" s="35" t="n">
        <v>430984.09</v>
      </c>
      <c r="M16" s="35" t="n">
        <v>443960.13</v>
      </c>
      <c r="N16" s="36">
        <f>SUM(B16:M16)</f>
        <v/>
      </c>
      <c r="O16" s="37">
        <f>'ABA'!O16+'BK'!O16+'BW'!O16+'CED'!O16+'HAB'!O16+'HB'!O16+'OD'!O16+'HDN'!O16+'KIN'!O16+'LE'!O16+'MER'!O16+'NDN'!O16+'SALT'!O16+'SDN'!O16+'SST'!O16+'WH'!O16+'FH'!O16+'KNL HO'!O16+'CCL HO'!O16+'YBHN HO'!O16+'YBN HO'!O16</f>
        <v/>
      </c>
      <c r="P16" s="37">
        <f>'ABA'!P16+'BK'!P16+'BW'!P16+'CED'!P16+'HAB'!P16+'HB'!P16+'OD'!P16+'HDN'!P16+'KIN'!P16+'LE'!P16+'MER'!P16+'NDN'!P16+'SALT'!P16+'SDN'!P16+'SST'!P16+'WH'!P16+'FH'!P16+'KNL HO'!P16+'CCL HO'!P16+'YBHN HO'!P16+'YBN HO'!P16</f>
        <v/>
      </c>
      <c r="Q16" s="37">
        <f>'ABA'!Q16+'BK'!Q16+'BW'!Q16+'CED'!Q16+'HAB'!Q16+'HB'!Q16+'OD'!Q16+'HDN'!Q16+'KIN'!Q16+'LE'!Q16+'MER'!Q16+'NDN'!Q16+'SALT'!Q16+'SDN'!Q16+'SST'!Q16+'WH'!Q16+'FH'!Q16+'KNL HO'!Q16+'CCL HO'!Q16+'YBHN HO'!Q16+'YBN HO'!Q16</f>
        <v/>
      </c>
      <c r="R16" s="37">
        <f>'ABA'!R16+'BK'!R16+'BW'!R16+'CED'!R16+'HAB'!R16+'HB'!R16+'OD'!R16+'HDN'!R16+'KIN'!R16+'LE'!R16+'MER'!R16+'NDN'!R16+'SALT'!R16+'SDN'!R16+'SST'!R16+'WH'!R16+'FH'!R16+'KNL HO'!R16+'CCL HO'!R16+'YBHN HO'!R16+'YBN HO'!R16</f>
        <v/>
      </c>
      <c r="S16" s="37">
        <f>'ABA'!S16+'BK'!S16+'BW'!S16+'CED'!S16+'HAB'!S16+'HB'!S16+'OD'!S16+'HDN'!S16+'KIN'!S16+'LE'!S16+'MER'!S16+'NDN'!S16+'SALT'!S16+'SDN'!S16+'SST'!S16+'WH'!S16+'FH'!S16+'KNL HO'!S16+'CCL HO'!S16+'YBHN HO'!S16+'YBN HO'!S16</f>
        <v/>
      </c>
      <c r="T16" s="37">
        <f>'ABA'!T16+'BK'!T16+'BW'!T16+'CED'!T16+'HAB'!T16+'HB'!T16+'OD'!T16+'HDN'!T16+'KIN'!T16+'LE'!T16+'MER'!T16+'NDN'!T16+'SALT'!T16+'SDN'!T16+'SST'!T16+'WH'!T16+'FH'!T16+'KNL HO'!T16+'CCL HO'!T16+'YBHN HO'!T16+'YBN HO'!T16</f>
        <v/>
      </c>
      <c r="U16" s="37">
        <f>'ABA'!U16+'BK'!U16+'BW'!U16+'CED'!U16+'HAB'!U16+'HB'!U16+'OD'!U16+'HDN'!U16+'KIN'!U16+'LE'!U16+'MER'!U16+'NDN'!U16+'SALT'!U16+'SDN'!U16+'SST'!U16+'WH'!U16+'FH'!U16+'KNL HO'!U16+'CCL HO'!U16+'YBHN HO'!U16+'YBN HO'!U16</f>
        <v/>
      </c>
      <c r="V16" s="38">
        <f>'KNL HO'!V16+'CCL GROUP P&amp;L'!V16+'YBHN GROUP P&amp;L'!V16+'YBN Group P&amp;L'!V16+'HAB'!V16+'Moe2 P&amp;L'!V16</f>
        <v/>
      </c>
      <c r="W16" s="38">
        <f>'KNL HO'!W16+'CCL GROUP P&amp;L'!W16+'YBHN GROUP P&amp;L'!W16+'YBN Group P&amp;L'!W16+'HAB'!W16+'Moe2 P&amp;L'!W16</f>
        <v/>
      </c>
      <c r="X16" s="38">
        <f>'KNL HO'!X16+'CCL GROUP P&amp;L'!X16+'YBHN GROUP P&amp;L'!X16+'YBN Group P&amp;L'!X16+'HAB'!X16+'Moe2 P&amp;L'!X16</f>
        <v/>
      </c>
      <c r="Y16" s="38">
        <f>'KNL HO'!Y16+'CCL GROUP P&amp;L'!Y16+'YBHN GROUP P&amp;L'!Y16+'YBN Group P&amp;L'!Y16+'HAB'!Y16+'Moe2 P&amp;L'!Y16</f>
        <v/>
      </c>
      <c r="Z16" s="38">
        <f>'KNL HO'!Z16+'CCL GROUP P&amp;L'!Z16+'YBHN GROUP P&amp;L'!Z16+'YBN Group P&amp;L'!Z16+'HAB'!Z16+'Moe2 P&amp;L'!Z16</f>
        <v/>
      </c>
      <c r="AA16" s="36">
        <f>SUM(O16:U16)</f>
        <v/>
      </c>
      <c r="AB16" s="36">
        <f>SUM(O16:Z16)</f>
        <v/>
      </c>
      <c r="AC16" s="38">
        <f>'KNL HO'!AC16+'CCL GROUP P&amp;L'!AC16+'YBHN GROUP P&amp;L'!AC16+'YBN Group P&amp;L'!AC16+'HAB'!AC16+'Moe2 P&amp;L'!AC16</f>
        <v/>
      </c>
      <c r="AD16" s="38">
        <f>'KNL HO'!AD16+'CCL GROUP P&amp;L'!AD16+'YBHN GROUP P&amp;L'!AD16+'YBN Group P&amp;L'!AD16+'HAB'!AD16+'Moe2 P&amp;L'!AD16</f>
        <v/>
      </c>
      <c r="AE16" s="38">
        <f>'KNL HO'!AE16+'CCL GROUP P&amp;L'!AE16+'YBHN GROUP P&amp;L'!AE16+'YBN Group P&amp;L'!AE16+'HAB'!AE16+'Moe2 P&amp;L'!AE16</f>
        <v/>
      </c>
      <c r="AF16" s="38">
        <f>'KNL HO'!AF16+'CCL GROUP P&amp;L'!AF16+'YBHN GROUP P&amp;L'!AF16+'YBN Group P&amp;L'!AF16+'HAB'!AF16+'Moe2 P&amp;L'!AF16</f>
        <v/>
      </c>
      <c r="AG16" s="38">
        <f>'KNL HO'!AG16+'CCL GROUP P&amp;L'!AG16+'YBHN GROUP P&amp;L'!AG16+'YBN Group P&amp;L'!AG16+'HAB'!AG16+'Moe2 P&amp;L'!AG16</f>
        <v/>
      </c>
      <c r="AH16" s="38">
        <f>'KNL HO'!AH16+'CCL GROUP P&amp;L'!AH16+'YBHN GROUP P&amp;L'!AH16+'YBN Group P&amp;L'!AH16+'HAB'!AH16+'Moe2 P&amp;L'!AH16</f>
        <v/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6">
        <f>SUM(N16:Z16)-$N16</f>
        <v/>
      </c>
      <c r="AN16" s="40" t="n"/>
      <c r="AO16" s="92">
        <f>SUM(AC16:AE16)+SUM(R16:Z16)</f>
        <v/>
      </c>
      <c r="AP16" s="92">
        <f>SUM(AC16:AH16)+SUM(U16:Z16)</f>
        <v/>
      </c>
    </row>
    <row r="17">
      <c r="A17" s="34" t="inlineStr">
        <is>
          <t>Nursery NI</t>
        </is>
      </c>
      <c r="B17" s="35" t="n">
        <v>31175.25</v>
      </c>
      <c r="C17" s="35" t="n">
        <v>30662.3</v>
      </c>
      <c r="D17" s="35" t="n">
        <v>30757.11</v>
      </c>
      <c r="E17" s="35" t="n">
        <v>47949.14</v>
      </c>
      <c r="F17" s="35" t="n">
        <v>47749.62</v>
      </c>
      <c r="G17" s="35" t="n">
        <v>45520.73</v>
      </c>
      <c r="H17" s="35" t="n">
        <v>49939.52</v>
      </c>
      <c r="I17" s="35" t="n">
        <v>44922.87</v>
      </c>
      <c r="J17" s="35" t="n">
        <v>48493.37</v>
      </c>
      <c r="K17" s="35" t="n">
        <v>47243.5</v>
      </c>
      <c r="L17" s="35" t="n">
        <v>45078.01</v>
      </c>
      <c r="M17" s="35" t="n">
        <v>46803.96000000001</v>
      </c>
      <c r="N17" s="36">
        <f>SUM(B17:M17)</f>
        <v/>
      </c>
      <c r="O17" s="37">
        <f>'ABA'!O17+'BK'!O17+'BW'!O17+'CED'!O17+'HAB'!O17+'HB'!O17+'OD'!O17+'HDN'!O17+'KIN'!O17+'LE'!O17+'MER'!O17+'NDN'!O17+'SALT'!O17+'SDN'!O17+'SST'!O17+'WH'!O17+'FH'!O17+'KNL HO'!O17+'CCL HO'!O17+'YBHN HO'!O17+'YBN HO'!O17</f>
        <v/>
      </c>
      <c r="P17" s="37">
        <f>'ABA'!P17+'BK'!P17+'BW'!P17+'CED'!P17+'HAB'!P17+'HB'!P17+'OD'!P17+'HDN'!P17+'KIN'!P17+'LE'!P17+'MER'!P17+'NDN'!P17+'SALT'!P17+'SDN'!P17+'SST'!P17+'WH'!P17+'FH'!P17+'KNL HO'!P17+'CCL HO'!P17+'YBHN HO'!P17+'YBN HO'!P17</f>
        <v/>
      </c>
      <c r="Q17" s="37">
        <f>'ABA'!Q17+'BK'!Q17+'BW'!Q17+'CED'!Q17+'HAB'!Q17+'HB'!Q17+'OD'!Q17+'HDN'!Q17+'KIN'!Q17+'LE'!Q17+'MER'!Q17+'NDN'!Q17+'SALT'!Q17+'SDN'!Q17+'SST'!Q17+'WH'!Q17+'FH'!Q17+'KNL HO'!Q17+'CCL HO'!Q17+'YBHN HO'!Q17+'YBN HO'!Q17</f>
        <v/>
      </c>
      <c r="R17" s="37">
        <f>'ABA'!R17+'BK'!R17+'BW'!R17+'CED'!R17+'HAB'!R17+'HB'!R17+'OD'!R17+'HDN'!R17+'KIN'!R17+'LE'!R17+'MER'!R17+'NDN'!R17+'SALT'!R17+'SDN'!R17+'SST'!R17+'WH'!R17+'FH'!R17+'KNL HO'!R17+'CCL HO'!R17+'YBHN HO'!R17+'YBN HO'!R17</f>
        <v/>
      </c>
      <c r="S17" s="37">
        <f>'ABA'!S17+'BK'!S17+'BW'!S17+'CED'!S17+'HAB'!S17+'HB'!S17+'OD'!S17+'HDN'!S17+'KIN'!S17+'LE'!S17+'MER'!S17+'NDN'!S17+'SALT'!S17+'SDN'!S17+'SST'!S17+'WH'!S17+'FH'!S17+'KNL HO'!S17+'CCL HO'!S17+'YBHN HO'!S17+'YBN HO'!S17</f>
        <v/>
      </c>
      <c r="T17" s="37">
        <f>'ABA'!T17+'BK'!T17+'BW'!T17+'CED'!T17+'HAB'!T17+'HB'!T17+'OD'!T17+'HDN'!T17+'KIN'!T17+'LE'!T17+'MER'!T17+'NDN'!T17+'SALT'!T17+'SDN'!T17+'SST'!T17+'WH'!T17+'FH'!T17+'KNL HO'!T17+'CCL HO'!T17+'YBHN HO'!T17+'YBN HO'!T17</f>
        <v/>
      </c>
      <c r="U17" s="37">
        <f>'ABA'!U17+'BK'!U17+'BW'!U17+'CED'!U17+'HAB'!U17+'HB'!U17+'OD'!U17+'HDN'!U17+'KIN'!U17+'LE'!U17+'MER'!U17+'NDN'!U17+'SALT'!U17+'SDN'!U17+'SST'!U17+'WH'!U17+'FH'!U17+'KNL HO'!U17+'CCL HO'!U17+'YBHN HO'!U17+'YBN HO'!U17</f>
        <v/>
      </c>
      <c r="V17" s="38">
        <f>'KNL HO'!V17+'CCL GROUP P&amp;L'!V17+'YBHN GROUP P&amp;L'!V17+'YBN Group P&amp;L'!V17+'HAB'!V17+'Moe2 P&amp;L'!V17</f>
        <v/>
      </c>
      <c r="W17" s="38">
        <f>'KNL HO'!W17+'CCL GROUP P&amp;L'!W17+'YBHN GROUP P&amp;L'!W17+'YBN Group P&amp;L'!W17+'HAB'!W17+'Moe2 P&amp;L'!W17</f>
        <v/>
      </c>
      <c r="X17" s="38">
        <f>'KNL HO'!X17+'CCL GROUP P&amp;L'!X17+'YBHN GROUP P&amp;L'!X17+'YBN Group P&amp;L'!X17+'HAB'!X17+'Moe2 P&amp;L'!X17</f>
        <v/>
      </c>
      <c r="Y17" s="38">
        <f>'KNL HO'!Y17+'CCL GROUP P&amp;L'!Y17+'YBHN GROUP P&amp;L'!Y17+'YBN Group P&amp;L'!Y17+'HAB'!Y17+'Moe2 P&amp;L'!Y17</f>
        <v/>
      </c>
      <c r="Z17" s="38">
        <f>'KNL HO'!Z17+'CCL GROUP P&amp;L'!Z17+'YBHN GROUP P&amp;L'!Z17+'YBN Group P&amp;L'!Z17+'HAB'!Z17+'Moe2 P&amp;L'!Z17</f>
        <v/>
      </c>
      <c r="AA17" s="36">
        <f>SUM(O17:U17)</f>
        <v/>
      </c>
      <c r="AB17" s="36">
        <f>SUM(O17:Z17)</f>
        <v/>
      </c>
      <c r="AC17" s="38">
        <f>'KNL HO'!AC17+'CCL GROUP P&amp;L'!AC17+'YBHN GROUP P&amp;L'!AC17+'YBN Group P&amp;L'!AC17+'HAB'!AC17+'Moe2 P&amp;L'!AC17</f>
        <v/>
      </c>
      <c r="AD17" s="38">
        <f>'KNL HO'!AD17+'CCL GROUP P&amp;L'!AD17+'YBHN GROUP P&amp;L'!AD17+'YBN Group P&amp;L'!AD17+'HAB'!AD17+'Moe2 P&amp;L'!AD17</f>
        <v/>
      </c>
      <c r="AE17" s="38">
        <f>'KNL HO'!AE17+'CCL GROUP P&amp;L'!AE17+'YBHN GROUP P&amp;L'!AE17+'YBN Group P&amp;L'!AE17+'HAB'!AE17+'Moe2 P&amp;L'!AE17</f>
        <v/>
      </c>
      <c r="AF17" s="38">
        <f>'KNL HO'!AF17+'CCL GROUP P&amp;L'!AF17+'YBHN GROUP P&amp;L'!AF17+'YBN Group P&amp;L'!AF17+'HAB'!AF17+'Moe2 P&amp;L'!AF17</f>
        <v/>
      </c>
      <c r="AG17" s="38">
        <f>'KNL HO'!AG17+'CCL GROUP P&amp;L'!AG17+'YBHN GROUP P&amp;L'!AG17+'YBN Group P&amp;L'!AG17+'HAB'!AG17+'Moe2 P&amp;L'!AG17</f>
        <v/>
      </c>
      <c r="AH17" s="38">
        <f>'KNL HO'!AH17+'CCL GROUP P&amp;L'!AH17+'YBHN GROUP P&amp;L'!AH17+'YBN Group P&amp;L'!AH17+'HAB'!AH17+'Moe2 P&amp;L'!AH17</f>
        <v/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6">
        <f>SUM(N17:Z17)-$N17</f>
        <v/>
      </c>
      <c r="AN17" s="40" t="n"/>
      <c r="AO17" s="92">
        <f>SUM(AC17:AE17)+SUM(R17:Z17)</f>
        <v/>
      </c>
      <c r="AP17" s="92">
        <f>SUM(AC17:AH17)+SUM(U17:Z17)</f>
        <v/>
      </c>
    </row>
    <row r="18">
      <c r="A18" s="34" t="inlineStr">
        <is>
          <t>Nursery Pension</t>
        </is>
      </c>
      <c r="B18" s="35" t="n">
        <v>7547.059999999999</v>
      </c>
      <c r="C18" s="35" t="n">
        <v>7488.82</v>
      </c>
      <c r="D18" s="35" t="n">
        <v>7180.6</v>
      </c>
      <c r="E18" s="35" t="n">
        <v>7639.29</v>
      </c>
      <c r="F18" s="35" t="n">
        <v>7916.78</v>
      </c>
      <c r="G18" s="35" t="n">
        <v>7680.17</v>
      </c>
      <c r="H18" s="35" t="n">
        <v>8540.619999999999</v>
      </c>
      <c r="I18" s="35" t="n">
        <v>7778.799999999999</v>
      </c>
      <c r="J18" s="35" t="n">
        <v>7619.34</v>
      </c>
      <c r="K18" s="35" t="n">
        <v>7536.639999999999</v>
      </c>
      <c r="L18" s="35" t="n">
        <v>7737.1</v>
      </c>
      <c r="M18" s="35" t="n">
        <v>8147.859999999999</v>
      </c>
      <c r="N18" s="36">
        <f>SUM(B18:M18)</f>
        <v/>
      </c>
      <c r="O18" s="37">
        <f>'ABA'!O18+'BK'!O18+'BW'!O18+'CED'!O18+'HAB'!O18+'HB'!O18+'OD'!O18+'HDN'!O18+'KIN'!O18+'LE'!O18+'MER'!O18+'NDN'!O18+'SALT'!O18+'SDN'!O18+'SST'!O18+'WH'!O18+'FH'!O18+'KNL HO'!O18+'CCL HO'!O18+'YBHN HO'!O18+'YBN HO'!O18</f>
        <v/>
      </c>
      <c r="P18" s="37">
        <f>'ABA'!P18+'BK'!P18+'BW'!P18+'CED'!P18+'HAB'!P18+'HB'!P18+'OD'!P18+'HDN'!P18+'KIN'!P18+'LE'!P18+'MER'!P18+'NDN'!P18+'SALT'!P18+'SDN'!P18+'SST'!P18+'WH'!P18+'FH'!P18+'KNL HO'!P18+'CCL HO'!P18+'YBHN HO'!P18+'YBN HO'!P18</f>
        <v/>
      </c>
      <c r="Q18" s="37">
        <f>'ABA'!Q18+'BK'!Q18+'BW'!Q18+'CED'!Q18+'HAB'!Q18+'HB'!Q18+'OD'!Q18+'HDN'!Q18+'KIN'!Q18+'LE'!Q18+'MER'!Q18+'NDN'!Q18+'SALT'!Q18+'SDN'!Q18+'SST'!Q18+'WH'!Q18+'FH'!Q18+'KNL HO'!Q18+'CCL HO'!Q18+'YBHN HO'!Q18+'YBN HO'!Q18</f>
        <v/>
      </c>
      <c r="R18" s="37">
        <f>'ABA'!R18+'BK'!R18+'BW'!R18+'CED'!R18+'HAB'!R18+'HB'!R18+'OD'!R18+'HDN'!R18+'KIN'!R18+'LE'!R18+'MER'!R18+'NDN'!R18+'SALT'!R18+'SDN'!R18+'SST'!R18+'WH'!R18+'FH'!R18+'KNL HO'!R18+'CCL HO'!R18+'YBHN HO'!R18+'YBN HO'!R18</f>
        <v/>
      </c>
      <c r="S18" s="37">
        <f>'ABA'!S18+'BK'!S18+'BW'!S18+'CED'!S18+'HAB'!S18+'HB'!S18+'OD'!S18+'HDN'!S18+'KIN'!S18+'LE'!S18+'MER'!S18+'NDN'!S18+'SALT'!S18+'SDN'!S18+'SST'!S18+'WH'!S18+'FH'!S18+'KNL HO'!S18+'CCL HO'!S18+'YBHN HO'!S18+'YBN HO'!S18</f>
        <v/>
      </c>
      <c r="T18" s="37">
        <f>'ABA'!T18+'BK'!T18+'BW'!T18+'CED'!T18+'HAB'!T18+'HB'!T18+'OD'!T18+'HDN'!T18+'KIN'!T18+'LE'!T18+'MER'!T18+'NDN'!T18+'SALT'!T18+'SDN'!T18+'SST'!T18+'WH'!T18+'FH'!T18+'KNL HO'!T18+'CCL HO'!T18+'YBHN HO'!T18+'YBN HO'!T18</f>
        <v/>
      </c>
      <c r="U18" s="37">
        <f>'ABA'!U18+'BK'!U18+'BW'!U18+'CED'!U18+'HAB'!U18+'HB'!U18+'OD'!U18+'HDN'!U18+'KIN'!U18+'LE'!U18+'MER'!U18+'NDN'!U18+'SALT'!U18+'SDN'!U18+'SST'!U18+'WH'!U18+'FH'!U18+'KNL HO'!U18+'CCL HO'!U18+'YBHN HO'!U18+'YBN HO'!U18</f>
        <v/>
      </c>
      <c r="V18" s="38">
        <f>'KNL HO'!V18+'CCL GROUP P&amp;L'!V18+'YBHN GROUP P&amp;L'!V18+'YBN Group P&amp;L'!V18+'HAB'!V18+'Moe2 P&amp;L'!V18</f>
        <v/>
      </c>
      <c r="W18" s="38">
        <f>'KNL HO'!W18+'CCL GROUP P&amp;L'!W18+'YBHN GROUP P&amp;L'!W18+'YBN Group P&amp;L'!W18+'HAB'!W18+'Moe2 P&amp;L'!W18</f>
        <v/>
      </c>
      <c r="X18" s="38">
        <f>'KNL HO'!X18+'CCL GROUP P&amp;L'!X18+'YBHN GROUP P&amp;L'!X18+'YBN Group P&amp;L'!X18+'HAB'!X18+'Moe2 P&amp;L'!X18</f>
        <v/>
      </c>
      <c r="Y18" s="38">
        <f>'KNL HO'!Y18+'CCL GROUP P&amp;L'!Y18+'YBHN GROUP P&amp;L'!Y18+'YBN Group P&amp;L'!Y18+'HAB'!Y18+'Moe2 P&amp;L'!Y18</f>
        <v/>
      </c>
      <c r="Z18" s="38">
        <f>'KNL HO'!Z18+'CCL GROUP P&amp;L'!Z18+'YBHN GROUP P&amp;L'!Z18+'YBN Group P&amp;L'!Z18+'HAB'!Z18+'Moe2 P&amp;L'!Z18</f>
        <v/>
      </c>
      <c r="AA18" s="36">
        <f>SUM(O18:U18)</f>
        <v/>
      </c>
      <c r="AB18" s="36">
        <f>SUM(O18:Z18)</f>
        <v/>
      </c>
      <c r="AC18" s="38">
        <f>'KNL HO'!AC18+'CCL GROUP P&amp;L'!AC18+'YBHN GROUP P&amp;L'!AC18+'YBN Group P&amp;L'!AC18+'HAB'!AC18+'Moe2 P&amp;L'!AC18</f>
        <v/>
      </c>
      <c r="AD18" s="38">
        <f>'KNL HO'!AD18+'CCL GROUP P&amp;L'!AD18+'YBHN GROUP P&amp;L'!AD18+'YBN Group P&amp;L'!AD18+'HAB'!AD18+'Moe2 P&amp;L'!AD18</f>
        <v/>
      </c>
      <c r="AE18" s="38">
        <f>'KNL HO'!AE18+'CCL GROUP P&amp;L'!AE18+'YBHN GROUP P&amp;L'!AE18+'YBN Group P&amp;L'!AE18+'HAB'!AE18+'Moe2 P&amp;L'!AE18</f>
        <v/>
      </c>
      <c r="AF18" s="38">
        <f>'KNL HO'!AF18+'CCL GROUP P&amp;L'!AF18+'YBHN GROUP P&amp;L'!AF18+'YBN Group P&amp;L'!AF18+'HAB'!AF18+'Moe2 P&amp;L'!AF18</f>
        <v/>
      </c>
      <c r="AG18" s="38">
        <f>'KNL HO'!AG18+'CCL GROUP P&amp;L'!AG18+'YBHN GROUP P&amp;L'!AG18+'YBN Group P&amp;L'!AG18+'HAB'!AG18+'Moe2 P&amp;L'!AG18</f>
        <v/>
      </c>
      <c r="AH18" s="38">
        <f>'KNL HO'!AH18+'CCL GROUP P&amp;L'!AH18+'YBHN GROUP P&amp;L'!AH18+'YBN Group P&amp;L'!AH18+'HAB'!AH18+'Moe2 P&amp;L'!AH18</f>
        <v/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6">
        <f>SUM(N18:Z18)-$N18</f>
        <v/>
      </c>
      <c r="AN18" s="40" t="n"/>
      <c r="AO18" s="92">
        <f>SUM(AC18:AE18)+SUM(R18:Z18)</f>
        <v/>
      </c>
      <c r="AP18" s="92">
        <f>SUM(AC18:AH18)+SUM(U18:Z18)</f>
        <v/>
      </c>
    </row>
    <row r="19">
      <c r="A19" s="34" t="inlineStr">
        <is>
          <t>Uniform</t>
        </is>
      </c>
      <c r="B19" s="35" t="n">
        <v>1235.82</v>
      </c>
      <c r="C19" s="35" t="n">
        <v>1880.76</v>
      </c>
      <c r="D19" s="35" t="n">
        <v>1138.94</v>
      </c>
      <c r="E19" s="35" t="n">
        <v>629.02</v>
      </c>
      <c r="F19" s="35" t="n">
        <v>1180.97</v>
      </c>
      <c r="G19" s="35" t="n">
        <v>1001.98</v>
      </c>
      <c r="H19" s="35" t="n">
        <v>856.51</v>
      </c>
      <c r="I19" s="35" t="n">
        <v>191.28</v>
      </c>
      <c r="J19" s="35" t="n">
        <v>1666.47</v>
      </c>
      <c r="K19" s="35" t="n">
        <v>1590.12</v>
      </c>
      <c r="L19" s="35" t="n">
        <v>591.1999999999999</v>
      </c>
      <c r="M19" s="35" t="n">
        <v>1807.86</v>
      </c>
      <c r="N19" s="36">
        <f>SUM(B19:M19)</f>
        <v/>
      </c>
      <c r="O19" s="37">
        <f>'ABA'!O19+'BK'!O19+'BW'!O19+'CED'!O19+'HAB'!O19+'HB'!O19+'OD'!O19+'HDN'!O19+'KIN'!O19+'LE'!O19+'MER'!O19+'NDN'!O19+'SALT'!O19+'SDN'!O19+'SST'!O19+'WH'!O19+'FH'!O19+'KNL HO'!O19+'CCL HO'!O19+'YBHN HO'!O19+'YBN HO'!O19</f>
        <v/>
      </c>
      <c r="P19" s="37">
        <f>'ABA'!P19+'BK'!P19+'BW'!P19+'CED'!P19+'HAB'!P19+'HB'!P19+'OD'!P19+'HDN'!P19+'KIN'!P19+'LE'!P19+'MER'!P19+'NDN'!P19+'SALT'!P19+'SDN'!P19+'SST'!P19+'WH'!P19+'FH'!P19+'KNL HO'!P19+'CCL HO'!P19+'YBHN HO'!P19+'YBN HO'!P19</f>
        <v/>
      </c>
      <c r="Q19" s="37">
        <f>'ABA'!Q19+'BK'!Q19+'BW'!Q19+'CED'!Q19+'HAB'!Q19+'HB'!Q19+'OD'!Q19+'HDN'!Q19+'KIN'!Q19+'LE'!Q19+'MER'!Q19+'NDN'!Q19+'SALT'!Q19+'SDN'!Q19+'SST'!Q19+'WH'!Q19+'FH'!Q19+'KNL HO'!Q19+'CCL HO'!Q19+'YBHN HO'!Q19+'YBN HO'!Q19</f>
        <v/>
      </c>
      <c r="R19" s="37">
        <f>'ABA'!R19+'BK'!R19+'BW'!R19+'CED'!R19+'HAB'!R19+'HB'!R19+'OD'!R19+'HDN'!R19+'KIN'!R19+'LE'!R19+'MER'!R19+'NDN'!R19+'SALT'!R19+'SDN'!R19+'SST'!R19+'WH'!R19+'FH'!R19+'KNL HO'!R19+'CCL HO'!R19+'YBHN HO'!R19+'YBN HO'!R19</f>
        <v/>
      </c>
      <c r="S19" s="37">
        <f>'ABA'!S19+'BK'!S19+'BW'!S19+'CED'!S19+'HAB'!S19+'HB'!S19+'OD'!S19+'HDN'!S19+'KIN'!S19+'LE'!S19+'MER'!S19+'NDN'!S19+'SALT'!S19+'SDN'!S19+'SST'!S19+'WH'!S19+'FH'!S19+'KNL HO'!S19+'CCL HO'!S19+'YBHN HO'!S19+'YBN HO'!S19</f>
        <v/>
      </c>
      <c r="T19" s="37">
        <f>'ABA'!T19+'BK'!T19+'BW'!T19+'CED'!T19+'HAB'!T19+'HB'!T19+'OD'!T19+'HDN'!T19+'KIN'!T19+'LE'!T19+'MER'!T19+'NDN'!T19+'SALT'!T19+'SDN'!T19+'SST'!T19+'WH'!T19+'FH'!T19+'KNL HO'!T19+'CCL HO'!T19+'YBHN HO'!T19+'YBN HO'!T19</f>
        <v/>
      </c>
      <c r="U19" s="37">
        <f>'ABA'!U19+'BK'!U19+'BW'!U19+'CED'!U19+'HAB'!U19+'HB'!U19+'OD'!U19+'HDN'!U19+'KIN'!U19+'LE'!U19+'MER'!U19+'NDN'!U19+'SALT'!U19+'SDN'!U19+'SST'!U19+'WH'!U19+'FH'!U19+'KNL HO'!U19+'CCL HO'!U19+'YBHN HO'!U19+'YBN HO'!U19</f>
        <v/>
      </c>
      <c r="V19" s="38">
        <f>'KNL HO'!V19+'CCL GROUP P&amp;L'!V19+'YBHN GROUP P&amp;L'!V19+'YBN Group P&amp;L'!V19+'HAB'!V19+'Moe2 P&amp;L'!V19</f>
        <v/>
      </c>
      <c r="W19" s="38">
        <f>'KNL HO'!W19+'CCL GROUP P&amp;L'!W19+'YBHN GROUP P&amp;L'!W19+'YBN Group P&amp;L'!W19+'HAB'!W19+'Moe2 P&amp;L'!W19</f>
        <v/>
      </c>
      <c r="X19" s="38">
        <f>'KNL HO'!X19+'CCL GROUP P&amp;L'!X19+'YBHN GROUP P&amp;L'!X19+'YBN Group P&amp;L'!X19+'HAB'!X19+'Moe2 P&amp;L'!X19</f>
        <v/>
      </c>
      <c r="Y19" s="38">
        <f>'KNL HO'!Y19+'CCL GROUP P&amp;L'!Y19+'YBHN GROUP P&amp;L'!Y19+'YBN Group P&amp;L'!Y19+'HAB'!Y19+'Moe2 P&amp;L'!Y19</f>
        <v/>
      </c>
      <c r="Z19" s="38">
        <f>'KNL HO'!Z19+'CCL GROUP P&amp;L'!Z19+'YBHN GROUP P&amp;L'!Z19+'YBN Group P&amp;L'!Z19+'HAB'!Z19+'Moe2 P&amp;L'!Z19</f>
        <v/>
      </c>
      <c r="AA19" s="36">
        <f>SUM(O19:U19)</f>
        <v/>
      </c>
      <c r="AB19" s="36">
        <f>SUM(O19:Z19)</f>
        <v/>
      </c>
      <c r="AC19" s="38">
        <f>'KNL HO'!AC19+'CCL GROUP P&amp;L'!AC19+'YBHN GROUP P&amp;L'!AC19+'YBN Group P&amp;L'!AC19+'HAB'!AC19+'Moe2 P&amp;L'!AC19</f>
        <v/>
      </c>
      <c r="AD19" s="38">
        <f>'KNL HO'!AD19+'CCL GROUP P&amp;L'!AD19+'YBHN GROUP P&amp;L'!AD19+'YBN Group P&amp;L'!AD19+'HAB'!AD19+'Moe2 P&amp;L'!AD19</f>
        <v/>
      </c>
      <c r="AE19" s="38">
        <f>'KNL HO'!AE19+'CCL GROUP P&amp;L'!AE19+'YBHN GROUP P&amp;L'!AE19+'YBN Group P&amp;L'!AE19+'HAB'!AE19+'Moe2 P&amp;L'!AE19</f>
        <v/>
      </c>
      <c r="AF19" s="38">
        <f>'KNL HO'!AF19+'CCL GROUP P&amp;L'!AF19+'YBHN GROUP P&amp;L'!AF19+'YBN Group P&amp;L'!AF19+'HAB'!AF19+'Moe2 P&amp;L'!AF19</f>
        <v/>
      </c>
      <c r="AG19" s="38">
        <f>'KNL HO'!AG19+'CCL GROUP P&amp;L'!AG19+'YBHN GROUP P&amp;L'!AG19+'YBN Group P&amp;L'!AG19+'HAB'!AG19+'Moe2 P&amp;L'!AG19</f>
        <v/>
      </c>
      <c r="AH19" s="38">
        <f>'KNL HO'!AH19+'CCL GROUP P&amp;L'!AH19+'YBHN GROUP P&amp;L'!AH19+'YBN Group P&amp;L'!AH19+'HAB'!AH19+'Moe2 P&amp;L'!AH19</f>
        <v/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6">
        <f>SUM(N19:Z19)-$N19</f>
        <v/>
      </c>
      <c r="AN19" s="40" t="n"/>
      <c r="AO19" s="92">
        <f>SUM(AC19:AE19)+SUM(R19:Z19)</f>
        <v/>
      </c>
      <c r="AP19" s="92">
        <f>SUM(AC19:AH19)+SUM(U19:Z19)</f>
        <v/>
      </c>
    </row>
    <row r="20">
      <c r="A20" s="34" t="inlineStr">
        <is>
          <t>Training</t>
        </is>
      </c>
      <c r="B20" s="35" t="n">
        <v>3002.69</v>
      </c>
      <c r="C20" s="35" t="n">
        <v>7435.83</v>
      </c>
      <c r="D20" s="35" t="n">
        <v>3502.93</v>
      </c>
      <c r="E20" s="35" t="n">
        <v>2684.03</v>
      </c>
      <c r="F20" s="35" t="n">
        <v>2743.9</v>
      </c>
      <c r="G20" s="35" t="n">
        <v>2823.33</v>
      </c>
      <c r="H20" s="35" t="n">
        <v>2879.48</v>
      </c>
      <c r="I20" s="35" t="n">
        <v>3400.09</v>
      </c>
      <c r="J20" s="35" t="n">
        <v>2908.1</v>
      </c>
      <c r="K20" s="35" t="n">
        <v>8817.889999999999</v>
      </c>
      <c r="L20" s="35" t="n">
        <v>3711.92</v>
      </c>
      <c r="M20" s="35" t="n">
        <v>1862.27</v>
      </c>
      <c r="N20" s="36">
        <f>SUM(B20:M20)</f>
        <v/>
      </c>
      <c r="O20" s="37">
        <f>'ABA'!O20+'BK'!O20+'BW'!O20+'CED'!O20+'HAB'!O20+'HB'!O20+'OD'!O20+'HDN'!O20+'KIN'!O20+'LE'!O20+'MER'!O20+'NDN'!O20+'SALT'!O20+'SDN'!O20+'SST'!O20+'WH'!O20+'FH'!O20+'KNL HO'!O20+'CCL HO'!O20+'YBHN HO'!O20+'YBN HO'!O20</f>
        <v/>
      </c>
      <c r="P20" s="37">
        <f>'ABA'!P20+'BK'!P20+'BW'!P20+'CED'!P20+'HAB'!P20+'HB'!P20+'OD'!P20+'HDN'!P20+'KIN'!P20+'LE'!P20+'MER'!P20+'NDN'!P20+'SALT'!P20+'SDN'!P20+'SST'!P20+'WH'!P20+'FH'!P20+'KNL HO'!P20+'CCL HO'!P20+'YBHN HO'!P20+'YBN HO'!P20</f>
        <v/>
      </c>
      <c r="Q20" s="37">
        <f>'ABA'!Q20+'BK'!Q20+'BW'!Q20+'CED'!Q20+'HAB'!Q20+'HB'!Q20+'OD'!Q20+'HDN'!Q20+'KIN'!Q20+'LE'!Q20+'MER'!Q20+'NDN'!Q20+'SALT'!Q20+'SDN'!Q20+'SST'!Q20+'WH'!Q20+'FH'!Q20+'KNL HO'!Q20+'CCL HO'!Q20+'YBHN HO'!Q20+'YBN HO'!Q20</f>
        <v/>
      </c>
      <c r="R20" s="37">
        <f>'ABA'!R20+'BK'!R20+'BW'!R20+'CED'!R20+'HAB'!R20+'HB'!R20+'OD'!R20+'HDN'!R20+'KIN'!R20+'LE'!R20+'MER'!R20+'NDN'!R20+'SALT'!R20+'SDN'!R20+'SST'!R20+'WH'!R20+'FH'!R20+'KNL HO'!R20+'CCL HO'!R20+'YBHN HO'!R20+'YBN HO'!R20</f>
        <v/>
      </c>
      <c r="S20" s="37">
        <f>'ABA'!S20+'BK'!S20+'BW'!S20+'CED'!S20+'HAB'!S20+'HB'!S20+'OD'!S20+'HDN'!S20+'KIN'!S20+'LE'!S20+'MER'!S20+'NDN'!S20+'SALT'!S20+'SDN'!S20+'SST'!S20+'WH'!S20+'FH'!S20+'KNL HO'!S20+'CCL HO'!S20+'YBHN HO'!S20+'YBN HO'!S20</f>
        <v/>
      </c>
      <c r="T20" s="37">
        <f>'ABA'!T20+'BK'!T20+'BW'!T20+'CED'!T20+'HAB'!T20+'HB'!T20+'OD'!T20+'HDN'!T20+'KIN'!T20+'LE'!T20+'MER'!T20+'NDN'!T20+'SALT'!T20+'SDN'!T20+'SST'!T20+'WH'!T20+'FH'!T20+'KNL HO'!T20+'CCL HO'!T20+'YBHN HO'!T20+'YBN HO'!T20</f>
        <v/>
      </c>
      <c r="U20" s="37">
        <f>'ABA'!U20+'BK'!U20+'BW'!U20+'CED'!U20+'HAB'!U20+'HB'!U20+'OD'!U20+'HDN'!U20+'KIN'!U20+'LE'!U20+'MER'!U20+'NDN'!U20+'SALT'!U20+'SDN'!U20+'SST'!U20+'WH'!U20+'FH'!U20+'KNL HO'!U20+'CCL HO'!U20+'YBHN HO'!U20+'YBN HO'!U20</f>
        <v/>
      </c>
      <c r="V20" s="38">
        <f>'KNL HO'!V20+'CCL GROUP P&amp;L'!V20+'YBHN GROUP P&amp;L'!V20+'YBN Group P&amp;L'!V20+'HAB'!V20+'Moe2 P&amp;L'!V20</f>
        <v/>
      </c>
      <c r="W20" s="38">
        <f>'KNL HO'!W20+'CCL GROUP P&amp;L'!W20+'YBHN GROUP P&amp;L'!W20+'YBN Group P&amp;L'!W20+'HAB'!W20+'Moe2 P&amp;L'!W20</f>
        <v/>
      </c>
      <c r="X20" s="38">
        <f>'KNL HO'!X20+'CCL GROUP P&amp;L'!X20+'YBHN GROUP P&amp;L'!X20+'YBN Group P&amp;L'!X20+'HAB'!X20+'Moe2 P&amp;L'!X20</f>
        <v/>
      </c>
      <c r="Y20" s="38">
        <f>'KNL HO'!Y20+'CCL GROUP P&amp;L'!Y20+'YBHN GROUP P&amp;L'!Y20+'YBN Group P&amp;L'!Y20+'HAB'!Y20+'Moe2 P&amp;L'!Y20</f>
        <v/>
      </c>
      <c r="Z20" s="38">
        <f>'KNL HO'!Z20+'CCL GROUP P&amp;L'!Z20+'YBHN GROUP P&amp;L'!Z20+'YBN Group P&amp;L'!Z20+'HAB'!Z20+'Moe2 P&amp;L'!Z20</f>
        <v/>
      </c>
      <c r="AA20" s="36">
        <f>SUM(O20:U20)</f>
        <v/>
      </c>
      <c r="AB20" s="36">
        <f>SUM(O20:Z20)</f>
        <v/>
      </c>
      <c r="AC20" s="38">
        <f>'KNL HO'!AC20+'CCL GROUP P&amp;L'!AC20+'YBHN GROUP P&amp;L'!AC20+'YBN Group P&amp;L'!AC20+'HAB'!AC20+'Moe2 P&amp;L'!AC20</f>
        <v/>
      </c>
      <c r="AD20" s="38">
        <f>'KNL HO'!AD20+'CCL GROUP P&amp;L'!AD20+'YBHN GROUP P&amp;L'!AD20+'YBN Group P&amp;L'!AD20+'HAB'!AD20+'Moe2 P&amp;L'!AD20</f>
        <v/>
      </c>
      <c r="AE20" s="38">
        <f>'KNL HO'!AE20+'CCL GROUP P&amp;L'!AE20+'YBHN GROUP P&amp;L'!AE20+'YBN Group P&amp;L'!AE20+'HAB'!AE20+'Moe2 P&amp;L'!AE20</f>
        <v/>
      </c>
      <c r="AF20" s="38">
        <f>'KNL HO'!AF20+'CCL GROUP P&amp;L'!AF20+'YBHN GROUP P&amp;L'!AF20+'YBN Group P&amp;L'!AF20+'HAB'!AF20+'Moe2 P&amp;L'!AF20</f>
        <v/>
      </c>
      <c r="AG20" s="38">
        <f>'KNL HO'!AG20+'CCL GROUP P&amp;L'!AG20+'YBHN GROUP P&amp;L'!AG20+'YBN Group P&amp;L'!AG20+'HAB'!AG20+'Moe2 P&amp;L'!AG20</f>
        <v/>
      </c>
      <c r="AH20" s="38">
        <f>'KNL HO'!AH20+'CCL GROUP P&amp;L'!AH20+'YBHN GROUP P&amp;L'!AH20+'YBN Group P&amp;L'!AH20+'HAB'!AH20+'Moe2 P&amp;L'!AH20</f>
        <v/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6">
        <f>SUM(N20:Z20)-$N20</f>
        <v/>
      </c>
      <c r="AN20" s="40" t="n"/>
      <c r="AO20" s="92">
        <f>SUM(AC20:AE20)+SUM(R20:Z20)</f>
        <v/>
      </c>
      <c r="AP20" s="92">
        <f>SUM(AC20:AH20)+SUM(U20:Z20)</f>
        <v/>
      </c>
    </row>
    <row r="21">
      <c r="A21" s="34" t="inlineStr">
        <is>
          <t>Staff Welfare</t>
        </is>
      </c>
      <c r="B21" s="35" t="n">
        <v>5783.319999999999</v>
      </c>
      <c r="C21" s="35" t="n">
        <v>5492.109999999999</v>
      </c>
      <c r="D21" s="35" t="n">
        <v>3680.379999999999</v>
      </c>
      <c r="E21" s="35" t="n">
        <v>5121.319999999999</v>
      </c>
      <c r="F21" s="35" t="n">
        <v>5200.69</v>
      </c>
      <c r="G21" s="35" t="n">
        <v>3145.79</v>
      </c>
      <c r="H21" s="35" t="n">
        <v>4058.26</v>
      </c>
      <c r="I21" s="35" t="n">
        <v>2831.19</v>
      </c>
      <c r="J21" s="35" t="n">
        <v>2687.77</v>
      </c>
      <c r="K21" s="35" t="n">
        <v>3812.989999999999</v>
      </c>
      <c r="L21" s="35" t="n">
        <v>3586.34</v>
      </c>
      <c r="M21" s="35" t="n">
        <v>3285.859999999999</v>
      </c>
      <c r="N21" s="36">
        <f>SUM(B21:M21)</f>
        <v/>
      </c>
      <c r="O21" s="37">
        <f>'ABA'!O21+'BK'!O21+'BW'!O21+'CED'!O21+'HAB'!O21+'HB'!O21+'OD'!O21+'HDN'!O21+'KIN'!O21+'LE'!O21+'MER'!O21+'NDN'!O21+'SALT'!O21+'SDN'!O21+'SST'!O21+'WH'!O21+'FH'!O21+'KNL HO'!O21+'CCL HO'!O21+'YBHN HO'!O21+'YBN HO'!O21</f>
        <v/>
      </c>
      <c r="P21" s="37">
        <f>'ABA'!P21+'BK'!P21+'BW'!P21+'CED'!P21+'HAB'!P21+'HB'!P21+'OD'!P21+'HDN'!P21+'KIN'!P21+'LE'!P21+'MER'!P21+'NDN'!P21+'SALT'!P21+'SDN'!P21+'SST'!P21+'WH'!P21+'FH'!P21+'KNL HO'!P21+'CCL HO'!P21+'YBHN HO'!P21+'YBN HO'!P21</f>
        <v/>
      </c>
      <c r="Q21" s="37">
        <f>'ABA'!Q21+'BK'!Q21+'BW'!Q21+'CED'!Q21+'HAB'!Q21+'HB'!Q21+'OD'!Q21+'HDN'!Q21+'KIN'!Q21+'LE'!Q21+'MER'!Q21+'NDN'!Q21+'SALT'!Q21+'SDN'!Q21+'SST'!Q21+'WH'!Q21+'FH'!Q21+'KNL HO'!Q21+'CCL HO'!Q21+'YBHN HO'!Q21+'YBN HO'!Q21</f>
        <v/>
      </c>
      <c r="R21" s="37">
        <f>'ABA'!R21+'BK'!R21+'BW'!R21+'CED'!R21+'HAB'!R21+'HB'!R21+'OD'!R21+'HDN'!R21+'KIN'!R21+'LE'!R21+'MER'!R21+'NDN'!R21+'SALT'!R21+'SDN'!R21+'SST'!R21+'WH'!R21+'FH'!R21+'KNL HO'!R21+'CCL HO'!R21+'YBHN HO'!R21+'YBN HO'!R21</f>
        <v/>
      </c>
      <c r="S21" s="37">
        <f>'ABA'!S21+'BK'!S21+'BW'!S21+'CED'!S21+'HAB'!S21+'HB'!S21+'OD'!S21+'HDN'!S21+'KIN'!S21+'LE'!S21+'MER'!S21+'NDN'!S21+'SALT'!S21+'SDN'!S21+'SST'!S21+'WH'!S21+'FH'!S21+'KNL HO'!S21+'CCL HO'!S21+'YBHN HO'!S21+'YBN HO'!S21</f>
        <v/>
      </c>
      <c r="T21" s="37">
        <f>'ABA'!T21+'BK'!T21+'BW'!T21+'CED'!T21+'HAB'!T21+'HB'!T21+'OD'!T21+'HDN'!T21+'KIN'!T21+'LE'!T21+'MER'!T21+'NDN'!T21+'SALT'!T21+'SDN'!T21+'SST'!T21+'WH'!T21+'FH'!T21+'KNL HO'!T21+'CCL HO'!T21+'YBHN HO'!T21+'YBN HO'!T21</f>
        <v/>
      </c>
      <c r="U21" s="37">
        <f>'ABA'!U21+'BK'!U21+'BW'!U21+'CED'!U21+'HAB'!U21+'HB'!U21+'OD'!U21+'HDN'!U21+'KIN'!U21+'LE'!U21+'MER'!U21+'NDN'!U21+'SALT'!U21+'SDN'!U21+'SST'!U21+'WH'!U21+'FH'!U21+'KNL HO'!U21+'CCL HO'!U21+'YBHN HO'!U21+'YBN HO'!U21</f>
        <v/>
      </c>
      <c r="V21" s="38">
        <f>'KNL HO'!V21+'CCL GROUP P&amp;L'!V21+'YBHN GROUP P&amp;L'!V21+'YBN Group P&amp;L'!V21+'HAB'!V21+'Moe2 P&amp;L'!V21</f>
        <v/>
      </c>
      <c r="W21" s="38">
        <f>'KNL HO'!W21+'CCL GROUP P&amp;L'!W21+'YBHN GROUP P&amp;L'!W21+'YBN Group P&amp;L'!W21+'HAB'!W21+'Moe2 P&amp;L'!W21</f>
        <v/>
      </c>
      <c r="X21" s="38">
        <f>'KNL HO'!X21+'CCL GROUP P&amp;L'!X21+'YBHN GROUP P&amp;L'!X21+'YBN Group P&amp;L'!X21+'HAB'!X21+'Moe2 P&amp;L'!X21</f>
        <v/>
      </c>
      <c r="Y21" s="38">
        <f>'KNL HO'!Y21+'CCL GROUP P&amp;L'!Y21+'YBHN GROUP P&amp;L'!Y21+'YBN Group P&amp;L'!Y21+'HAB'!Y21+'Moe2 P&amp;L'!Y21</f>
        <v/>
      </c>
      <c r="Z21" s="38">
        <f>'KNL HO'!Z21+'CCL GROUP P&amp;L'!Z21+'YBHN GROUP P&amp;L'!Z21+'YBN Group P&amp;L'!Z21+'HAB'!Z21+'Moe2 P&amp;L'!Z21</f>
        <v/>
      </c>
      <c r="AA21" s="36">
        <f>SUM(O21:U21)</f>
        <v/>
      </c>
      <c r="AB21" s="36">
        <f>SUM(O21:Z21)</f>
        <v/>
      </c>
      <c r="AC21" s="38">
        <f>'KNL HO'!AC21+'CCL GROUP P&amp;L'!AC21+'YBHN GROUP P&amp;L'!AC21+'YBN Group P&amp;L'!AC21+'HAB'!AC21+'Moe2 P&amp;L'!AC21</f>
        <v/>
      </c>
      <c r="AD21" s="38">
        <f>'KNL HO'!AD21+'CCL GROUP P&amp;L'!AD21+'YBHN GROUP P&amp;L'!AD21+'YBN Group P&amp;L'!AD21+'HAB'!AD21+'Moe2 P&amp;L'!AD21</f>
        <v/>
      </c>
      <c r="AE21" s="38">
        <f>'KNL HO'!AE21+'CCL GROUP P&amp;L'!AE21+'YBHN GROUP P&amp;L'!AE21+'YBN Group P&amp;L'!AE21+'HAB'!AE21+'Moe2 P&amp;L'!AE21</f>
        <v/>
      </c>
      <c r="AF21" s="38">
        <f>'KNL HO'!AF21+'CCL GROUP P&amp;L'!AF21+'YBHN GROUP P&amp;L'!AF21+'YBN Group P&amp;L'!AF21+'HAB'!AF21+'Moe2 P&amp;L'!AF21</f>
        <v/>
      </c>
      <c r="AG21" s="38">
        <f>'KNL HO'!AG21+'CCL GROUP P&amp;L'!AG21+'YBHN GROUP P&amp;L'!AG21+'YBN Group P&amp;L'!AG21+'HAB'!AG21+'Moe2 P&amp;L'!AG21</f>
        <v/>
      </c>
      <c r="AH21" s="38">
        <f>'KNL HO'!AH21+'CCL GROUP P&amp;L'!AH21+'YBHN GROUP P&amp;L'!AH21+'YBN Group P&amp;L'!AH21+'HAB'!AH21+'Moe2 P&amp;L'!AH21</f>
        <v/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6">
        <f>SUM(N21:Z21)-$N21</f>
        <v/>
      </c>
      <c r="AN21" s="40" t="n"/>
      <c r="AO21" s="92">
        <f>SUM(AC21:AE21)+SUM(R21:Z21)</f>
        <v/>
      </c>
      <c r="AP21" s="92">
        <f>SUM(AC21:AH21)+SUM(U21:Z21)</f>
        <v/>
      </c>
    </row>
    <row r="22">
      <c r="A22" s="34" t="inlineStr">
        <is>
          <t>Recruitment</t>
        </is>
      </c>
      <c r="B22" s="35" t="n">
        <v>7085.94</v>
      </c>
      <c r="C22" s="35" t="n">
        <v>7154.8</v>
      </c>
      <c r="D22" s="35" t="n">
        <v>1659.66</v>
      </c>
      <c r="E22" s="35" t="n">
        <v>4837.82</v>
      </c>
      <c r="F22" s="35" t="n">
        <v>7267.63</v>
      </c>
      <c r="G22" s="35" t="n">
        <v>8967.110000000001</v>
      </c>
      <c r="H22" s="35" t="n">
        <v>7748.5</v>
      </c>
      <c r="I22" s="35" t="n">
        <v>3434</v>
      </c>
      <c r="J22" s="35" t="n">
        <v>7084</v>
      </c>
      <c r="K22" s="35" t="n">
        <v>4044.5</v>
      </c>
      <c r="L22" s="35" t="n">
        <v>2527.46</v>
      </c>
      <c r="M22" s="35" t="n">
        <v>7930.110000000001</v>
      </c>
      <c r="N22" s="36">
        <f>SUM(B22:M22)</f>
        <v/>
      </c>
      <c r="O22" s="37">
        <f>'ABA'!O22+'BK'!O22+'BW'!O22+'CED'!O22+'HAB'!O22+'HB'!O22+'OD'!O22+'HDN'!O22+'KIN'!O22+'LE'!O22+'MER'!O22+'NDN'!O22+'SALT'!O22+'SDN'!O22+'SST'!O22+'WH'!O22+'FH'!O22+'KNL HO'!O22+'CCL HO'!O22+'YBHN HO'!O22+'YBN HO'!O22</f>
        <v/>
      </c>
      <c r="P22" s="37">
        <f>'ABA'!P22+'BK'!P22+'BW'!P22+'CED'!P22+'HAB'!P22+'HB'!P22+'OD'!P22+'HDN'!P22+'KIN'!P22+'LE'!P22+'MER'!P22+'NDN'!P22+'SALT'!P22+'SDN'!P22+'SST'!P22+'WH'!P22+'FH'!P22+'KNL HO'!P22+'CCL HO'!P22+'YBHN HO'!P22+'YBN HO'!P22</f>
        <v/>
      </c>
      <c r="Q22" s="37">
        <f>'ABA'!Q22+'BK'!Q22+'BW'!Q22+'CED'!Q22+'HAB'!Q22+'HB'!Q22+'OD'!Q22+'HDN'!Q22+'KIN'!Q22+'LE'!Q22+'MER'!Q22+'NDN'!Q22+'SALT'!Q22+'SDN'!Q22+'SST'!Q22+'WH'!Q22+'FH'!Q22+'KNL HO'!Q22+'CCL HO'!Q22+'YBHN HO'!Q22+'YBN HO'!Q22</f>
        <v/>
      </c>
      <c r="R22" s="37">
        <f>'ABA'!R22+'BK'!R22+'BW'!R22+'CED'!R22+'HAB'!R22+'HB'!R22+'OD'!R22+'HDN'!R22+'KIN'!R22+'LE'!R22+'MER'!R22+'NDN'!R22+'SALT'!R22+'SDN'!R22+'SST'!R22+'WH'!R22+'FH'!R22+'KNL HO'!R22+'CCL HO'!R22+'YBHN HO'!R22+'YBN HO'!R22</f>
        <v/>
      </c>
      <c r="S22" s="37">
        <f>'ABA'!S22+'BK'!S22+'BW'!S22+'CED'!S22+'HAB'!S22+'HB'!S22+'OD'!S22+'HDN'!S22+'KIN'!S22+'LE'!S22+'MER'!S22+'NDN'!S22+'SALT'!S22+'SDN'!S22+'SST'!S22+'WH'!S22+'FH'!S22+'KNL HO'!S22+'CCL HO'!S22+'YBHN HO'!S22+'YBN HO'!S22</f>
        <v/>
      </c>
      <c r="T22" s="37">
        <f>'ABA'!T22+'BK'!T22+'BW'!T22+'CED'!T22+'HAB'!T22+'HB'!T22+'OD'!T22+'HDN'!T22+'KIN'!T22+'LE'!T22+'MER'!T22+'NDN'!T22+'SALT'!T22+'SDN'!T22+'SST'!T22+'WH'!T22+'FH'!T22+'KNL HO'!T22+'CCL HO'!T22+'YBHN HO'!T22+'YBN HO'!T22</f>
        <v/>
      </c>
      <c r="U22" s="37">
        <f>'ABA'!U22+'BK'!U22+'BW'!U22+'CED'!U22+'HAB'!U22+'HB'!U22+'OD'!U22+'HDN'!U22+'KIN'!U22+'LE'!U22+'MER'!U22+'NDN'!U22+'SALT'!U22+'SDN'!U22+'SST'!U22+'WH'!U22+'FH'!U22+'KNL HO'!U22+'CCL HO'!U22+'YBHN HO'!U22+'YBN HO'!U22</f>
        <v/>
      </c>
      <c r="V22" s="38">
        <f>'KNL HO'!V22+'CCL GROUP P&amp;L'!V22+'YBHN GROUP P&amp;L'!V22+'YBN Group P&amp;L'!V22+'HAB'!V22+'Moe2 P&amp;L'!V22</f>
        <v/>
      </c>
      <c r="W22" s="38">
        <f>'KNL HO'!W22+'CCL GROUP P&amp;L'!W22+'YBHN GROUP P&amp;L'!W22+'YBN Group P&amp;L'!W22+'HAB'!W22+'Moe2 P&amp;L'!W22</f>
        <v/>
      </c>
      <c r="X22" s="38">
        <f>'KNL HO'!X22+'CCL GROUP P&amp;L'!X22+'YBHN GROUP P&amp;L'!X22+'YBN Group P&amp;L'!X22+'HAB'!X22+'Moe2 P&amp;L'!X22</f>
        <v/>
      </c>
      <c r="Y22" s="38">
        <f>'KNL HO'!Y22+'CCL GROUP P&amp;L'!Y22+'YBHN GROUP P&amp;L'!Y22+'YBN Group P&amp;L'!Y22+'HAB'!Y22+'Moe2 P&amp;L'!Y22</f>
        <v/>
      </c>
      <c r="Z22" s="38">
        <f>'KNL HO'!Z22+'CCL GROUP P&amp;L'!Z22+'YBHN GROUP P&amp;L'!Z22+'YBN Group P&amp;L'!Z22+'HAB'!Z22+'Moe2 P&amp;L'!Z22</f>
        <v/>
      </c>
      <c r="AA22" s="36">
        <f>SUM(O22:U22)</f>
        <v/>
      </c>
      <c r="AB22" s="36">
        <f>SUM(O22:Z22)</f>
        <v/>
      </c>
      <c r="AC22" s="38">
        <f>'KNL HO'!AC22+'CCL GROUP P&amp;L'!AC22+'YBHN GROUP P&amp;L'!AC22+'YBN Group P&amp;L'!AC22+'HAB'!AC22+'Moe2 P&amp;L'!AC22</f>
        <v/>
      </c>
      <c r="AD22" s="38">
        <f>'KNL HO'!AD22+'CCL GROUP P&amp;L'!AD22+'YBHN GROUP P&amp;L'!AD22+'YBN Group P&amp;L'!AD22+'HAB'!AD22+'Moe2 P&amp;L'!AD22</f>
        <v/>
      </c>
      <c r="AE22" s="38">
        <f>'KNL HO'!AE22+'CCL GROUP P&amp;L'!AE22+'YBHN GROUP P&amp;L'!AE22+'YBN Group P&amp;L'!AE22+'HAB'!AE22+'Moe2 P&amp;L'!AE22</f>
        <v/>
      </c>
      <c r="AF22" s="38">
        <f>'KNL HO'!AF22+'CCL GROUP P&amp;L'!AF22+'YBHN GROUP P&amp;L'!AF22+'YBN Group P&amp;L'!AF22+'HAB'!AF22+'Moe2 P&amp;L'!AF22</f>
        <v/>
      </c>
      <c r="AG22" s="38">
        <f>'KNL HO'!AG22+'CCL GROUP P&amp;L'!AG22+'YBHN GROUP P&amp;L'!AG22+'YBN Group P&amp;L'!AG22+'HAB'!AG22+'Moe2 P&amp;L'!AG22</f>
        <v/>
      </c>
      <c r="AH22" s="38">
        <f>'KNL HO'!AH22+'CCL GROUP P&amp;L'!AH22+'YBHN GROUP P&amp;L'!AH22+'YBN Group P&amp;L'!AH22+'HAB'!AH22+'Moe2 P&amp;L'!AH22</f>
        <v/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6">
        <f>SUM(N22:Z22)-$N22</f>
        <v/>
      </c>
      <c r="AN22" s="40" t="n"/>
      <c r="AO22" s="92">
        <f>SUM(AC22:AE22)+SUM(R22:Z22)</f>
        <v/>
      </c>
      <c r="AP22" s="92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1630</v>
      </c>
      <c r="H23" s="35" t="n">
        <v>2423.57</v>
      </c>
      <c r="I23" s="35" t="n">
        <v>1238.7</v>
      </c>
      <c r="J23" s="35" t="n">
        <v>2444.67</v>
      </c>
      <c r="K23" s="35" t="n">
        <v>1251.27</v>
      </c>
      <c r="L23" s="35" t="n">
        <v>5222.39</v>
      </c>
      <c r="M23" s="35" t="n">
        <v>2416.64</v>
      </c>
      <c r="N23" s="36">
        <f>SUM(B23:M23)</f>
        <v/>
      </c>
      <c r="O23" s="37">
        <f>'ABA'!O23+'BK'!O23+'BW'!O23+'CED'!O23+'HAB'!O23+'HB'!O23+'OD'!O23+'HDN'!O23+'KIN'!O23+'LE'!O23+'MER'!O23+'NDN'!O23+'SALT'!O23+'SDN'!O23+'SST'!O23+'WH'!O23+'FH'!O23+'KNL HO'!O23+'CCL HO'!O23+'YBHN HO'!O23+'YBN HO'!O23</f>
        <v/>
      </c>
      <c r="P23" s="37">
        <f>'ABA'!P23+'BK'!P23+'BW'!P23+'CED'!P23+'HAB'!P23+'HB'!P23+'OD'!P23+'HDN'!P23+'KIN'!P23+'LE'!P23+'MER'!P23+'NDN'!P23+'SALT'!P23+'SDN'!P23+'SST'!P23+'WH'!P23+'FH'!P23+'KNL HO'!P23+'CCL HO'!P23+'YBHN HO'!P23+'YBN HO'!P23</f>
        <v/>
      </c>
      <c r="Q23" s="37">
        <f>'ABA'!Q23+'BK'!Q23+'BW'!Q23+'CED'!Q23+'HAB'!Q23+'HB'!Q23+'OD'!Q23+'HDN'!Q23+'KIN'!Q23+'LE'!Q23+'MER'!Q23+'NDN'!Q23+'SALT'!Q23+'SDN'!Q23+'SST'!Q23+'WH'!Q23+'FH'!Q23+'KNL HO'!Q23+'CCL HO'!Q23+'YBHN HO'!Q23+'YBN HO'!Q23</f>
        <v/>
      </c>
      <c r="R23" s="37">
        <f>'ABA'!R23+'BK'!R23+'BW'!R23+'CED'!R23+'HAB'!R23+'HB'!R23+'OD'!R23+'HDN'!R23+'KIN'!R23+'LE'!R23+'MER'!R23+'NDN'!R23+'SALT'!R23+'SDN'!R23+'SST'!R23+'WH'!R23+'FH'!R23+'KNL HO'!R23+'CCL HO'!R23+'YBHN HO'!R23+'YBN HO'!R23</f>
        <v/>
      </c>
      <c r="S23" s="37">
        <f>'ABA'!S23+'BK'!S23+'BW'!S23+'CED'!S23+'HAB'!S23+'HB'!S23+'OD'!S23+'HDN'!S23+'KIN'!S23+'LE'!S23+'MER'!S23+'NDN'!S23+'SALT'!S23+'SDN'!S23+'SST'!S23+'WH'!S23+'FH'!S23+'KNL HO'!S23+'CCL HO'!S23+'YBHN HO'!S23+'YBN HO'!S23</f>
        <v/>
      </c>
      <c r="T23" s="37">
        <f>'ABA'!T23+'BK'!T23+'BW'!T23+'CED'!T23+'HAB'!T23+'HB'!T23+'OD'!T23+'HDN'!T23+'KIN'!T23+'LE'!T23+'MER'!T23+'NDN'!T23+'SALT'!T23+'SDN'!T23+'SST'!T23+'WH'!T23+'FH'!T23+'KNL HO'!T23+'CCL HO'!T23+'YBHN HO'!T23+'YBN HO'!T23</f>
        <v/>
      </c>
      <c r="U23" s="37">
        <f>'ABA'!U23+'BK'!U23+'BW'!U23+'CED'!U23+'HAB'!U23+'HB'!U23+'OD'!U23+'HDN'!U23+'KIN'!U23+'LE'!U23+'MER'!U23+'NDN'!U23+'SALT'!U23+'SDN'!U23+'SST'!U23+'WH'!U23+'FH'!U23+'KNL HO'!U23+'CCL HO'!U23+'YBHN HO'!U23+'YBN HO'!U23</f>
        <v/>
      </c>
      <c r="V23" s="38">
        <f>'KNL HO'!V23+'CCL GROUP P&amp;L'!V23+'YBHN GROUP P&amp;L'!V23+'YBN Group P&amp;L'!V23+'HAB'!V23+'Moe2 P&amp;L'!V23</f>
        <v/>
      </c>
      <c r="W23" s="38">
        <f>'KNL HO'!W23+'CCL GROUP P&amp;L'!W23+'YBHN GROUP P&amp;L'!W23+'YBN Group P&amp;L'!W23+'HAB'!W23+'Moe2 P&amp;L'!W23</f>
        <v/>
      </c>
      <c r="X23" s="38">
        <f>'KNL HO'!X23+'CCL GROUP P&amp;L'!X23+'YBHN GROUP P&amp;L'!X23+'YBN Group P&amp;L'!X23+'HAB'!X23+'Moe2 P&amp;L'!X23</f>
        <v/>
      </c>
      <c r="Y23" s="38">
        <f>'KNL HO'!Y23+'CCL GROUP P&amp;L'!Y23+'YBHN GROUP P&amp;L'!Y23+'YBN Group P&amp;L'!Y23+'HAB'!Y23+'Moe2 P&amp;L'!Y23</f>
        <v/>
      </c>
      <c r="Z23" s="38">
        <f>'KNL HO'!Z23+'CCL GROUP P&amp;L'!Z23+'YBHN GROUP P&amp;L'!Z23+'YBN Group P&amp;L'!Z23+'HAB'!Z23+'Moe2 P&amp;L'!Z23</f>
        <v/>
      </c>
      <c r="AA23" s="36">
        <f>SUM(O23:U23)</f>
        <v/>
      </c>
      <c r="AB23" s="36">
        <f>SUM(O23:Z23)</f>
        <v/>
      </c>
      <c r="AC23" s="38">
        <f>'KNL HO'!AC23+'CCL GROUP P&amp;L'!AC23+'YBHN GROUP P&amp;L'!AC23+'YBN Group P&amp;L'!AC23+'HAB'!AC23+'Moe2 P&amp;L'!AC23</f>
        <v/>
      </c>
      <c r="AD23" s="38">
        <f>'KNL HO'!AD23+'CCL GROUP P&amp;L'!AD23+'YBHN GROUP P&amp;L'!AD23+'YBN Group P&amp;L'!AD23+'HAB'!AD23+'Moe2 P&amp;L'!AD23</f>
        <v/>
      </c>
      <c r="AE23" s="38">
        <f>'KNL HO'!AE23+'CCL GROUP P&amp;L'!AE23+'YBHN GROUP P&amp;L'!AE23+'YBN Group P&amp;L'!AE23+'HAB'!AE23+'Moe2 P&amp;L'!AE23</f>
        <v/>
      </c>
      <c r="AF23" s="38">
        <f>'KNL HO'!AF23+'CCL GROUP P&amp;L'!AF23+'YBHN GROUP P&amp;L'!AF23+'YBN Group P&amp;L'!AF23+'HAB'!AF23+'Moe2 P&amp;L'!AF23</f>
        <v/>
      </c>
      <c r="AG23" s="38">
        <f>'KNL HO'!AG23+'CCL GROUP P&amp;L'!AG23+'YBHN GROUP P&amp;L'!AG23+'YBN Group P&amp;L'!AG23+'HAB'!AG23+'Moe2 P&amp;L'!AG23</f>
        <v/>
      </c>
      <c r="AH23" s="38">
        <f>'KNL HO'!AH23+'CCL GROUP P&amp;L'!AH23+'YBHN GROUP P&amp;L'!AH23+'YBN Group P&amp;L'!AH23+'HAB'!AH23+'Moe2 P&amp;L'!AH23</f>
        <v/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6">
        <f>SUM(N23:Z23)-$N23</f>
        <v/>
      </c>
      <c r="AN23" s="40" t="n"/>
      <c r="AO23" s="92">
        <f>SUM(AC23:AE23)+SUM(R23:Z23)</f>
        <v/>
      </c>
      <c r="AP23" s="92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217.33</v>
      </c>
      <c r="D24" s="35" t="n">
        <v>0</v>
      </c>
      <c r="E24" s="35" t="n">
        <v>0</v>
      </c>
      <c r="F24" s="35" t="n">
        <v>226.03</v>
      </c>
      <c r="G24" s="35" t="n">
        <v>0</v>
      </c>
      <c r="H24" s="35" t="n">
        <v>249.41</v>
      </c>
      <c r="I24" s="35" t="n">
        <v>0</v>
      </c>
      <c r="J24" s="35" t="n">
        <v>1410.72</v>
      </c>
      <c r="K24" s="35" t="n">
        <v>6211.84</v>
      </c>
      <c r="L24" s="35" t="n">
        <v>3008.5</v>
      </c>
      <c r="M24" s="35" t="n">
        <v>0</v>
      </c>
      <c r="N24" s="36">
        <f>SUM(B24:M24)</f>
        <v/>
      </c>
      <c r="O24" s="37">
        <f>'ABA'!O24+'BK'!O24+'BW'!O24+'CED'!O24+'HAB'!O24+'HB'!O24+'OD'!O24+'HDN'!O24+'KIN'!O24+'LE'!O24+'MER'!O24+'NDN'!O24+'SALT'!O24+'SDN'!O24+'SST'!O24+'WH'!O24+'FH'!O24+'KNL HO'!O24+'CCL HO'!O24+'YBHN HO'!O24+'YBN HO'!O24</f>
        <v/>
      </c>
      <c r="P24" s="37">
        <f>'ABA'!P24+'BK'!P24+'BW'!P24+'CED'!P24+'HAB'!P24+'HB'!P24+'OD'!P24+'HDN'!P24+'KIN'!P24+'LE'!P24+'MER'!P24+'NDN'!P24+'SALT'!P24+'SDN'!P24+'SST'!P24+'WH'!P24+'FH'!P24+'KNL HO'!P24+'CCL HO'!P24+'YBHN HO'!P24+'YBN HO'!P24</f>
        <v/>
      </c>
      <c r="Q24" s="37">
        <f>'ABA'!Q24+'BK'!Q24+'BW'!Q24+'CED'!Q24+'HAB'!Q24+'HB'!Q24+'OD'!Q24+'HDN'!Q24+'KIN'!Q24+'LE'!Q24+'MER'!Q24+'NDN'!Q24+'SALT'!Q24+'SDN'!Q24+'SST'!Q24+'WH'!Q24+'FH'!Q24+'KNL HO'!Q24+'CCL HO'!Q24+'YBHN HO'!Q24+'YBN HO'!Q24</f>
        <v/>
      </c>
      <c r="R24" s="37">
        <f>'ABA'!R24+'BK'!R24+'BW'!R24+'CED'!R24+'HAB'!R24+'HB'!R24+'OD'!R24+'HDN'!R24+'KIN'!R24+'LE'!R24+'MER'!R24+'NDN'!R24+'SALT'!R24+'SDN'!R24+'SST'!R24+'WH'!R24+'FH'!R24+'KNL HO'!R24+'CCL HO'!R24+'YBHN HO'!R24+'YBN HO'!R24</f>
        <v/>
      </c>
      <c r="S24" s="37">
        <f>'ABA'!S24+'BK'!S24+'BW'!S24+'CED'!S24+'HAB'!S24+'HB'!S24+'OD'!S24+'HDN'!S24+'KIN'!S24+'LE'!S24+'MER'!S24+'NDN'!S24+'SALT'!S24+'SDN'!S24+'SST'!S24+'WH'!S24+'FH'!S24+'KNL HO'!S24+'CCL HO'!S24+'YBHN HO'!S24+'YBN HO'!S24</f>
        <v/>
      </c>
      <c r="T24" s="37">
        <f>'ABA'!T24+'BK'!T24+'BW'!T24+'CED'!T24+'HAB'!T24+'HB'!T24+'OD'!T24+'HDN'!T24+'KIN'!T24+'LE'!T24+'MER'!T24+'NDN'!T24+'SALT'!T24+'SDN'!T24+'SST'!T24+'WH'!T24+'FH'!T24+'KNL HO'!T24+'CCL HO'!T24+'YBHN HO'!T24+'YBN HO'!T24</f>
        <v/>
      </c>
      <c r="U24" s="37">
        <f>'ABA'!U24+'BK'!U24+'BW'!U24+'CED'!U24+'HAB'!U24+'HB'!U24+'OD'!U24+'HDN'!U24+'KIN'!U24+'LE'!U24+'MER'!U24+'NDN'!U24+'SALT'!U24+'SDN'!U24+'SST'!U24+'WH'!U24+'FH'!U24+'KNL HO'!U24+'CCL HO'!U24+'YBHN HO'!U24+'YBN HO'!U24</f>
        <v/>
      </c>
      <c r="V24" s="38">
        <f>'KNL HO'!V24+'CCL GROUP P&amp;L'!V24+'YBHN GROUP P&amp;L'!V24+'YBN Group P&amp;L'!V24+'HAB'!V24+'Moe2 P&amp;L'!V24</f>
        <v/>
      </c>
      <c r="W24" s="38">
        <f>'KNL HO'!W24+'CCL GROUP P&amp;L'!W24+'YBHN GROUP P&amp;L'!W24+'YBN Group P&amp;L'!W24+'HAB'!W24+'Moe2 P&amp;L'!W24</f>
        <v/>
      </c>
      <c r="X24" s="38">
        <f>'KNL HO'!X24+'CCL GROUP P&amp;L'!X24+'YBHN GROUP P&amp;L'!X24+'YBN Group P&amp;L'!X24+'HAB'!X24+'Moe2 P&amp;L'!X24</f>
        <v/>
      </c>
      <c r="Y24" s="38">
        <f>'KNL HO'!Y24+'CCL GROUP P&amp;L'!Y24+'YBHN GROUP P&amp;L'!Y24+'YBN Group P&amp;L'!Y24+'HAB'!Y24+'Moe2 P&amp;L'!Y24</f>
        <v/>
      </c>
      <c r="Z24" s="38">
        <f>'KNL HO'!Z24+'CCL GROUP P&amp;L'!Z24+'YBHN GROUP P&amp;L'!Z24+'YBN Group P&amp;L'!Z24+'HAB'!Z24+'Moe2 P&amp;L'!Z24</f>
        <v/>
      </c>
      <c r="AA24" s="36">
        <f>SUM(O24:U24)</f>
        <v/>
      </c>
      <c r="AB24" s="36">
        <f>SUM(O24:Z24)</f>
        <v/>
      </c>
      <c r="AC24" s="38">
        <f>'KNL HO'!AC24+'CCL GROUP P&amp;L'!AC24+'YBHN GROUP P&amp;L'!AC24+'YBN Group P&amp;L'!AC24+'HAB'!AC24+'Moe2 P&amp;L'!AC24</f>
        <v/>
      </c>
      <c r="AD24" s="38">
        <f>'KNL HO'!AD24+'CCL GROUP P&amp;L'!AD24+'YBHN GROUP P&amp;L'!AD24+'YBN Group P&amp;L'!AD24+'HAB'!AD24+'Moe2 P&amp;L'!AD24</f>
        <v/>
      </c>
      <c r="AE24" s="38">
        <f>'KNL HO'!AE24+'CCL GROUP P&amp;L'!AE24+'YBHN GROUP P&amp;L'!AE24+'YBN Group P&amp;L'!AE24+'HAB'!AE24+'Moe2 P&amp;L'!AE24</f>
        <v/>
      </c>
      <c r="AF24" s="38">
        <f>'KNL HO'!AF24+'CCL GROUP P&amp;L'!AF24+'YBHN GROUP P&amp;L'!AF24+'YBN Group P&amp;L'!AF24+'HAB'!AF24+'Moe2 P&amp;L'!AF24</f>
        <v/>
      </c>
      <c r="AG24" s="38">
        <f>'KNL HO'!AG24+'CCL GROUP P&amp;L'!AG24+'YBHN GROUP P&amp;L'!AG24+'YBN Group P&amp;L'!AG24+'HAB'!AG24+'Moe2 P&amp;L'!AG24</f>
        <v/>
      </c>
      <c r="AH24" s="38">
        <f>'KNL HO'!AH24+'CCL GROUP P&amp;L'!AH24+'YBHN GROUP P&amp;L'!AH24+'YBN Group P&amp;L'!AH24+'HAB'!AH24+'Moe2 P&amp;L'!AH24</f>
        <v/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6">
        <f>SUM(N24:Z24)-$N24</f>
        <v/>
      </c>
      <c r="AN24" s="40" t="n"/>
      <c r="AO24" s="92">
        <f>SUM(AC24:AE24)+SUM(R24:Z24)</f>
        <v/>
      </c>
      <c r="AP24" s="92">
        <f>SUM(AC24:AH24)+SUM(U24:Z24)</f>
        <v/>
      </c>
    </row>
    <row r="25" ht="15.75" customHeight="1">
      <c r="A25" s="41" t="inlineStr">
        <is>
          <t>Total Personnel</t>
        </is>
      </c>
      <c r="B25" s="42" t="n">
        <v>453315.68</v>
      </c>
      <c r="C25" s="42" t="n">
        <v>457131.66</v>
      </c>
      <c r="D25" s="42" t="n">
        <v>450046.64</v>
      </c>
      <c r="E25" s="42" t="n">
        <v>513439.7500000001</v>
      </c>
      <c r="F25" s="42" t="n">
        <v>520315.8300000001</v>
      </c>
      <c r="G25" s="42" t="n">
        <v>500062.94</v>
      </c>
      <c r="H25" s="42" t="n">
        <v>540450.8400000001</v>
      </c>
      <c r="I25" s="42" t="n">
        <v>494870.5800000001</v>
      </c>
      <c r="J25" s="42" t="n">
        <v>523267.4399999999</v>
      </c>
      <c r="K25" s="42" t="n">
        <v>528710.3</v>
      </c>
      <c r="L25" s="42" t="n">
        <v>502447.01</v>
      </c>
      <c r="M25" s="42" t="n">
        <v>516214.69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SUM(O25:U25)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93">
        <f>SUM(AO16:AO24)</f>
        <v/>
      </c>
      <c r="AP25" s="9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 t="n"/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SUM(O26:U26)</f>
        <v/>
      </c>
      <c r="AB26" s="36" t="n"/>
      <c r="AC26" s="32">
        <f>'KNL HO'!AC26+'CCL GROUP P&amp;L'!AC26+'YBHN GROUP P&amp;L'!AC26+'YBN Group P&amp;L'!AC26+'HAB'!AC26+'Moe2 P&amp;L'!AC26</f>
        <v/>
      </c>
      <c r="AD26" s="32">
        <f>'KNL HO'!AD26+'CCL GROUP P&amp;L'!AD26+'YBHN GROUP P&amp;L'!AD26+'YBN Group P&amp;L'!AD26+'HAB'!AD26+'Moe2 P&amp;L'!AD26</f>
        <v/>
      </c>
      <c r="AE26" s="32">
        <f>'KNL HO'!AE26+'CCL GROUP P&amp;L'!AE26+'YBHN GROUP P&amp;L'!AE26+'YBN Group P&amp;L'!AE26+'HAB'!AE26+'Moe2 P&amp;L'!AE26</f>
        <v/>
      </c>
      <c r="AF26" s="32">
        <f>'KNL HO'!AF26+'CCL GROUP P&amp;L'!AF26+'YBHN GROUP P&amp;L'!AF26+'YBN Group P&amp;L'!AF26+'HAB'!AF26+'Moe2 P&amp;L'!AF26</f>
        <v/>
      </c>
      <c r="AG26" s="32">
        <f>'KNL HO'!AG26+'CCL GROUP P&amp;L'!AG26+'YBHN GROUP P&amp;L'!AG26+'YBN Group P&amp;L'!AG26+'HAB'!AG26+'Moe2 P&amp;L'!AG26</f>
        <v/>
      </c>
      <c r="AH26" s="32">
        <f>'KNL HO'!AH26+'CCL GROUP P&amp;L'!AH26+'YBHN GROUP P&amp;L'!AH26+'YBN Group P&amp;L'!AH26+'HAB'!AH26+'Moe2 P&amp;L'!AH26</f>
        <v/>
      </c>
      <c r="AI26" s="8" t="n"/>
      <c r="AJ26" s="36" t="n"/>
      <c r="AK26" s="36" t="n"/>
      <c r="AL26" s="36" t="n"/>
      <c r="AM26" s="36" t="n"/>
      <c r="AN26" s="40" t="n"/>
      <c r="AO26" s="92" t="n"/>
      <c r="AP26" s="92" t="n"/>
    </row>
    <row r="27">
      <c r="A27" s="34" t="inlineStr">
        <is>
          <t>Catering Costs</t>
        </is>
      </c>
      <c r="B27" s="35" t="n">
        <v>24984.97</v>
      </c>
      <c r="C27" s="35" t="n">
        <v>27639.25</v>
      </c>
      <c r="D27" s="35" t="n">
        <v>26273.28</v>
      </c>
      <c r="E27" s="35" t="n">
        <v>22057.36</v>
      </c>
      <c r="F27" s="35" t="n">
        <v>26275.7</v>
      </c>
      <c r="G27" s="35" t="n">
        <v>25972.10000000001</v>
      </c>
      <c r="H27" s="35" t="n">
        <v>25583.16</v>
      </c>
      <c r="I27" s="35" t="n">
        <v>25393.59</v>
      </c>
      <c r="J27" s="35" t="n">
        <v>23517.88000000001</v>
      </c>
      <c r="K27" s="35" t="n">
        <v>27113.72</v>
      </c>
      <c r="L27" s="35" t="n">
        <v>25194.74</v>
      </c>
      <c r="M27" s="35" t="n">
        <v>20081.97</v>
      </c>
      <c r="N27" s="36">
        <f>SUM(B27:M27)</f>
        <v/>
      </c>
      <c r="O27" s="37">
        <f>'ABA'!O27+'BK'!O27+'BW'!O27+'CED'!O27+'HAB'!O27+'HB'!O27+'OD'!O27+'HDN'!O27+'KIN'!O27+'LE'!O27+'MER'!O27+'NDN'!O27+'SALT'!O27+'SDN'!O27+'SST'!O27+'WH'!O27+'FH'!O27+'KNL HO'!O27+'CCL HO'!O27+'YBHN HO'!O27+'YBN HO'!O27</f>
        <v/>
      </c>
      <c r="P27" s="37">
        <f>'ABA'!P27+'BK'!P27+'BW'!P27+'CED'!P27+'HAB'!P27+'HB'!P27+'OD'!P27+'HDN'!P27+'KIN'!P27+'LE'!P27+'MER'!P27+'NDN'!P27+'SALT'!P27+'SDN'!P27+'SST'!P27+'WH'!P27+'FH'!P27+'KNL HO'!P27+'CCL HO'!P27+'YBHN HO'!P27+'YBN HO'!P27</f>
        <v/>
      </c>
      <c r="Q27" s="37">
        <f>'ABA'!Q27+'BK'!Q27+'BW'!Q27+'CED'!Q27+'HAB'!Q27+'HB'!Q27+'OD'!Q27+'HDN'!Q27+'KIN'!Q27+'LE'!Q27+'MER'!Q27+'NDN'!Q27+'SALT'!Q27+'SDN'!Q27+'SST'!Q27+'WH'!Q27+'FH'!Q27+'KNL HO'!Q27+'CCL HO'!Q27+'YBHN HO'!Q27+'YBN HO'!Q27</f>
        <v/>
      </c>
      <c r="R27" s="37">
        <f>'ABA'!R27+'BK'!R27+'BW'!R27+'CED'!R27+'HAB'!R27+'HB'!R27+'OD'!R27+'HDN'!R27+'KIN'!R27+'LE'!R27+'MER'!R27+'NDN'!R27+'SALT'!R27+'SDN'!R27+'SST'!R27+'WH'!R27+'FH'!R27+'KNL HO'!R27+'CCL HO'!R27+'YBHN HO'!R27+'YBN HO'!R27</f>
        <v/>
      </c>
      <c r="S27" s="37">
        <f>'ABA'!S27+'BK'!S27+'BW'!S27+'CED'!S27+'HAB'!S27+'HB'!S27+'OD'!S27+'HDN'!S27+'KIN'!S27+'LE'!S27+'MER'!S27+'NDN'!S27+'SALT'!S27+'SDN'!S27+'SST'!S27+'WH'!S27+'FH'!S27+'KNL HO'!S27+'CCL HO'!S27+'YBHN HO'!S27+'YBN HO'!S27</f>
        <v/>
      </c>
      <c r="T27" s="37">
        <f>'ABA'!T27+'BK'!T27+'BW'!T27+'CED'!T27+'HAB'!T27+'HB'!T27+'OD'!T27+'HDN'!T27+'KIN'!T27+'LE'!T27+'MER'!T27+'NDN'!T27+'SALT'!T27+'SDN'!T27+'SST'!T27+'WH'!T27+'FH'!T27+'KNL HO'!T27+'CCL HO'!T27+'YBHN HO'!T27+'YBN HO'!T27</f>
        <v/>
      </c>
      <c r="U27" s="37">
        <f>'ABA'!U27+'BK'!U27+'BW'!U27+'CED'!U27+'HAB'!U27+'HB'!U27+'OD'!U27+'HDN'!U27+'KIN'!U27+'LE'!U27+'MER'!U27+'NDN'!U27+'SALT'!U27+'SDN'!U27+'SST'!U27+'WH'!U27+'FH'!U27+'KNL HO'!U27+'CCL HO'!U27+'YBHN HO'!U27+'YBN HO'!U27</f>
        <v/>
      </c>
      <c r="V27" s="38">
        <f>'KNL HO'!V27+'CCL GROUP P&amp;L'!V27+'YBHN GROUP P&amp;L'!V27+'YBN Group P&amp;L'!V27+'HAB'!V27+'Moe2 P&amp;L'!V27</f>
        <v/>
      </c>
      <c r="W27" s="38">
        <f>'KNL HO'!W27+'CCL GROUP P&amp;L'!W27+'YBHN GROUP P&amp;L'!W27+'YBN Group P&amp;L'!W27+'HAB'!W27+'Moe2 P&amp;L'!W27</f>
        <v/>
      </c>
      <c r="X27" s="38">
        <f>'KNL HO'!X27+'CCL GROUP P&amp;L'!X27+'YBHN GROUP P&amp;L'!X27+'YBN Group P&amp;L'!X27+'HAB'!X27+'Moe2 P&amp;L'!X27</f>
        <v/>
      </c>
      <c r="Y27" s="38">
        <f>'KNL HO'!Y27+'CCL GROUP P&amp;L'!Y27+'YBHN GROUP P&amp;L'!Y27+'YBN Group P&amp;L'!Y27+'HAB'!Y27+'Moe2 P&amp;L'!Y27</f>
        <v/>
      </c>
      <c r="Z27" s="38">
        <f>'KNL HO'!Z27+'CCL GROUP P&amp;L'!Z27+'YBHN GROUP P&amp;L'!Z27+'YBN Group P&amp;L'!Z27+'HAB'!Z27+'Moe2 P&amp;L'!Z27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8" t="n"/>
      <c r="AJ27" s="36">
        <f>SUM(E27:Q27)-$N27</f>
        <v/>
      </c>
      <c r="AK27" s="36">
        <f>SUM(H27:T27)-$N27</f>
        <v/>
      </c>
      <c r="AL27" s="36">
        <f>SUM(K27:W27)-$N27</f>
        <v/>
      </c>
      <c r="AM27" s="36">
        <f>SUM(N27:Z27)-$N27</f>
        <v/>
      </c>
      <c r="AN27" s="40" t="n"/>
      <c r="AO27" s="92">
        <f>SUM(AC27:AE27)+SUM(R27:Z27)</f>
        <v/>
      </c>
      <c r="AP27" s="92">
        <f>SUM(AC27:AH27)+SUM(U27:Z27)</f>
        <v/>
      </c>
    </row>
    <row r="28">
      <c r="A28" s="34" t="inlineStr">
        <is>
          <t>Toys and Games</t>
        </is>
      </c>
      <c r="B28" s="35" t="n">
        <v>2910.13</v>
      </c>
      <c r="C28" s="35" t="n">
        <v>6069.44</v>
      </c>
      <c r="D28" s="35" t="n">
        <v>2457.96</v>
      </c>
      <c r="E28" s="35" t="n">
        <v>3203.4</v>
      </c>
      <c r="F28" s="35" t="n">
        <v>6842.979999999998</v>
      </c>
      <c r="G28" s="35" t="n">
        <v>5934.230000000001</v>
      </c>
      <c r="H28" s="35" t="n">
        <v>5852.02</v>
      </c>
      <c r="I28" s="35" t="n">
        <v>6516.69</v>
      </c>
      <c r="J28" s="35" t="n">
        <v>6590.410000000001</v>
      </c>
      <c r="K28" s="35" t="n">
        <v>2549.79</v>
      </c>
      <c r="L28" s="35" t="n">
        <v>2219.75</v>
      </c>
      <c r="M28" s="35" t="n">
        <v>1504.69</v>
      </c>
      <c r="N28" s="36">
        <f>SUM(B28:M28)</f>
        <v/>
      </c>
      <c r="O28" s="37">
        <f>'ABA'!O28+'BK'!O28+'BW'!O28+'CED'!O28+'HAB'!O28+'HB'!O28+'OD'!O28+'HDN'!O28+'KIN'!O28+'LE'!O28+'MER'!O28+'NDN'!O28+'SALT'!O28+'SDN'!O28+'SST'!O28+'WH'!O28+'FH'!O28+'KNL HO'!O28+'CCL HO'!O28+'YBHN HO'!O28+'YBN HO'!O28</f>
        <v/>
      </c>
      <c r="P28" s="37">
        <f>'ABA'!P28+'BK'!P28+'BW'!P28+'CED'!P28+'HAB'!P28+'HB'!P28+'OD'!P28+'HDN'!P28+'KIN'!P28+'LE'!P28+'MER'!P28+'NDN'!P28+'SALT'!P28+'SDN'!P28+'SST'!P28+'WH'!P28+'FH'!P28+'KNL HO'!P28+'CCL HO'!P28+'YBHN HO'!P28+'YBN HO'!P28</f>
        <v/>
      </c>
      <c r="Q28" s="37">
        <f>'ABA'!Q28+'BK'!Q28+'BW'!Q28+'CED'!Q28+'HAB'!Q28+'HB'!Q28+'OD'!Q28+'HDN'!Q28+'KIN'!Q28+'LE'!Q28+'MER'!Q28+'NDN'!Q28+'SALT'!Q28+'SDN'!Q28+'SST'!Q28+'WH'!Q28+'FH'!Q28+'KNL HO'!Q28+'CCL HO'!Q28+'YBHN HO'!Q28+'YBN HO'!Q28</f>
        <v/>
      </c>
      <c r="R28" s="37">
        <f>'ABA'!R28+'BK'!R28+'BW'!R28+'CED'!R28+'HAB'!R28+'HB'!R28+'OD'!R28+'HDN'!R28+'KIN'!R28+'LE'!R28+'MER'!R28+'NDN'!R28+'SALT'!R28+'SDN'!R28+'SST'!R28+'WH'!R28+'FH'!R28+'KNL HO'!R28+'CCL HO'!R28+'YBHN HO'!R28+'YBN HO'!R28</f>
        <v/>
      </c>
      <c r="S28" s="37">
        <f>'ABA'!S28+'BK'!S28+'BW'!S28+'CED'!S28+'HAB'!S28+'HB'!S28+'OD'!S28+'HDN'!S28+'KIN'!S28+'LE'!S28+'MER'!S28+'NDN'!S28+'SALT'!S28+'SDN'!S28+'SST'!S28+'WH'!S28+'FH'!S28+'KNL HO'!S28+'CCL HO'!S28+'YBHN HO'!S28+'YBN HO'!S28</f>
        <v/>
      </c>
      <c r="T28" s="37">
        <f>'ABA'!T28+'BK'!T28+'BW'!T28+'CED'!T28+'HAB'!T28+'HB'!T28+'OD'!T28+'HDN'!T28+'KIN'!T28+'LE'!T28+'MER'!T28+'NDN'!T28+'SALT'!T28+'SDN'!T28+'SST'!T28+'WH'!T28+'FH'!T28+'KNL HO'!T28+'CCL HO'!T28+'YBHN HO'!T28+'YBN HO'!T28</f>
        <v/>
      </c>
      <c r="U28" s="37">
        <f>'ABA'!U28+'BK'!U28+'BW'!U28+'CED'!U28+'HAB'!U28+'HB'!U28+'OD'!U28+'HDN'!U28+'KIN'!U28+'LE'!U28+'MER'!U28+'NDN'!U28+'SALT'!U28+'SDN'!U28+'SST'!U28+'WH'!U28+'FH'!U28+'KNL HO'!U28+'CCL HO'!U28+'YBHN HO'!U28+'YBN HO'!U28</f>
        <v/>
      </c>
      <c r="V28" s="38">
        <f>'KNL HO'!V28+'CCL GROUP P&amp;L'!V28+'YBHN GROUP P&amp;L'!V28+'YBN Group P&amp;L'!V28+'HAB'!V28+'Moe2 P&amp;L'!V28</f>
        <v/>
      </c>
      <c r="W28" s="38">
        <f>'KNL HO'!W28+'CCL GROUP P&amp;L'!W28+'YBHN GROUP P&amp;L'!W28+'YBN Group P&amp;L'!W28+'HAB'!W28+'Moe2 P&amp;L'!W28</f>
        <v/>
      </c>
      <c r="X28" s="38">
        <f>'KNL HO'!X28+'CCL GROUP P&amp;L'!X28+'YBHN GROUP P&amp;L'!X28+'YBN Group P&amp;L'!X28+'HAB'!X28+'Moe2 P&amp;L'!X28</f>
        <v/>
      </c>
      <c r="Y28" s="38">
        <f>'KNL HO'!Y28+'CCL GROUP P&amp;L'!Y28+'YBHN GROUP P&amp;L'!Y28+'YBN Group P&amp;L'!Y28+'HAB'!Y28+'Moe2 P&amp;L'!Y28</f>
        <v/>
      </c>
      <c r="Z28" s="38">
        <f>'KNL HO'!Z28+'CCL GROUP P&amp;L'!Z28+'YBHN GROUP P&amp;L'!Z28+'YBN Group P&amp;L'!Z28+'HAB'!Z28+'Moe2 P&amp;L'!Z28</f>
        <v/>
      </c>
      <c r="AA28" s="36">
        <f>SUM(O28:U28)</f>
        <v/>
      </c>
      <c r="AB28" s="36">
        <f>SUM(O28:Z28)</f>
        <v/>
      </c>
      <c r="AC28" s="38">
        <f>'KNL HO'!AC28+'CCL GROUP P&amp;L'!AC28+'YBHN GROUP P&amp;L'!AC28+'YBN Group P&amp;L'!AC28+'HAB'!AC28+'Moe2 P&amp;L'!AC28</f>
        <v/>
      </c>
      <c r="AD28" s="38">
        <f>'KNL HO'!AD28+'CCL GROUP P&amp;L'!AD28+'YBHN GROUP P&amp;L'!AD28+'YBN Group P&amp;L'!AD28+'HAB'!AD28+'Moe2 P&amp;L'!AD28</f>
        <v/>
      </c>
      <c r="AE28" s="38">
        <f>'KNL HO'!AE28+'CCL GROUP P&amp;L'!AE28+'YBHN GROUP P&amp;L'!AE28+'YBN Group P&amp;L'!AE28+'HAB'!AE28+'Moe2 P&amp;L'!AE28</f>
        <v/>
      </c>
      <c r="AF28" s="38">
        <f>'KNL HO'!AF28+'CCL GROUP P&amp;L'!AF28+'YBHN GROUP P&amp;L'!AF28+'YBN Group P&amp;L'!AF28+'HAB'!AF28+'Moe2 P&amp;L'!AF28</f>
        <v/>
      </c>
      <c r="AG28" s="38">
        <f>'KNL HO'!AG28+'CCL GROUP P&amp;L'!AG28+'YBHN GROUP P&amp;L'!AG28+'YBN Group P&amp;L'!AG28+'HAB'!AG28+'Moe2 P&amp;L'!AG28</f>
        <v/>
      </c>
      <c r="AH28" s="38">
        <f>'KNL HO'!AH28+'CCL GROUP P&amp;L'!AH28+'YBHN GROUP P&amp;L'!AH28+'YBN Group P&amp;L'!AH28+'HAB'!AH28+'Moe2 P&amp;L'!AH28</f>
        <v/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6">
        <f>SUM(N28:Z28)-$N28</f>
        <v/>
      </c>
      <c r="AN28" s="40" t="n"/>
      <c r="AO28" s="92">
        <f>SUM(AC28:AE28)+SUM(R28:Z28)</f>
        <v/>
      </c>
      <c r="AP28" s="92">
        <f>SUM(AC28:AH28)+SUM(U28:Z28)</f>
        <v/>
      </c>
    </row>
    <row r="29">
      <c r="A29" s="34" t="inlineStr">
        <is>
          <t>Art Materials</t>
        </is>
      </c>
      <c r="B29" s="35" t="n">
        <v>2078.88</v>
      </c>
      <c r="C29" s="35" t="n">
        <v>2785.349999999999</v>
      </c>
      <c r="D29" s="35" t="n">
        <v>2438.17</v>
      </c>
      <c r="E29" s="35" t="n">
        <v>1709.05</v>
      </c>
      <c r="F29" s="35" t="n">
        <v>984.5300000000001</v>
      </c>
      <c r="G29" s="35" t="n">
        <v>1918.57</v>
      </c>
      <c r="H29" s="35" t="n">
        <v>908.9400000000001</v>
      </c>
      <c r="I29" s="35" t="n">
        <v>1193.92</v>
      </c>
      <c r="J29" s="35" t="n">
        <v>1427.96</v>
      </c>
      <c r="K29" s="35" t="n">
        <v>2445.34</v>
      </c>
      <c r="L29" s="35" t="n">
        <v>3087.5</v>
      </c>
      <c r="M29" s="35" t="n">
        <v>1610.05</v>
      </c>
      <c r="N29" s="36">
        <f>SUM(B29:M29)</f>
        <v/>
      </c>
      <c r="O29" s="37">
        <f>'ABA'!O29+'BK'!O29+'BW'!O29+'CED'!O29+'HAB'!O29+'HB'!O29+'OD'!O29+'HDN'!O29+'KIN'!O29+'LE'!O29+'MER'!O29+'NDN'!O29+'SALT'!O29+'SDN'!O29+'SST'!O29+'WH'!O29+'FH'!O29+'KNL HO'!O29+'CCL HO'!O29+'YBHN HO'!O29+'YBN HO'!O29</f>
        <v/>
      </c>
      <c r="P29" s="37">
        <f>'ABA'!P29+'BK'!P29+'BW'!P29+'CED'!P29+'HAB'!P29+'HB'!P29+'OD'!P29+'HDN'!P29+'KIN'!P29+'LE'!P29+'MER'!P29+'NDN'!P29+'SALT'!P29+'SDN'!P29+'SST'!P29+'WH'!P29+'FH'!P29+'KNL HO'!P29+'CCL HO'!P29+'YBHN HO'!P29+'YBN HO'!P29</f>
        <v/>
      </c>
      <c r="Q29" s="37">
        <f>'ABA'!Q29+'BK'!Q29+'BW'!Q29+'CED'!Q29+'HAB'!Q29+'HB'!Q29+'OD'!Q29+'HDN'!Q29+'KIN'!Q29+'LE'!Q29+'MER'!Q29+'NDN'!Q29+'SALT'!Q29+'SDN'!Q29+'SST'!Q29+'WH'!Q29+'FH'!Q29+'KNL HO'!Q29+'CCL HO'!Q29+'YBHN HO'!Q29+'YBN HO'!Q29</f>
        <v/>
      </c>
      <c r="R29" s="37">
        <f>'ABA'!R29+'BK'!R29+'BW'!R29+'CED'!R29+'HAB'!R29+'HB'!R29+'OD'!R29+'HDN'!R29+'KIN'!R29+'LE'!R29+'MER'!R29+'NDN'!R29+'SALT'!R29+'SDN'!R29+'SST'!R29+'WH'!R29+'FH'!R29+'KNL HO'!R29+'CCL HO'!R29+'YBHN HO'!R29+'YBN HO'!R29</f>
        <v/>
      </c>
      <c r="S29" s="37">
        <f>'ABA'!S29+'BK'!S29+'BW'!S29+'CED'!S29+'HAB'!S29+'HB'!S29+'OD'!S29+'HDN'!S29+'KIN'!S29+'LE'!S29+'MER'!S29+'NDN'!S29+'SALT'!S29+'SDN'!S29+'SST'!S29+'WH'!S29+'FH'!S29+'KNL HO'!S29+'CCL HO'!S29+'YBHN HO'!S29+'YBN HO'!S29</f>
        <v/>
      </c>
      <c r="T29" s="37">
        <f>'ABA'!T29+'BK'!T29+'BW'!T29+'CED'!T29+'HAB'!T29+'HB'!T29+'OD'!T29+'HDN'!T29+'KIN'!T29+'LE'!T29+'MER'!T29+'NDN'!T29+'SALT'!T29+'SDN'!T29+'SST'!T29+'WH'!T29+'FH'!T29+'KNL HO'!T29+'CCL HO'!T29+'YBHN HO'!T29+'YBN HO'!T29</f>
        <v/>
      </c>
      <c r="U29" s="37">
        <f>'ABA'!U29+'BK'!U29+'BW'!U29+'CED'!U29+'HAB'!U29+'HB'!U29+'OD'!U29+'HDN'!U29+'KIN'!U29+'LE'!U29+'MER'!U29+'NDN'!U29+'SALT'!U29+'SDN'!U29+'SST'!U29+'WH'!U29+'FH'!U29+'KNL HO'!U29+'CCL HO'!U29+'YBHN HO'!U29+'YBN HO'!U29</f>
        <v/>
      </c>
      <c r="V29" s="38">
        <f>'KNL HO'!V29+'CCL GROUP P&amp;L'!V29+'YBHN GROUP P&amp;L'!V29+'YBN Group P&amp;L'!V29+'HAB'!V29+'Moe2 P&amp;L'!V29</f>
        <v/>
      </c>
      <c r="W29" s="38">
        <f>'KNL HO'!W29+'CCL GROUP P&amp;L'!W29+'YBHN GROUP P&amp;L'!W29+'YBN Group P&amp;L'!W29+'HAB'!W29+'Moe2 P&amp;L'!W29</f>
        <v/>
      </c>
      <c r="X29" s="38">
        <f>'KNL HO'!X29+'CCL GROUP P&amp;L'!X29+'YBHN GROUP P&amp;L'!X29+'YBN Group P&amp;L'!X29+'HAB'!X29+'Moe2 P&amp;L'!X29</f>
        <v/>
      </c>
      <c r="Y29" s="38">
        <f>'KNL HO'!Y29+'CCL GROUP P&amp;L'!Y29+'YBHN GROUP P&amp;L'!Y29+'YBN Group P&amp;L'!Y29+'HAB'!Y29+'Moe2 P&amp;L'!Y29</f>
        <v/>
      </c>
      <c r="Z29" s="38">
        <f>'KNL HO'!Z29+'CCL GROUP P&amp;L'!Z29+'YBHN GROUP P&amp;L'!Z29+'YBN Group P&amp;L'!Z29+'HAB'!Z29+'Moe2 P&amp;L'!Z29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8" t="n"/>
      <c r="AJ29" s="36">
        <f>SUM(E29:Q29)-$N29</f>
        <v/>
      </c>
      <c r="AK29" s="36">
        <f>SUM(H29:T29)-$N29</f>
        <v/>
      </c>
      <c r="AL29" s="36">
        <f>SUM(K29:W29)-$N29</f>
        <v/>
      </c>
      <c r="AM29" s="36">
        <f>SUM(N29:Z29)-$N29</f>
        <v/>
      </c>
      <c r="AN29" s="40" t="n"/>
      <c r="AO29" s="92">
        <f>SUM(AC29:AE29)+SUM(R29:Z29)</f>
        <v/>
      </c>
      <c r="AP29" s="92">
        <f>SUM(AC29:AH29)+SUM(U29:Z29)</f>
        <v/>
      </c>
    </row>
    <row r="30">
      <c r="A30" s="34" t="inlineStr">
        <is>
          <t>Nursery Stationery</t>
        </is>
      </c>
      <c r="B30" s="35" t="n">
        <v>905.8899999999999</v>
      </c>
      <c r="C30" s="35" t="n">
        <v>604.79</v>
      </c>
      <c r="D30" s="35" t="n">
        <v>401.75</v>
      </c>
      <c r="E30" s="35" t="n">
        <v>311.2400000000001</v>
      </c>
      <c r="F30" s="35" t="n">
        <v>436.3</v>
      </c>
      <c r="G30" s="35" t="n">
        <v>472.72</v>
      </c>
      <c r="H30" s="35" t="n">
        <v>1053.14</v>
      </c>
      <c r="I30" s="35" t="n">
        <v>628.5100000000001</v>
      </c>
      <c r="J30" s="35" t="n">
        <v>630.03</v>
      </c>
      <c r="K30" s="35" t="n">
        <v>554.97</v>
      </c>
      <c r="L30" s="35" t="n">
        <v>806.9100000000001</v>
      </c>
      <c r="M30" s="35" t="n">
        <v>463.1799999999999</v>
      </c>
      <c r="N30" s="36">
        <f>SUM(B30:M30)</f>
        <v/>
      </c>
      <c r="O30" s="37">
        <f>'ABA'!O30+'BK'!O30+'BW'!O30+'CED'!O30+'HAB'!O30+'HB'!O30+'OD'!O30+'HDN'!O30+'KIN'!O30+'LE'!O30+'MER'!O30+'NDN'!O30+'SALT'!O30+'SDN'!O30+'SST'!O30+'WH'!O30+'FH'!O30+'KNL HO'!O30+'CCL HO'!O30+'YBHN HO'!O30+'YBN HO'!O30</f>
        <v/>
      </c>
      <c r="P30" s="37">
        <f>'ABA'!P30+'BK'!P30+'BW'!P30+'CED'!P30+'HAB'!P30+'HB'!P30+'OD'!P30+'HDN'!P30+'KIN'!P30+'LE'!P30+'MER'!P30+'NDN'!P30+'SALT'!P30+'SDN'!P30+'SST'!P30+'WH'!P30+'FH'!P30+'KNL HO'!P30+'CCL HO'!P30+'YBHN HO'!P30+'YBN HO'!P30</f>
        <v/>
      </c>
      <c r="Q30" s="37">
        <f>'ABA'!Q30+'BK'!Q30+'BW'!Q30+'CED'!Q30+'HAB'!Q30+'HB'!Q30+'OD'!Q30+'HDN'!Q30+'KIN'!Q30+'LE'!Q30+'MER'!Q30+'NDN'!Q30+'SALT'!Q30+'SDN'!Q30+'SST'!Q30+'WH'!Q30+'FH'!Q30+'KNL HO'!Q30+'CCL HO'!Q30+'YBHN HO'!Q30+'YBN HO'!Q30</f>
        <v/>
      </c>
      <c r="R30" s="37">
        <f>'ABA'!R30+'BK'!R30+'BW'!R30+'CED'!R30+'HAB'!R30+'HB'!R30+'OD'!R30+'HDN'!R30+'KIN'!R30+'LE'!R30+'MER'!R30+'NDN'!R30+'SALT'!R30+'SDN'!R30+'SST'!R30+'WH'!R30+'FH'!R30+'KNL HO'!R30+'CCL HO'!R30+'YBHN HO'!R30+'YBN HO'!R30</f>
        <v/>
      </c>
      <c r="S30" s="37">
        <f>'ABA'!S30+'BK'!S30+'BW'!S30+'CED'!S30+'HAB'!S30+'HB'!S30+'OD'!S30+'HDN'!S30+'KIN'!S30+'LE'!S30+'MER'!S30+'NDN'!S30+'SALT'!S30+'SDN'!S30+'SST'!S30+'WH'!S30+'FH'!S30+'KNL HO'!S30+'CCL HO'!S30+'YBHN HO'!S30+'YBN HO'!S30</f>
        <v/>
      </c>
      <c r="T30" s="37">
        <f>'ABA'!T30+'BK'!T30+'BW'!T30+'CED'!T30+'HAB'!T30+'HB'!T30+'OD'!T30+'HDN'!T30+'KIN'!T30+'LE'!T30+'MER'!T30+'NDN'!T30+'SALT'!T30+'SDN'!T30+'SST'!T30+'WH'!T30+'FH'!T30+'KNL HO'!T30+'CCL HO'!T30+'YBHN HO'!T30+'YBN HO'!T30</f>
        <v/>
      </c>
      <c r="U30" s="37">
        <f>'ABA'!U30+'BK'!U30+'BW'!U30+'CED'!U30+'HAB'!U30+'HB'!U30+'OD'!U30+'HDN'!U30+'KIN'!U30+'LE'!U30+'MER'!U30+'NDN'!U30+'SALT'!U30+'SDN'!U30+'SST'!U30+'WH'!U30+'FH'!U30+'KNL HO'!U30+'CCL HO'!U30+'YBHN HO'!U30+'YBN HO'!U30</f>
        <v/>
      </c>
      <c r="V30" s="38">
        <f>'KNL HO'!V30+'CCL GROUP P&amp;L'!V30+'YBHN GROUP P&amp;L'!V30+'YBN Group P&amp;L'!V30+'HAB'!V30+'Moe2 P&amp;L'!V30</f>
        <v/>
      </c>
      <c r="W30" s="38">
        <f>'KNL HO'!W30+'CCL GROUP P&amp;L'!W30+'YBHN GROUP P&amp;L'!W30+'YBN Group P&amp;L'!W30+'HAB'!W30+'Moe2 P&amp;L'!W30</f>
        <v/>
      </c>
      <c r="X30" s="38">
        <f>'KNL HO'!X30+'CCL GROUP P&amp;L'!X30+'YBHN GROUP P&amp;L'!X30+'YBN Group P&amp;L'!X30+'HAB'!X30+'Moe2 P&amp;L'!X30</f>
        <v/>
      </c>
      <c r="Y30" s="38">
        <f>'KNL HO'!Y30+'CCL GROUP P&amp;L'!Y30+'YBHN GROUP P&amp;L'!Y30+'YBN Group P&amp;L'!Y30+'HAB'!Y30+'Moe2 P&amp;L'!Y30</f>
        <v/>
      </c>
      <c r="Z30" s="38">
        <f>'KNL HO'!Z30+'CCL GROUP P&amp;L'!Z30+'YBHN GROUP P&amp;L'!Z30+'YBN Group P&amp;L'!Z30+'HAB'!Z30+'Moe2 P&amp;L'!Z30</f>
        <v/>
      </c>
      <c r="AA30" s="36">
        <f>SUM(O30:U30)</f>
        <v/>
      </c>
      <c r="AB30" s="36">
        <f>SUM(O30:Z30)</f>
        <v/>
      </c>
      <c r="AC30" s="38">
        <f>'KNL HO'!AC30+'CCL GROUP P&amp;L'!AC30+'YBHN GROUP P&amp;L'!AC30+'YBN Group P&amp;L'!AC30+'HAB'!AC30+'Moe2 P&amp;L'!AC30</f>
        <v/>
      </c>
      <c r="AD30" s="38">
        <f>'KNL HO'!AD30+'CCL GROUP P&amp;L'!AD30+'YBHN GROUP P&amp;L'!AD30+'YBN Group P&amp;L'!AD30+'HAB'!AD30+'Moe2 P&amp;L'!AD30</f>
        <v/>
      </c>
      <c r="AE30" s="38">
        <f>'KNL HO'!AE30+'CCL GROUP P&amp;L'!AE30+'YBHN GROUP P&amp;L'!AE30+'YBN Group P&amp;L'!AE30+'HAB'!AE30+'Moe2 P&amp;L'!AE30</f>
        <v/>
      </c>
      <c r="AF30" s="38">
        <f>'KNL HO'!AF30+'CCL GROUP P&amp;L'!AF30+'YBHN GROUP P&amp;L'!AF30+'YBN Group P&amp;L'!AF30+'HAB'!AF30+'Moe2 P&amp;L'!AF30</f>
        <v/>
      </c>
      <c r="AG30" s="38">
        <f>'KNL HO'!AG30+'CCL GROUP P&amp;L'!AG30+'YBHN GROUP P&amp;L'!AG30+'YBN Group P&amp;L'!AG30+'HAB'!AG30+'Moe2 P&amp;L'!AG30</f>
        <v/>
      </c>
      <c r="AH30" s="38">
        <f>'KNL HO'!AH30+'CCL GROUP P&amp;L'!AH30+'YBHN GROUP P&amp;L'!AH30+'YBN Group P&amp;L'!AH30+'HAB'!AH30+'Moe2 P&amp;L'!AH30</f>
        <v/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6">
        <f>SUM(N30:Z30)-$N30</f>
        <v/>
      </c>
      <c r="AN30" s="40" t="n"/>
      <c r="AO30" s="92">
        <f>SUM(AC30:AE30)+SUM(R30:Z30)</f>
        <v/>
      </c>
      <c r="AP30" s="92">
        <f>SUM(AC30:AH30)+SUM(U30:Z30)</f>
        <v/>
      </c>
    </row>
    <row r="31">
      <c r="A31" s="34" t="inlineStr">
        <is>
          <t>Nursery Equipment</t>
        </is>
      </c>
      <c r="B31" s="35" t="n">
        <v>1805.54</v>
      </c>
      <c r="C31" s="35" t="n">
        <v>2396.420000000001</v>
      </c>
      <c r="D31" s="35" t="n">
        <v>1848.84</v>
      </c>
      <c r="E31" s="35" t="n">
        <v>937.2900000000001</v>
      </c>
      <c r="F31" s="35" t="n">
        <v>2885.59</v>
      </c>
      <c r="G31" s="35" t="n">
        <v>2723.09</v>
      </c>
      <c r="H31" s="35" t="n">
        <v>1841.28</v>
      </c>
      <c r="I31" s="35" t="n">
        <v>1245.73</v>
      </c>
      <c r="J31" s="35" t="n">
        <v>2141.08</v>
      </c>
      <c r="K31" s="35" t="n">
        <v>3949.709999999999</v>
      </c>
      <c r="L31" s="35" t="n">
        <v>2043.07</v>
      </c>
      <c r="M31" s="35" t="n">
        <v>1155.26</v>
      </c>
      <c r="N31" s="36">
        <f>SUM(B31:M31)</f>
        <v/>
      </c>
      <c r="O31" s="37">
        <f>'ABA'!O31+'BK'!O31+'BW'!O31+'CED'!O31+'HAB'!O31+'HB'!O31+'OD'!O31+'HDN'!O31+'KIN'!O31+'LE'!O31+'MER'!O31+'NDN'!O31+'SALT'!O31+'SDN'!O31+'SST'!O31+'WH'!O31+'FH'!O31+'KNL HO'!O31+'CCL HO'!O31+'YBHN HO'!O31+'YBN HO'!O31</f>
        <v/>
      </c>
      <c r="P31" s="37">
        <f>'ABA'!P31+'BK'!P31+'BW'!P31+'CED'!P31+'HAB'!P31+'HB'!P31+'OD'!P31+'HDN'!P31+'KIN'!P31+'LE'!P31+'MER'!P31+'NDN'!P31+'SALT'!P31+'SDN'!P31+'SST'!P31+'WH'!P31+'FH'!P31+'KNL HO'!P31+'CCL HO'!P31+'YBHN HO'!P31+'YBN HO'!P31</f>
        <v/>
      </c>
      <c r="Q31" s="37">
        <f>'ABA'!Q31+'BK'!Q31+'BW'!Q31+'CED'!Q31+'HAB'!Q31+'HB'!Q31+'OD'!Q31+'HDN'!Q31+'KIN'!Q31+'LE'!Q31+'MER'!Q31+'NDN'!Q31+'SALT'!Q31+'SDN'!Q31+'SST'!Q31+'WH'!Q31+'FH'!Q31+'KNL HO'!Q31+'CCL HO'!Q31+'YBHN HO'!Q31+'YBN HO'!Q31</f>
        <v/>
      </c>
      <c r="R31" s="37">
        <f>'ABA'!R31+'BK'!R31+'BW'!R31+'CED'!R31+'HAB'!R31+'HB'!R31+'OD'!R31+'HDN'!R31+'KIN'!R31+'LE'!R31+'MER'!R31+'NDN'!R31+'SALT'!R31+'SDN'!R31+'SST'!R31+'WH'!R31+'FH'!R31+'KNL HO'!R31+'CCL HO'!R31+'YBHN HO'!R31+'YBN HO'!R31</f>
        <v/>
      </c>
      <c r="S31" s="37">
        <f>'ABA'!S31+'BK'!S31+'BW'!S31+'CED'!S31+'HAB'!S31+'HB'!S31+'OD'!S31+'HDN'!S31+'KIN'!S31+'LE'!S31+'MER'!S31+'NDN'!S31+'SALT'!S31+'SDN'!S31+'SST'!S31+'WH'!S31+'FH'!S31+'KNL HO'!S31+'CCL HO'!S31+'YBHN HO'!S31+'YBN HO'!S31</f>
        <v/>
      </c>
      <c r="T31" s="37">
        <f>'ABA'!T31+'BK'!T31+'BW'!T31+'CED'!T31+'HAB'!T31+'HB'!T31+'OD'!T31+'HDN'!T31+'KIN'!T31+'LE'!T31+'MER'!T31+'NDN'!T31+'SALT'!T31+'SDN'!T31+'SST'!T31+'WH'!T31+'FH'!T31+'KNL HO'!T31+'CCL HO'!T31+'YBHN HO'!T31+'YBN HO'!T31</f>
        <v/>
      </c>
      <c r="U31" s="37">
        <f>'ABA'!U31+'BK'!U31+'BW'!U31+'CED'!U31+'HAB'!U31+'HB'!U31+'OD'!U31+'HDN'!U31+'KIN'!U31+'LE'!U31+'MER'!U31+'NDN'!U31+'SALT'!U31+'SDN'!U31+'SST'!U31+'WH'!U31+'FH'!U31+'KNL HO'!U31+'CCL HO'!U31+'YBHN HO'!U31+'YBN HO'!U31</f>
        <v/>
      </c>
      <c r="V31" s="38">
        <f>'KNL HO'!V31+'CCL GROUP P&amp;L'!V31+'YBHN GROUP P&amp;L'!V31+'YBN Group P&amp;L'!V31+'HAB'!V31+'Moe2 P&amp;L'!V31</f>
        <v/>
      </c>
      <c r="W31" s="38">
        <f>'KNL HO'!W31+'CCL GROUP P&amp;L'!W31+'YBHN GROUP P&amp;L'!W31+'YBN Group P&amp;L'!W31+'HAB'!W31+'Moe2 P&amp;L'!W31</f>
        <v/>
      </c>
      <c r="X31" s="38">
        <f>'KNL HO'!X31+'CCL GROUP P&amp;L'!X31+'YBHN GROUP P&amp;L'!X31+'YBN Group P&amp;L'!X31+'HAB'!X31+'Moe2 P&amp;L'!X31</f>
        <v/>
      </c>
      <c r="Y31" s="38">
        <f>'KNL HO'!Y31+'CCL GROUP P&amp;L'!Y31+'YBHN GROUP P&amp;L'!Y31+'YBN Group P&amp;L'!Y31+'HAB'!Y31+'Moe2 P&amp;L'!Y31</f>
        <v/>
      </c>
      <c r="Z31" s="38">
        <f>'KNL HO'!Z31+'CCL GROUP P&amp;L'!Z31+'YBHN GROUP P&amp;L'!Z31+'YBN Group P&amp;L'!Z31+'HAB'!Z31+'Moe2 P&amp;L'!Z31</f>
        <v/>
      </c>
      <c r="AA31" s="36">
        <f>SUM(O31:U31)</f>
        <v/>
      </c>
      <c r="AB31" s="36">
        <f>SUM(O31:Z31)</f>
        <v/>
      </c>
      <c r="AC31" s="38">
        <f>'KNL HO'!AC31+'CCL GROUP P&amp;L'!AC31+'YBHN GROUP P&amp;L'!AC31+'YBN Group P&amp;L'!AC31+'HAB'!AC31+'Moe2 P&amp;L'!AC31</f>
        <v/>
      </c>
      <c r="AD31" s="38">
        <f>'KNL HO'!AD31+'CCL GROUP P&amp;L'!AD31+'YBHN GROUP P&amp;L'!AD31+'YBN Group P&amp;L'!AD31+'HAB'!AD31+'Moe2 P&amp;L'!AD31</f>
        <v/>
      </c>
      <c r="AE31" s="38">
        <f>'KNL HO'!AE31+'CCL GROUP P&amp;L'!AE31+'YBHN GROUP P&amp;L'!AE31+'YBN Group P&amp;L'!AE31+'HAB'!AE31+'Moe2 P&amp;L'!AE31</f>
        <v/>
      </c>
      <c r="AF31" s="38">
        <f>'KNL HO'!AF31+'CCL GROUP P&amp;L'!AF31+'YBHN GROUP P&amp;L'!AF31+'YBN Group P&amp;L'!AF31+'HAB'!AF31+'Moe2 P&amp;L'!AF31</f>
        <v/>
      </c>
      <c r="AG31" s="38">
        <f>'KNL HO'!AG31+'CCL GROUP P&amp;L'!AG31+'YBHN GROUP P&amp;L'!AG31+'YBN Group P&amp;L'!AG31+'HAB'!AG31+'Moe2 P&amp;L'!AG31</f>
        <v/>
      </c>
      <c r="AH31" s="38">
        <f>'KNL HO'!AH31+'CCL GROUP P&amp;L'!AH31+'YBHN GROUP P&amp;L'!AH31+'YBN Group P&amp;L'!AH31+'HAB'!AH31+'Moe2 P&amp;L'!AH31</f>
        <v/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6">
        <f>SUM(N31:Z31)-$N31</f>
        <v/>
      </c>
      <c r="AN31" s="40" t="n"/>
      <c r="AO31" s="92">
        <f>SUM(AC31:AE31)+SUM(R31:Z31)</f>
        <v/>
      </c>
      <c r="AP31" s="92">
        <f>SUM(AC31:AH31)+SUM(U31:Z31)</f>
        <v/>
      </c>
    </row>
    <row r="32">
      <c r="A32" s="34" t="inlineStr">
        <is>
          <t>Nursery Consumables</t>
        </is>
      </c>
      <c r="B32" s="35" t="n">
        <v>2520.27</v>
      </c>
      <c r="C32" s="35" t="n">
        <v>2090.12</v>
      </c>
      <c r="D32" s="35" t="n">
        <v>2268.76</v>
      </c>
      <c r="E32" s="35" t="n">
        <v>2641.3</v>
      </c>
      <c r="F32" s="35" t="n">
        <v>3217.589999999999</v>
      </c>
      <c r="G32" s="35" t="n">
        <v>3269.62</v>
      </c>
      <c r="H32" s="35" t="n">
        <v>3287.580000000001</v>
      </c>
      <c r="I32" s="35" t="n">
        <v>2952.940000000001</v>
      </c>
      <c r="J32" s="35" t="n">
        <v>2387.23</v>
      </c>
      <c r="K32" s="35" t="n">
        <v>2719.25</v>
      </c>
      <c r="L32" s="35" t="n">
        <v>3359.61</v>
      </c>
      <c r="M32" s="35" t="n">
        <v>4011.29</v>
      </c>
      <c r="N32" s="36">
        <f>SUM(B32:M32)</f>
        <v/>
      </c>
      <c r="O32" s="37">
        <f>'ABA'!O32+'BK'!O32+'BW'!O32+'CED'!O32+'HAB'!O32+'HB'!O32+'OD'!O32+'HDN'!O32+'KIN'!O32+'LE'!O32+'MER'!O32+'NDN'!O32+'SALT'!O32+'SDN'!O32+'SST'!O32+'WH'!O32+'FH'!O32+'KNL HO'!O32+'CCL HO'!O32+'YBHN HO'!O32+'YBN HO'!O32</f>
        <v/>
      </c>
      <c r="P32" s="37">
        <f>'ABA'!P32+'BK'!P32+'BW'!P32+'CED'!P32+'HAB'!P32+'HB'!P32+'OD'!P32+'HDN'!P32+'KIN'!P32+'LE'!P32+'MER'!P32+'NDN'!P32+'SALT'!P32+'SDN'!P32+'SST'!P32+'WH'!P32+'FH'!P32+'KNL HO'!P32+'CCL HO'!P32+'YBHN HO'!P32+'YBN HO'!P32</f>
        <v/>
      </c>
      <c r="Q32" s="37">
        <f>'ABA'!Q32+'BK'!Q32+'BW'!Q32+'CED'!Q32+'HAB'!Q32+'HB'!Q32+'OD'!Q32+'HDN'!Q32+'KIN'!Q32+'LE'!Q32+'MER'!Q32+'NDN'!Q32+'SALT'!Q32+'SDN'!Q32+'SST'!Q32+'WH'!Q32+'FH'!Q32+'KNL HO'!Q32+'CCL HO'!Q32+'YBHN HO'!Q32+'YBN HO'!Q32</f>
        <v/>
      </c>
      <c r="R32" s="37">
        <f>'ABA'!R32+'BK'!R32+'BW'!R32+'CED'!R32+'HAB'!R32+'HB'!R32+'OD'!R32+'HDN'!R32+'KIN'!R32+'LE'!R32+'MER'!R32+'NDN'!R32+'SALT'!R32+'SDN'!R32+'SST'!R32+'WH'!R32+'FH'!R32+'KNL HO'!R32+'CCL HO'!R32+'YBHN HO'!R32+'YBN HO'!R32</f>
        <v/>
      </c>
      <c r="S32" s="37">
        <f>'ABA'!S32+'BK'!S32+'BW'!S32+'CED'!S32+'HAB'!S32+'HB'!S32+'OD'!S32+'HDN'!S32+'KIN'!S32+'LE'!S32+'MER'!S32+'NDN'!S32+'SALT'!S32+'SDN'!S32+'SST'!S32+'WH'!S32+'FH'!S32+'KNL HO'!S32+'CCL HO'!S32+'YBHN HO'!S32+'YBN HO'!S32</f>
        <v/>
      </c>
      <c r="T32" s="37">
        <f>'ABA'!T32+'BK'!T32+'BW'!T32+'CED'!T32+'HAB'!T32+'HB'!T32+'OD'!T32+'HDN'!T32+'KIN'!T32+'LE'!T32+'MER'!T32+'NDN'!T32+'SALT'!T32+'SDN'!T32+'SST'!T32+'WH'!T32+'FH'!T32+'KNL HO'!T32+'CCL HO'!T32+'YBHN HO'!T32+'YBN HO'!T32</f>
        <v/>
      </c>
      <c r="U32" s="37">
        <f>'ABA'!U32+'BK'!U32+'BW'!U32+'CED'!U32+'HAB'!U32+'HB'!U32+'OD'!U32+'HDN'!U32+'KIN'!U32+'LE'!U32+'MER'!U32+'NDN'!U32+'SALT'!U32+'SDN'!U32+'SST'!U32+'WH'!U32+'FH'!U32+'KNL HO'!U32+'CCL HO'!U32+'YBHN HO'!U32+'YBN HO'!U32</f>
        <v/>
      </c>
      <c r="V32" s="38">
        <f>'KNL HO'!V32+'CCL GROUP P&amp;L'!V32+'YBHN GROUP P&amp;L'!V32+'YBN Group P&amp;L'!V32+'HAB'!V32+'Moe2 P&amp;L'!V32</f>
        <v/>
      </c>
      <c r="W32" s="38">
        <f>'KNL HO'!W32+'CCL GROUP P&amp;L'!W32+'YBHN GROUP P&amp;L'!W32+'YBN Group P&amp;L'!W32+'HAB'!W32+'Moe2 P&amp;L'!W32</f>
        <v/>
      </c>
      <c r="X32" s="38">
        <f>'KNL HO'!X32+'CCL GROUP P&amp;L'!X32+'YBHN GROUP P&amp;L'!X32+'YBN Group P&amp;L'!X32+'HAB'!X32+'Moe2 P&amp;L'!X32</f>
        <v/>
      </c>
      <c r="Y32" s="38">
        <f>'KNL HO'!Y32+'CCL GROUP P&amp;L'!Y32+'YBHN GROUP P&amp;L'!Y32+'YBN Group P&amp;L'!Y32+'HAB'!Y32+'Moe2 P&amp;L'!Y32</f>
        <v/>
      </c>
      <c r="Z32" s="38">
        <f>'KNL HO'!Z32+'CCL GROUP P&amp;L'!Z32+'YBHN GROUP P&amp;L'!Z32+'YBN Group P&amp;L'!Z32+'HAB'!Z32+'Moe2 P&amp;L'!Z32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8" t="n"/>
      <c r="AJ32" s="36">
        <f>SUM(E32:Q32)-$N32</f>
        <v/>
      </c>
      <c r="AK32" s="36">
        <f>SUM(H32:T32)-$N32</f>
        <v/>
      </c>
      <c r="AL32" s="36">
        <f>SUM(K32:W32)-$N32</f>
        <v/>
      </c>
      <c r="AM32" s="36">
        <f>SUM(N32:Z32)-$N32</f>
        <v/>
      </c>
      <c r="AN32" s="40" t="n"/>
      <c r="AO32" s="92">
        <f>SUM(AC32:AE32)+SUM(R32:Z32)</f>
        <v/>
      </c>
      <c r="AP32" s="92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'ABA'!O33+'BK'!O33+'BW'!O33+'CED'!O33+'HAB'!O33+'HB'!O33+'OD'!O33+'HDN'!O33+'KIN'!O33+'LE'!O33+'MER'!O33+'NDN'!O33+'SALT'!O33+'SDN'!O33+'SST'!O33+'WH'!O33+'FH'!O33+'KNL HO'!O33+'CCL HO'!O33+'YBHN HO'!O33+'YBN HO'!O33</f>
        <v/>
      </c>
      <c r="P33" s="37">
        <f>'ABA'!P33+'BK'!P33+'BW'!P33+'CED'!P33+'HAB'!P33+'HB'!P33+'OD'!P33+'HDN'!P33+'KIN'!P33+'LE'!P33+'MER'!P33+'NDN'!P33+'SALT'!P33+'SDN'!P33+'SST'!P33+'WH'!P33+'FH'!P33+'KNL HO'!P33+'CCL HO'!P33+'YBHN HO'!P33+'YBN HO'!P33</f>
        <v/>
      </c>
      <c r="Q33" s="37">
        <f>'ABA'!Q33+'BK'!Q33+'BW'!Q33+'CED'!Q33+'HAB'!Q33+'HB'!Q33+'OD'!Q33+'HDN'!Q33+'KIN'!Q33+'LE'!Q33+'MER'!Q33+'NDN'!Q33+'SALT'!Q33+'SDN'!Q33+'SST'!Q33+'WH'!Q33+'FH'!Q33+'KNL HO'!Q33+'CCL HO'!Q33+'YBHN HO'!Q33+'YBN HO'!Q33</f>
        <v/>
      </c>
      <c r="R33" s="37">
        <f>'ABA'!R33+'BK'!R33+'BW'!R33+'CED'!R33+'HAB'!R33+'HB'!R33+'OD'!R33+'HDN'!R33+'KIN'!R33+'LE'!R33+'MER'!R33+'NDN'!R33+'SALT'!R33+'SDN'!R33+'SST'!R33+'WH'!R33+'FH'!R33+'KNL HO'!R33+'CCL HO'!R33+'YBHN HO'!R33+'YBN HO'!R33</f>
        <v/>
      </c>
      <c r="S33" s="37">
        <f>'ABA'!S33+'BK'!S33+'BW'!S33+'CED'!S33+'HAB'!S33+'HB'!S33+'OD'!S33+'HDN'!S33+'KIN'!S33+'LE'!S33+'MER'!S33+'NDN'!S33+'SALT'!S33+'SDN'!S33+'SST'!S33+'WH'!S33+'FH'!S33+'KNL HO'!S33+'CCL HO'!S33+'YBHN HO'!S33+'YBN HO'!S33</f>
        <v/>
      </c>
      <c r="T33" s="37">
        <f>'ABA'!T33+'BK'!T33+'BW'!T33+'CED'!T33+'HAB'!T33+'HB'!T33+'OD'!T33+'HDN'!T33+'KIN'!T33+'LE'!T33+'MER'!T33+'NDN'!T33+'SALT'!T33+'SDN'!T33+'SST'!T33+'WH'!T33+'FH'!T33+'KNL HO'!T33+'CCL HO'!T33+'YBHN HO'!T33+'YBN HO'!T33</f>
        <v/>
      </c>
      <c r="U33" s="37">
        <f>'ABA'!U33+'BK'!U33+'BW'!U33+'CED'!U33+'HAB'!U33+'HB'!U33+'OD'!U33+'HDN'!U33+'KIN'!U33+'LE'!U33+'MER'!U33+'NDN'!U33+'SALT'!U33+'SDN'!U33+'SST'!U33+'WH'!U33+'FH'!U33+'KNL HO'!U33+'CCL HO'!U33+'YBHN HO'!U33+'YBN HO'!U33</f>
        <v/>
      </c>
      <c r="V33" s="38">
        <f>'KNL HO'!V33+'CCL GROUP P&amp;L'!V33+'YBHN GROUP P&amp;L'!V33+'YBN Group P&amp;L'!V33+'HAB'!V33+'Moe2 P&amp;L'!V33</f>
        <v/>
      </c>
      <c r="W33" s="38">
        <f>'KNL HO'!W33+'CCL GROUP P&amp;L'!W33+'YBHN GROUP P&amp;L'!W33+'YBN Group P&amp;L'!W33+'HAB'!W33+'Moe2 P&amp;L'!W33</f>
        <v/>
      </c>
      <c r="X33" s="38">
        <f>'KNL HO'!X33+'CCL GROUP P&amp;L'!X33+'YBHN GROUP P&amp;L'!X33+'YBN Group P&amp;L'!X33+'HAB'!X33+'Moe2 P&amp;L'!X33</f>
        <v/>
      </c>
      <c r="Y33" s="38">
        <f>'KNL HO'!Y33+'CCL GROUP P&amp;L'!Y33+'YBHN GROUP P&amp;L'!Y33+'YBN Group P&amp;L'!Y33+'HAB'!Y33+'Moe2 P&amp;L'!Y33</f>
        <v/>
      </c>
      <c r="Z33" s="38">
        <f>'KNL HO'!Z33+'CCL GROUP P&amp;L'!Z33+'YBHN GROUP P&amp;L'!Z33+'YBN Group P&amp;L'!Z33+'HAB'!Z33+'Moe2 P&amp;L'!Z33</f>
        <v/>
      </c>
      <c r="AA33" s="36">
        <f>SUM(O33:U33)</f>
        <v/>
      </c>
      <c r="AB33" s="36">
        <f>SUM(O33:Z33)</f>
        <v/>
      </c>
      <c r="AC33" s="38">
        <f>'KNL HO'!AC33+'CCL GROUP P&amp;L'!AC33+'YBHN GROUP P&amp;L'!AC33+'YBN Group P&amp;L'!AC33+'HAB'!AC33+'Moe2 P&amp;L'!AC33</f>
        <v/>
      </c>
      <c r="AD33" s="38">
        <f>'KNL HO'!AD33+'CCL GROUP P&amp;L'!AD33+'YBHN GROUP P&amp;L'!AD33+'YBN Group P&amp;L'!AD33+'HAB'!AD33+'Moe2 P&amp;L'!AD33</f>
        <v/>
      </c>
      <c r="AE33" s="38">
        <f>'KNL HO'!AE33+'CCL GROUP P&amp;L'!AE33+'YBHN GROUP P&amp;L'!AE33+'YBN Group P&amp;L'!AE33+'HAB'!AE33+'Moe2 P&amp;L'!AE33</f>
        <v/>
      </c>
      <c r="AF33" s="38">
        <f>'KNL HO'!AF33+'CCL GROUP P&amp;L'!AF33+'YBHN GROUP P&amp;L'!AF33+'YBN Group P&amp;L'!AF33+'HAB'!AF33+'Moe2 P&amp;L'!AF33</f>
        <v/>
      </c>
      <c r="AG33" s="38">
        <f>'KNL HO'!AG33+'CCL GROUP P&amp;L'!AG33+'YBHN GROUP P&amp;L'!AG33+'YBN Group P&amp;L'!AG33+'HAB'!AG33+'Moe2 P&amp;L'!AG33</f>
        <v/>
      </c>
      <c r="AH33" s="38">
        <f>'KNL HO'!AH33+'CCL GROUP P&amp;L'!AH33+'YBHN GROUP P&amp;L'!AH33+'YBN Group P&amp;L'!AH33+'HAB'!AH33+'Moe2 P&amp;L'!AH33</f>
        <v/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6">
        <f>SUM(N33:Z33)-$N33</f>
        <v/>
      </c>
      <c r="AN33" s="40" t="n"/>
      <c r="AO33" s="92">
        <f>SUM(AC33:AE33)+SUM(R33:Z33)</f>
        <v/>
      </c>
      <c r="AP33" s="92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35205.68</v>
      </c>
      <c r="C34" s="42" t="n">
        <v>41585.37</v>
      </c>
      <c r="D34" s="42" t="n">
        <v>35688.76</v>
      </c>
      <c r="E34" s="42" t="n">
        <v>30859.64</v>
      </c>
      <c r="F34" s="42" t="n">
        <v>40642.69</v>
      </c>
      <c r="G34" s="42" t="n">
        <v>40290.33000000001</v>
      </c>
      <c r="H34" s="42" t="n">
        <v>38526.12</v>
      </c>
      <c r="I34" s="42" t="n">
        <v>37931.38</v>
      </c>
      <c r="J34" s="42" t="n">
        <v>36694.59000000001</v>
      </c>
      <c r="K34" s="42" t="n">
        <v>39332.78</v>
      </c>
      <c r="L34" s="42" t="n">
        <v>36711.58</v>
      </c>
      <c r="M34" s="42" t="n">
        <v>28826.44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SUM(O34:U34)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93">
        <f>SUM(AO27:AO33)</f>
        <v/>
      </c>
      <c r="AP34" s="9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 t="n"/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SUM(O35:U35)</f>
        <v/>
      </c>
      <c r="AB35" s="36" t="n"/>
      <c r="AC35" s="32">
        <f>'KNL HO'!AC35+'CCL GROUP P&amp;L'!AC35+'YBHN GROUP P&amp;L'!AC35+'YBN Group P&amp;L'!AC35+'HAB'!AC35+'Moe2 P&amp;L'!AC35</f>
        <v/>
      </c>
      <c r="AD35" s="32">
        <f>'KNL HO'!AD35+'CCL GROUP P&amp;L'!AD35+'YBHN GROUP P&amp;L'!AD35+'YBN Group P&amp;L'!AD35+'HAB'!AD35+'Moe2 P&amp;L'!AD35</f>
        <v/>
      </c>
      <c r="AE35" s="32">
        <f>'KNL HO'!AE35+'CCL GROUP P&amp;L'!AE35+'YBHN GROUP P&amp;L'!AE35+'YBN Group P&amp;L'!AE35+'HAB'!AE35+'Moe2 P&amp;L'!AE35</f>
        <v/>
      </c>
      <c r="AF35" s="32">
        <f>'KNL HO'!AF35+'CCL GROUP P&amp;L'!AF35+'YBHN GROUP P&amp;L'!AF35+'YBN Group P&amp;L'!AF35+'HAB'!AF35+'Moe2 P&amp;L'!AF35</f>
        <v/>
      </c>
      <c r="AG35" s="32">
        <f>'KNL HO'!AG35+'CCL GROUP P&amp;L'!AG35+'YBHN GROUP P&amp;L'!AG35+'YBN Group P&amp;L'!AG35+'HAB'!AG35+'Moe2 P&amp;L'!AG35</f>
        <v/>
      </c>
      <c r="AH35" s="32">
        <f>'KNL HO'!AH35+'CCL GROUP P&amp;L'!AH35+'YBHN GROUP P&amp;L'!AH35+'YBN Group P&amp;L'!AH35+'HAB'!AH35+'Moe2 P&amp;L'!AH35</f>
        <v/>
      </c>
      <c r="AI35" s="8" t="n"/>
      <c r="AJ35" s="36" t="n"/>
      <c r="AK35" s="36" t="n"/>
      <c r="AL35" s="36" t="n"/>
      <c r="AM35" s="36" t="n"/>
      <c r="AN35" s="40" t="n"/>
      <c r="AO35" s="92" t="n"/>
      <c r="AP35" s="92" t="n"/>
    </row>
    <row r="36">
      <c r="A36" s="34" t="inlineStr">
        <is>
          <t>Rent</t>
        </is>
      </c>
      <c r="B36" s="35" t="n">
        <v>10898</v>
      </c>
      <c r="C36" s="35" t="n">
        <v>10898</v>
      </c>
      <c r="D36" s="35" t="n">
        <v>10898</v>
      </c>
      <c r="E36" s="35" t="n">
        <v>10898</v>
      </c>
      <c r="F36" s="35" t="n">
        <v>10897.99</v>
      </c>
      <c r="G36" s="35" t="n">
        <v>10898</v>
      </c>
      <c r="H36" s="35" t="n">
        <v>10898.02</v>
      </c>
      <c r="I36" s="35" t="n">
        <v>10898</v>
      </c>
      <c r="J36" s="35" t="n">
        <v>10897.99</v>
      </c>
      <c r="K36" s="35" t="n">
        <v>10898</v>
      </c>
      <c r="L36" s="35" t="n">
        <v>10898</v>
      </c>
      <c r="M36" s="35" t="n">
        <v>10898</v>
      </c>
      <c r="N36" s="36">
        <f>SUM(B36:M36)</f>
        <v/>
      </c>
      <c r="O36" s="37">
        <f>'ABA'!O36+'BK'!O36+'BW'!O36+'CED'!O36+'HAB'!O36+'HB'!O36+'OD'!O36+'HDN'!O36+'KIN'!O36+'LE'!O36+'MER'!O36+'NDN'!O36+'SALT'!O36+'SDN'!O36+'SST'!O36+'WH'!O36+'FH'!O36+'KNL HO'!O36+'CCL HO'!O36+'YBHN HO'!O36+'YBN HO'!O36</f>
        <v/>
      </c>
      <c r="P36" s="37">
        <f>'ABA'!P36+'BK'!P36+'BW'!P36+'CED'!P36+'HAB'!P36+'HB'!P36+'OD'!P36+'HDN'!P36+'KIN'!P36+'LE'!P36+'MER'!P36+'NDN'!P36+'SALT'!P36+'SDN'!P36+'SST'!P36+'WH'!P36+'FH'!P36+'KNL HO'!P36+'CCL HO'!P36+'YBHN HO'!P36+'YBN HO'!P36</f>
        <v/>
      </c>
      <c r="Q36" s="37">
        <f>'ABA'!Q36+'BK'!Q36+'BW'!Q36+'CED'!Q36+'HAB'!Q36+'HB'!Q36+'OD'!Q36+'HDN'!Q36+'KIN'!Q36+'LE'!Q36+'MER'!Q36+'NDN'!Q36+'SALT'!Q36+'SDN'!Q36+'SST'!Q36+'WH'!Q36+'FH'!Q36+'KNL HO'!Q36+'CCL HO'!Q36+'YBHN HO'!Q36+'YBN HO'!Q36</f>
        <v/>
      </c>
      <c r="R36" s="37">
        <f>'ABA'!R36+'BK'!R36+'BW'!R36+'CED'!R36+'HAB'!R36+'HB'!R36+'OD'!R36+'HDN'!R36+'KIN'!R36+'LE'!R36+'MER'!R36+'NDN'!R36+'SALT'!R36+'SDN'!R36+'SST'!R36+'WH'!R36+'FH'!R36+'KNL HO'!R36+'CCL HO'!R36+'YBHN HO'!R36+'YBN HO'!R36</f>
        <v/>
      </c>
      <c r="S36" s="37">
        <f>'ABA'!S36+'BK'!S36+'BW'!S36+'CED'!S36+'HAB'!S36+'HB'!S36+'OD'!S36+'HDN'!S36+'KIN'!S36+'LE'!S36+'MER'!S36+'NDN'!S36+'SALT'!S36+'SDN'!S36+'SST'!S36+'WH'!S36+'FH'!S36+'KNL HO'!S36+'CCL HO'!S36+'YBHN HO'!S36+'YBN HO'!S36</f>
        <v/>
      </c>
      <c r="T36" s="37">
        <f>'ABA'!T36+'BK'!T36+'BW'!T36+'CED'!T36+'HAB'!T36+'HB'!T36+'OD'!T36+'HDN'!T36+'KIN'!T36+'LE'!T36+'MER'!T36+'NDN'!T36+'SALT'!T36+'SDN'!T36+'SST'!T36+'WH'!T36+'FH'!T36+'KNL HO'!T36+'CCL HO'!T36+'YBHN HO'!T36+'YBN HO'!T36</f>
        <v/>
      </c>
      <c r="U36" s="37">
        <f>'ABA'!U36+'BK'!U36+'BW'!U36+'CED'!U36+'HAB'!U36+'HB'!U36+'OD'!U36+'HDN'!U36+'KIN'!U36+'LE'!U36+'MER'!U36+'NDN'!U36+'SALT'!U36+'SDN'!U36+'SST'!U36+'WH'!U36+'FH'!U36+'KNL HO'!U36+'CCL HO'!U36+'YBHN HO'!U36+'YBN HO'!U36</f>
        <v/>
      </c>
      <c r="V36" s="38">
        <f>'KNL HO'!V36+'CCL GROUP P&amp;L'!V36+'YBHN GROUP P&amp;L'!V36+'YBN Group P&amp;L'!V36+'HAB'!V36+'Moe2 P&amp;L'!V36</f>
        <v/>
      </c>
      <c r="W36" s="38">
        <f>'KNL HO'!W36+'CCL GROUP P&amp;L'!W36+'YBHN GROUP P&amp;L'!W36+'YBN Group P&amp;L'!W36+'HAB'!W36+'Moe2 P&amp;L'!W36</f>
        <v/>
      </c>
      <c r="X36" s="38">
        <f>'KNL HO'!X36+'CCL GROUP P&amp;L'!X36+'YBHN GROUP P&amp;L'!X36+'YBN Group P&amp;L'!X36+'HAB'!X36+'Moe2 P&amp;L'!X36</f>
        <v/>
      </c>
      <c r="Y36" s="38">
        <f>'KNL HO'!Y36+'CCL GROUP P&amp;L'!Y36+'YBHN GROUP P&amp;L'!Y36+'YBN Group P&amp;L'!Y36+'HAB'!Y36+'Moe2 P&amp;L'!Y36</f>
        <v/>
      </c>
      <c r="Z36" s="38">
        <f>'KNL HO'!Z36+'CCL GROUP P&amp;L'!Z36+'YBHN GROUP P&amp;L'!Z36+'YBN Group P&amp;L'!Z36+'HAB'!Z36+'Moe2 P&amp;L'!Z36</f>
        <v/>
      </c>
      <c r="AA36" s="36">
        <f>SUM(O36:U36)</f>
        <v/>
      </c>
      <c r="AB36" s="36">
        <f>SUM(O36:Z36)</f>
        <v/>
      </c>
      <c r="AC36" s="38">
        <f>'KNL HO'!AC36+'CCL GROUP P&amp;L'!AC36+'YBHN GROUP P&amp;L'!AC36+'YBN Group P&amp;L'!AC36+'HAB'!AC36+'Moe2 P&amp;L'!AC36</f>
        <v/>
      </c>
      <c r="AD36" s="38">
        <f>'KNL HO'!AD36+'CCL GROUP P&amp;L'!AD36+'YBHN GROUP P&amp;L'!AD36+'YBN Group P&amp;L'!AD36+'HAB'!AD36+'Moe2 P&amp;L'!AD36</f>
        <v/>
      </c>
      <c r="AE36" s="38">
        <f>'KNL HO'!AE36+'CCL GROUP P&amp;L'!AE36+'YBHN GROUP P&amp;L'!AE36+'YBN Group P&amp;L'!AE36+'HAB'!AE36+'Moe2 P&amp;L'!AE36</f>
        <v/>
      </c>
      <c r="AF36" s="38">
        <f>'KNL HO'!AF36+'CCL GROUP P&amp;L'!AF36+'YBHN GROUP P&amp;L'!AF36+'YBN Group P&amp;L'!AF36+'HAB'!AF36+'Moe2 P&amp;L'!AF36</f>
        <v/>
      </c>
      <c r="AG36" s="38">
        <f>'KNL HO'!AG36+'CCL GROUP P&amp;L'!AG36+'YBHN GROUP P&amp;L'!AG36+'YBN Group P&amp;L'!AG36+'HAB'!AG36+'Moe2 P&amp;L'!AG36</f>
        <v/>
      </c>
      <c r="AH36" s="38">
        <f>'KNL HO'!AH36+'CCL GROUP P&amp;L'!AH36+'YBHN GROUP P&amp;L'!AH36+'YBN Group P&amp;L'!AH36+'HAB'!AH36+'Moe2 P&amp;L'!AH36</f>
        <v/>
      </c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6">
        <f>SUM(N36:Z36)-$N36</f>
        <v/>
      </c>
      <c r="AN36" s="40" t="n"/>
      <c r="AO36" s="92">
        <f>SUM(AC36:AE36)+SUM(R36:Z36)</f>
        <v/>
      </c>
      <c r="AP36" s="92">
        <f>SUM(AC36:AH36)+SUM(U36:Z36)</f>
        <v/>
      </c>
    </row>
    <row r="37">
      <c r="A37" s="34" t="inlineStr">
        <is>
          <t>Business Rates</t>
        </is>
      </c>
      <c r="B37" s="35" t="n">
        <v>22097.3</v>
      </c>
      <c r="C37" s="35" t="n">
        <v>24976.87</v>
      </c>
      <c r="D37" s="35" t="n">
        <v>25013.75</v>
      </c>
      <c r="E37" s="35" t="n">
        <v>28671.32</v>
      </c>
      <c r="F37" s="35" t="n">
        <v>25222.92</v>
      </c>
      <c r="G37" s="35" t="n">
        <v>25222.94</v>
      </c>
      <c r="H37" s="35" t="n">
        <v>25222.94</v>
      </c>
      <c r="I37" s="35" t="n">
        <v>25222.94</v>
      </c>
      <c r="J37" s="35" t="n">
        <v>25222.94</v>
      </c>
      <c r="K37" s="35" t="n">
        <v>25222.94</v>
      </c>
      <c r="L37" s="35" t="n">
        <v>25222.94</v>
      </c>
      <c r="M37" s="35" t="n">
        <v>25222.94</v>
      </c>
      <c r="N37" s="36">
        <f>SUM(B37:M37)</f>
        <v/>
      </c>
      <c r="O37" s="37">
        <f>'ABA'!O37+'BK'!O37+'BW'!O37+'CED'!O37+'HAB'!O37+'HB'!O37+'OD'!O37+'HDN'!O37+'KIN'!O37+'LE'!O37+'MER'!O37+'NDN'!O37+'SALT'!O37+'SDN'!O37+'SST'!O37+'WH'!O37+'FH'!O37+'KNL HO'!O37+'CCL HO'!O37+'YBHN HO'!O37+'YBN HO'!O37</f>
        <v/>
      </c>
      <c r="P37" s="37">
        <f>'ABA'!P37+'BK'!P37+'BW'!P37+'CED'!P37+'HAB'!P37+'HB'!P37+'OD'!P37+'HDN'!P37+'KIN'!P37+'LE'!P37+'MER'!P37+'NDN'!P37+'SALT'!P37+'SDN'!P37+'SST'!P37+'WH'!P37+'FH'!P37+'KNL HO'!P37+'CCL HO'!P37+'YBHN HO'!P37+'YBN HO'!P37</f>
        <v/>
      </c>
      <c r="Q37" s="37">
        <f>'ABA'!Q37+'BK'!Q37+'BW'!Q37+'CED'!Q37+'HAB'!Q37+'HB'!Q37+'OD'!Q37+'HDN'!Q37+'KIN'!Q37+'LE'!Q37+'MER'!Q37+'NDN'!Q37+'SALT'!Q37+'SDN'!Q37+'SST'!Q37+'WH'!Q37+'FH'!Q37+'KNL HO'!Q37+'CCL HO'!Q37+'YBHN HO'!Q37+'YBN HO'!Q37</f>
        <v/>
      </c>
      <c r="R37" s="37">
        <f>'ABA'!R37+'BK'!R37+'BW'!R37+'CED'!R37+'HAB'!R37+'HB'!R37+'OD'!R37+'HDN'!R37+'KIN'!R37+'LE'!R37+'MER'!R37+'NDN'!R37+'SALT'!R37+'SDN'!R37+'SST'!R37+'WH'!R37+'FH'!R37+'KNL HO'!R37+'CCL HO'!R37+'YBHN HO'!R37+'YBN HO'!R37</f>
        <v/>
      </c>
      <c r="S37" s="37">
        <f>'ABA'!S37+'BK'!S37+'BW'!S37+'CED'!S37+'HAB'!S37+'HB'!S37+'OD'!S37+'HDN'!S37+'KIN'!S37+'LE'!S37+'MER'!S37+'NDN'!S37+'SALT'!S37+'SDN'!S37+'SST'!S37+'WH'!S37+'FH'!S37+'KNL HO'!S37+'CCL HO'!S37+'YBHN HO'!S37+'YBN HO'!S37</f>
        <v/>
      </c>
      <c r="T37" s="37">
        <f>'ABA'!T37+'BK'!T37+'BW'!T37+'CED'!T37+'HAB'!T37+'HB'!T37+'OD'!T37+'HDN'!T37+'KIN'!T37+'LE'!T37+'MER'!T37+'NDN'!T37+'SALT'!T37+'SDN'!T37+'SST'!T37+'WH'!T37+'FH'!T37+'KNL HO'!T37+'CCL HO'!T37+'YBHN HO'!T37+'YBN HO'!T37</f>
        <v/>
      </c>
      <c r="U37" s="37">
        <f>'ABA'!U37+'BK'!U37+'BW'!U37+'CED'!U37+'HAB'!U37+'HB'!U37+'OD'!U37+'HDN'!U37+'KIN'!U37+'LE'!U37+'MER'!U37+'NDN'!U37+'SALT'!U37+'SDN'!U37+'SST'!U37+'WH'!U37+'FH'!U37+'KNL HO'!U37+'CCL HO'!U37+'YBHN HO'!U37+'YBN HO'!U37</f>
        <v/>
      </c>
      <c r="V37" s="38">
        <f>'KNL HO'!V37+'CCL GROUP P&amp;L'!V37+'YBHN GROUP P&amp;L'!V37+'YBN Group P&amp;L'!V37+'HAB'!V37+'Moe2 P&amp;L'!V37</f>
        <v/>
      </c>
      <c r="W37" s="38">
        <f>'KNL HO'!W37+'CCL GROUP P&amp;L'!W37+'YBHN GROUP P&amp;L'!W37+'YBN Group P&amp;L'!W37+'HAB'!W37+'Moe2 P&amp;L'!W37</f>
        <v/>
      </c>
      <c r="X37" s="38">
        <f>'KNL HO'!X37+'CCL GROUP P&amp;L'!X37+'YBHN GROUP P&amp;L'!X37+'YBN Group P&amp;L'!X37+'HAB'!X37+'Moe2 P&amp;L'!X37</f>
        <v/>
      </c>
      <c r="Y37" s="38">
        <f>'KNL HO'!Y37+'CCL GROUP P&amp;L'!Y37+'YBHN GROUP P&amp;L'!Y37+'YBN Group P&amp;L'!Y37+'HAB'!Y37+'Moe2 P&amp;L'!Y37</f>
        <v/>
      </c>
      <c r="Z37" s="38">
        <f>'KNL HO'!Z37+'CCL GROUP P&amp;L'!Z37+'YBHN GROUP P&amp;L'!Z37+'YBN Group P&amp;L'!Z37+'HAB'!Z37+'Moe2 P&amp;L'!Z37</f>
        <v/>
      </c>
      <c r="AA37" s="36">
        <f>SUM(O37:U37)</f>
        <v/>
      </c>
      <c r="AB37" s="36">
        <f>SUM(O37:Z37)</f>
        <v/>
      </c>
      <c r="AC37" s="38">
        <f>'KNL HO'!AC37+'CCL GROUP P&amp;L'!AC37+'YBHN GROUP P&amp;L'!AC37+'YBN Group P&amp;L'!AC37+'HAB'!AC37+'Moe2 P&amp;L'!AC37</f>
        <v/>
      </c>
      <c r="AD37" s="38">
        <f>'KNL HO'!AD37+'CCL GROUP P&amp;L'!AD37+'YBHN GROUP P&amp;L'!AD37+'YBN Group P&amp;L'!AD37+'HAB'!AD37+'Moe2 P&amp;L'!AD37</f>
        <v/>
      </c>
      <c r="AE37" s="38">
        <f>'KNL HO'!AE37+'CCL GROUP P&amp;L'!AE37+'YBHN GROUP P&amp;L'!AE37+'YBN Group P&amp;L'!AE37+'HAB'!AE37+'Moe2 P&amp;L'!AE37</f>
        <v/>
      </c>
      <c r="AF37" s="38">
        <f>'KNL HO'!AF37+'CCL GROUP P&amp;L'!AF37+'YBHN GROUP P&amp;L'!AF37+'YBN Group P&amp;L'!AF37+'HAB'!AF37+'Moe2 P&amp;L'!AF37</f>
        <v/>
      </c>
      <c r="AG37" s="38">
        <f>'KNL HO'!AG37+'CCL GROUP P&amp;L'!AG37+'YBHN GROUP P&amp;L'!AG37+'YBN Group P&amp;L'!AG37+'HAB'!AG37+'Moe2 P&amp;L'!AG37</f>
        <v/>
      </c>
      <c r="AH37" s="38">
        <f>'KNL HO'!AH37+'CCL GROUP P&amp;L'!AH37+'YBHN GROUP P&amp;L'!AH37+'YBN Group P&amp;L'!AH37+'HAB'!AH37+'Moe2 P&amp;L'!AH37</f>
        <v/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6">
        <f>SUM(N37:Z37)-$N37</f>
        <v/>
      </c>
      <c r="AN37" s="40" t="n"/>
      <c r="AO37" s="92">
        <f>SUM(AC37:AE37)+SUM(R37:Z37)</f>
        <v/>
      </c>
      <c r="AP37" s="92">
        <f>SUM(AC37:AH37)+SUM(U37:Z37)</f>
        <v/>
      </c>
    </row>
    <row r="38">
      <c r="A38" s="34" t="inlineStr">
        <is>
          <t>Utilities</t>
        </is>
      </c>
      <c r="B38" s="35" t="n">
        <v>23901.58</v>
      </c>
      <c r="C38" s="35" t="n">
        <v>17614.66000000001</v>
      </c>
      <c r="D38" s="35" t="n">
        <v>28808.85</v>
      </c>
      <c r="E38" s="35" t="n">
        <v>30196.26</v>
      </c>
      <c r="F38" s="35" t="n">
        <v>23564.18</v>
      </c>
      <c r="G38" s="35" t="n">
        <v>14467.65</v>
      </c>
      <c r="H38" s="35" t="n">
        <v>10835.39</v>
      </c>
      <c r="I38" s="35" t="n">
        <v>12394.58</v>
      </c>
      <c r="J38" s="35" t="n">
        <v>6370.99</v>
      </c>
      <c r="K38" s="35" t="n">
        <v>20867.28</v>
      </c>
      <c r="L38" s="35" t="n">
        <v>18692.77</v>
      </c>
      <c r="M38" s="35" t="n">
        <v>19125.53</v>
      </c>
      <c r="N38" s="36">
        <f>SUM(B38:M38)</f>
        <v/>
      </c>
      <c r="O38" s="37">
        <f>'ABA'!O38+'BK'!O38+'BW'!O38+'CED'!O38+'HAB'!O38+'HB'!O38+'OD'!O38+'HDN'!O38+'KIN'!O38+'LE'!O38+'MER'!O38+'NDN'!O38+'SALT'!O38+'SDN'!O38+'SST'!O38+'WH'!O38+'FH'!O38+'KNL HO'!O38+'CCL HO'!O38+'YBHN HO'!O38+'YBN HO'!O38</f>
        <v/>
      </c>
      <c r="P38" s="37">
        <f>'ABA'!P38+'BK'!P38+'BW'!P38+'CED'!P38+'HAB'!P38+'HB'!P38+'OD'!P38+'HDN'!P38+'KIN'!P38+'LE'!P38+'MER'!P38+'NDN'!P38+'SALT'!P38+'SDN'!P38+'SST'!P38+'WH'!P38+'FH'!P38+'KNL HO'!P38+'CCL HO'!P38+'YBHN HO'!P38+'YBN HO'!P38</f>
        <v/>
      </c>
      <c r="Q38" s="37">
        <f>'ABA'!Q38+'BK'!Q38+'BW'!Q38+'CED'!Q38+'HAB'!Q38+'HB'!Q38+'OD'!Q38+'HDN'!Q38+'KIN'!Q38+'LE'!Q38+'MER'!Q38+'NDN'!Q38+'SALT'!Q38+'SDN'!Q38+'SST'!Q38+'WH'!Q38+'FH'!Q38+'KNL HO'!Q38+'CCL HO'!Q38+'YBHN HO'!Q38+'YBN HO'!Q38</f>
        <v/>
      </c>
      <c r="R38" s="37">
        <f>'ABA'!R38+'BK'!R38+'BW'!R38+'CED'!R38+'HAB'!R38+'HB'!R38+'OD'!R38+'HDN'!R38+'KIN'!R38+'LE'!R38+'MER'!R38+'NDN'!R38+'SALT'!R38+'SDN'!R38+'SST'!R38+'WH'!R38+'FH'!R38+'KNL HO'!R38+'CCL HO'!R38+'YBHN HO'!R38+'YBN HO'!R38</f>
        <v/>
      </c>
      <c r="S38" s="37">
        <f>'ABA'!S38+'BK'!S38+'BW'!S38+'CED'!S38+'HAB'!S38+'HB'!S38+'OD'!S38+'HDN'!S38+'KIN'!S38+'LE'!S38+'MER'!S38+'NDN'!S38+'SALT'!S38+'SDN'!S38+'SST'!S38+'WH'!S38+'FH'!S38+'KNL HO'!S38+'CCL HO'!S38+'YBHN HO'!S38+'YBN HO'!S38</f>
        <v/>
      </c>
      <c r="T38" s="37">
        <f>'ABA'!T38+'BK'!T38+'BW'!T38+'CED'!T38+'HAB'!T38+'HB'!T38+'OD'!T38+'HDN'!T38+'KIN'!T38+'LE'!T38+'MER'!T38+'NDN'!T38+'SALT'!T38+'SDN'!T38+'SST'!T38+'WH'!T38+'FH'!T38+'KNL HO'!T38+'CCL HO'!T38+'YBHN HO'!T38+'YBN HO'!T38</f>
        <v/>
      </c>
      <c r="U38" s="37">
        <f>'ABA'!U38+'BK'!U38+'BW'!U38+'CED'!U38+'HAB'!U38+'HB'!U38+'OD'!U38+'HDN'!U38+'KIN'!U38+'LE'!U38+'MER'!U38+'NDN'!U38+'SALT'!U38+'SDN'!U38+'SST'!U38+'WH'!U38+'FH'!U38+'KNL HO'!U38+'CCL HO'!U38+'YBHN HO'!U38+'YBN HO'!U38</f>
        <v/>
      </c>
      <c r="V38" s="38">
        <f>'KNL HO'!V38+'CCL GROUP P&amp;L'!V38+'YBHN GROUP P&amp;L'!V38+'YBN Group P&amp;L'!V38+'HAB'!V38+'Moe2 P&amp;L'!V38</f>
        <v/>
      </c>
      <c r="W38" s="38">
        <f>'KNL HO'!W38+'CCL GROUP P&amp;L'!W38+'YBHN GROUP P&amp;L'!W38+'YBN Group P&amp;L'!W38+'HAB'!W38+'Moe2 P&amp;L'!W38</f>
        <v/>
      </c>
      <c r="X38" s="38">
        <f>'KNL HO'!X38+'CCL GROUP P&amp;L'!X38+'YBHN GROUP P&amp;L'!X38+'YBN Group P&amp;L'!X38+'HAB'!X38+'Moe2 P&amp;L'!X38</f>
        <v/>
      </c>
      <c r="Y38" s="38">
        <f>'KNL HO'!Y38+'CCL GROUP P&amp;L'!Y38+'YBHN GROUP P&amp;L'!Y38+'YBN Group P&amp;L'!Y38+'HAB'!Y38+'Moe2 P&amp;L'!Y38</f>
        <v/>
      </c>
      <c r="Z38" s="38">
        <f>'KNL HO'!Z38+'CCL GROUP P&amp;L'!Z38+'YBHN GROUP P&amp;L'!Z38+'YBN Group P&amp;L'!Z38+'HAB'!Z38+'Moe2 P&amp;L'!Z38</f>
        <v/>
      </c>
      <c r="AA38" s="36">
        <f>SUM(O38:U38)</f>
        <v/>
      </c>
      <c r="AB38" s="36">
        <f>SUM(O38:Z38)</f>
        <v/>
      </c>
      <c r="AC38" s="38">
        <f>'KNL HO'!AC38+'CCL GROUP P&amp;L'!AC38+'YBHN GROUP P&amp;L'!AC38+'YBN Group P&amp;L'!AC38+'HAB'!AC38+'Moe2 P&amp;L'!AC38</f>
        <v/>
      </c>
      <c r="AD38" s="38">
        <f>'KNL HO'!AD38+'CCL GROUP P&amp;L'!AD38+'YBHN GROUP P&amp;L'!AD38+'YBN Group P&amp;L'!AD38+'HAB'!AD38+'Moe2 P&amp;L'!AD38</f>
        <v/>
      </c>
      <c r="AE38" s="38">
        <f>'KNL HO'!AE38+'CCL GROUP P&amp;L'!AE38+'YBHN GROUP P&amp;L'!AE38+'YBN Group P&amp;L'!AE38+'HAB'!AE38+'Moe2 P&amp;L'!AE38</f>
        <v/>
      </c>
      <c r="AF38" s="38">
        <f>'KNL HO'!AF38+'CCL GROUP P&amp;L'!AF38+'YBHN GROUP P&amp;L'!AF38+'YBN Group P&amp;L'!AF38+'HAB'!AF38+'Moe2 P&amp;L'!AF38</f>
        <v/>
      </c>
      <c r="AG38" s="38">
        <f>'KNL HO'!AG38+'CCL GROUP P&amp;L'!AG38+'YBHN GROUP P&amp;L'!AG38+'YBN Group P&amp;L'!AG38+'HAB'!AG38+'Moe2 P&amp;L'!AG38</f>
        <v/>
      </c>
      <c r="AH38" s="38">
        <f>'KNL HO'!AH38+'CCL GROUP P&amp;L'!AH38+'YBHN GROUP P&amp;L'!AH38+'YBN Group P&amp;L'!AH38+'HAB'!AH38+'Moe2 P&amp;L'!AH38</f>
        <v/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6">
        <f>SUM(N38:Z38)-$N38</f>
        <v/>
      </c>
      <c r="AN38" s="40" t="n"/>
      <c r="AO38" s="92">
        <f>SUM(AC38:AE38)+SUM(R38:Z38)</f>
        <v/>
      </c>
      <c r="AP38" s="92">
        <f>SUM(AC38:AH38)+SUM(U38:Z38)</f>
        <v/>
      </c>
    </row>
    <row r="39">
      <c r="A39" s="34" t="inlineStr">
        <is>
          <t>Repairs &amp; Maintenance</t>
        </is>
      </c>
      <c r="B39" s="35" t="n">
        <v>11114.23</v>
      </c>
      <c r="C39" s="35" t="n">
        <v>18471.26000000001</v>
      </c>
      <c r="D39" s="35" t="n">
        <v>14037.75</v>
      </c>
      <c r="E39" s="35" t="n">
        <v>8588.49</v>
      </c>
      <c r="F39" s="35" t="n">
        <v>7696.630000000002</v>
      </c>
      <c r="G39" s="35" t="n">
        <v>13958.22999999999</v>
      </c>
      <c r="H39" s="35" t="n">
        <v>9486.02</v>
      </c>
      <c r="I39" s="35" t="n">
        <v>6643.38</v>
      </c>
      <c r="J39" s="35" t="n">
        <v>5464.089999999999</v>
      </c>
      <c r="K39" s="35" t="n">
        <v>6059.099999999999</v>
      </c>
      <c r="L39" s="35" t="n">
        <v>2967.100000000001</v>
      </c>
      <c r="M39" s="35" t="n">
        <v>4343.8</v>
      </c>
      <c r="N39" s="36">
        <f>SUM(B39:M39)</f>
        <v/>
      </c>
      <c r="O39" s="37">
        <f>'ABA'!O39+'BK'!O39+'BW'!O39+'CED'!O39+'HAB'!O39+'HB'!O39+'OD'!O39+'HDN'!O39+'KIN'!O39+'LE'!O39+'MER'!O39+'NDN'!O39+'SALT'!O39+'SDN'!O39+'SST'!O39+'WH'!O39+'FH'!O39+'KNL HO'!O39+'CCL HO'!O39+'YBHN HO'!O39+'YBN HO'!O39</f>
        <v/>
      </c>
      <c r="P39" s="37">
        <f>'ABA'!P39+'BK'!P39+'BW'!P39+'CED'!P39+'HAB'!P39+'HB'!P39+'OD'!P39+'HDN'!P39+'KIN'!P39+'LE'!P39+'MER'!P39+'NDN'!P39+'SALT'!P39+'SDN'!P39+'SST'!P39+'WH'!P39+'FH'!P39+'KNL HO'!P39+'CCL HO'!P39+'YBHN HO'!P39+'YBN HO'!P39</f>
        <v/>
      </c>
      <c r="Q39" s="37">
        <f>'ABA'!Q39+'BK'!Q39+'BW'!Q39+'CED'!Q39+'HAB'!Q39+'HB'!Q39+'OD'!Q39+'HDN'!Q39+'KIN'!Q39+'LE'!Q39+'MER'!Q39+'NDN'!Q39+'SALT'!Q39+'SDN'!Q39+'SST'!Q39+'WH'!Q39+'FH'!Q39+'KNL HO'!Q39+'CCL HO'!Q39+'YBHN HO'!Q39+'YBN HO'!Q39</f>
        <v/>
      </c>
      <c r="R39" s="37">
        <f>'ABA'!R39+'BK'!R39+'BW'!R39+'CED'!R39+'HAB'!R39+'HB'!R39+'OD'!R39+'HDN'!R39+'KIN'!R39+'LE'!R39+'MER'!R39+'NDN'!R39+'SALT'!R39+'SDN'!R39+'SST'!R39+'WH'!R39+'FH'!R39+'KNL HO'!R39+'CCL HO'!R39+'YBHN HO'!R39+'YBN HO'!R39</f>
        <v/>
      </c>
      <c r="S39" s="37">
        <f>'ABA'!S39+'BK'!S39+'BW'!S39+'CED'!S39+'HAB'!S39+'HB'!S39+'OD'!S39+'HDN'!S39+'KIN'!S39+'LE'!S39+'MER'!S39+'NDN'!S39+'SALT'!S39+'SDN'!S39+'SST'!S39+'WH'!S39+'FH'!S39+'KNL HO'!S39+'CCL HO'!S39+'YBHN HO'!S39+'YBN HO'!S39</f>
        <v/>
      </c>
      <c r="T39" s="37">
        <f>'ABA'!T39+'BK'!T39+'BW'!T39+'CED'!T39+'HAB'!T39+'HB'!T39+'OD'!T39+'HDN'!T39+'KIN'!T39+'LE'!T39+'MER'!T39+'NDN'!T39+'SALT'!T39+'SDN'!T39+'SST'!T39+'WH'!T39+'FH'!T39+'KNL HO'!T39+'CCL HO'!T39+'YBHN HO'!T39+'YBN HO'!T39</f>
        <v/>
      </c>
      <c r="U39" s="37">
        <f>'ABA'!U39+'BK'!U39+'BW'!U39+'CED'!U39+'HAB'!U39+'HB'!U39+'OD'!U39+'HDN'!U39+'KIN'!U39+'LE'!U39+'MER'!U39+'NDN'!U39+'SALT'!U39+'SDN'!U39+'SST'!U39+'WH'!U39+'FH'!U39+'KNL HO'!U39+'CCL HO'!U39+'YBHN HO'!U39+'YBN HO'!U39</f>
        <v/>
      </c>
      <c r="V39" s="38">
        <f>'KNL HO'!V39+'CCL GROUP P&amp;L'!V39+'YBHN GROUP P&amp;L'!V39+'YBN Group P&amp;L'!V39+'HAB'!V39+'Moe2 P&amp;L'!V39</f>
        <v/>
      </c>
      <c r="W39" s="38">
        <f>'KNL HO'!W39+'CCL GROUP P&amp;L'!W39+'YBHN GROUP P&amp;L'!W39+'YBN Group P&amp;L'!W39+'HAB'!W39+'Moe2 P&amp;L'!W39</f>
        <v/>
      </c>
      <c r="X39" s="38">
        <f>'KNL HO'!X39+'CCL GROUP P&amp;L'!X39+'YBHN GROUP P&amp;L'!X39+'YBN Group P&amp;L'!X39+'HAB'!X39+'Moe2 P&amp;L'!X39</f>
        <v/>
      </c>
      <c r="Y39" s="38">
        <f>'KNL HO'!Y39+'CCL GROUP P&amp;L'!Y39+'YBHN GROUP P&amp;L'!Y39+'YBN Group P&amp;L'!Y39+'HAB'!Y39+'Moe2 P&amp;L'!Y39</f>
        <v/>
      </c>
      <c r="Z39" s="38">
        <f>'KNL HO'!Z39+'CCL GROUP P&amp;L'!Z39+'YBHN GROUP P&amp;L'!Z39+'YBN Group P&amp;L'!Z39+'HAB'!Z39+'Moe2 P&amp;L'!Z39</f>
        <v/>
      </c>
      <c r="AA39" s="36">
        <f>SUM(O39:U39)</f>
        <v/>
      </c>
      <c r="AB39" s="36">
        <f>SUM(O39:Z39)</f>
        <v/>
      </c>
      <c r="AC39" s="38">
        <f>'KNL HO'!AC39+'CCL GROUP P&amp;L'!AC39+'YBHN GROUP P&amp;L'!AC39+'YBN Group P&amp;L'!AC39+'HAB'!AC39+'Moe2 P&amp;L'!AC39</f>
        <v/>
      </c>
      <c r="AD39" s="38">
        <f>'KNL HO'!AD39+'CCL GROUP P&amp;L'!AD39+'YBHN GROUP P&amp;L'!AD39+'YBN Group P&amp;L'!AD39+'HAB'!AD39+'Moe2 P&amp;L'!AD39</f>
        <v/>
      </c>
      <c r="AE39" s="38">
        <f>'KNL HO'!AE39+'CCL GROUP P&amp;L'!AE39+'YBHN GROUP P&amp;L'!AE39+'YBN Group P&amp;L'!AE39+'HAB'!AE39+'Moe2 P&amp;L'!AE39</f>
        <v/>
      </c>
      <c r="AF39" s="38">
        <f>'KNL HO'!AF39+'CCL GROUP P&amp;L'!AF39+'YBHN GROUP P&amp;L'!AF39+'YBN Group P&amp;L'!AF39+'HAB'!AF39+'Moe2 P&amp;L'!AF39</f>
        <v/>
      </c>
      <c r="AG39" s="38">
        <f>'KNL HO'!AG39+'CCL GROUP P&amp;L'!AG39+'YBHN GROUP P&amp;L'!AG39+'YBN Group P&amp;L'!AG39+'HAB'!AG39+'Moe2 P&amp;L'!AG39</f>
        <v/>
      </c>
      <c r="AH39" s="38">
        <f>'KNL HO'!AH39+'CCL GROUP P&amp;L'!AH39+'YBHN GROUP P&amp;L'!AH39+'YBN Group P&amp;L'!AH39+'HAB'!AH39+'Moe2 P&amp;L'!AH39</f>
        <v/>
      </c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6">
        <f>SUM(N39:Z39)-$N39</f>
        <v/>
      </c>
      <c r="AN39" s="40" t="n"/>
      <c r="AO39" s="92">
        <f>SUM(AC39:AE39)+SUM(R39:Z39)</f>
        <v/>
      </c>
      <c r="AP39" s="92">
        <f>SUM(AC39:AH39)+SUM(U39:Z39)</f>
        <v/>
      </c>
    </row>
    <row r="40">
      <c r="A40" s="34" t="inlineStr">
        <is>
          <t>Cleaning</t>
        </is>
      </c>
      <c r="B40" s="35" t="n">
        <v>11641.05</v>
      </c>
      <c r="C40" s="35" t="n">
        <v>9634.059999999999</v>
      </c>
      <c r="D40" s="35" t="n">
        <v>11426.53</v>
      </c>
      <c r="E40" s="35" t="n">
        <v>12071.57</v>
      </c>
      <c r="F40" s="35" t="n">
        <v>11361.53</v>
      </c>
      <c r="G40" s="35" t="n">
        <v>11411.72</v>
      </c>
      <c r="H40" s="35" t="n">
        <v>12333.27</v>
      </c>
      <c r="I40" s="35" t="n">
        <v>14180.48</v>
      </c>
      <c r="J40" s="35" t="n">
        <v>12105.65</v>
      </c>
      <c r="K40" s="35" t="n">
        <v>8093.239999999999</v>
      </c>
      <c r="L40" s="35" t="n">
        <v>9954.890000000001</v>
      </c>
      <c r="M40" s="35" t="n">
        <v>9045.290000000001</v>
      </c>
      <c r="N40" s="36">
        <f>SUM(B40:M40)</f>
        <v/>
      </c>
      <c r="O40" s="37">
        <f>'ABA'!O40+'BK'!O40+'BW'!O40+'CED'!O40+'HAB'!O40+'HB'!O40+'OD'!O40+'HDN'!O40+'KIN'!O40+'LE'!O40+'MER'!O40+'NDN'!O40+'SALT'!O40+'SDN'!O40+'SST'!O40+'WH'!O40+'FH'!O40+'KNL HO'!O40+'CCL HO'!O40+'YBHN HO'!O40+'YBN HO'!O40</f>
        <v/>
      </c>
      <c r="P40" s="37">
        <f>'ABA'!P40+'BK'!P40+'BW'!P40+'CED'!P40+'HAB'!P40+'HB'!P40+'OD'!P40+'HDN'!P40+'KIN'!P40+'LE'!P40+'MER'!P40+'NDN'!P40+'SALT'!P40+'SDN'!P40+'SST'!P40+'WH'!P40+'FH'!P40+'KNL HO'!P40+'CCL HO'!P40+'YBHN HO'!P40+'YBN HO'!P40</f>
        <v/>
      </c>
      <c r="Q40" s="37">
        <f>'ABA'!Q40+'BK'!Q40+'BW'!Q40+'CED'!Q40+'HAB'!Q40+'HB'!Q40+'OD'!Q40+'HDN'!Q40+'KIN'!Q40+'LE'!Q40+'MER'!Q40+'NDN'!Q40+'SALT'!Q40+'SDN'!Q40+'SST'!Q40+'WH'!Q40+'FH'!Q40+'KNL HO'!Q40+'CCL HO'!Q40+'YBHN HO'!Q40+'YBN HO'!Q40</f>
        <v/>
      </c>
      <c r="R40" s="37">
        <f>'ABA'!R40+'BK'!R40+'BW'!R40+'CED'!R40+'HAB'!R40+'HB'!R40+'OD'!R40+'HDN'!R40+'KIN'!R40+'LE'!R40+'MER'!R40+'NDN'!R40+'SALT'!R40+'SDN'!R40+'SST'!R40+'WH'!R40+'FH'!R40+'KNL HO'!R40+'CCL HO'!R40+'YBHN HO'!R40+'YBN HO'!R40</f>
        <v/>
      </c>
      <c r="S40" s="37">
        <f>'ABA'!S40+'BK'!S40+'BW'!S40+'CED'!S40+'HAB'!S40+'HB'!S40+'OD'!S40+'HDN'!S40+'KIN'!S40+'LE'!S40+'MER'!S40+'NDN'!S40+'SALT'!S40+'SDN'!S40+'SST'!S40+'WH'!S40+'FH'!S40+'KNL HO'!S40+'CCL HO'!S40+'YBHN HO'!S40+'YBN HO'!S40</f>
        <v/>
      </c>
      <c r="T40" s="37">
        <f>'ABA'!T40+'BK'!T40+'BW'!T40+'CED'!T40+'HAB'!T40+'HB'!T40+'OD'!T40+'HDN'!T40+'KIN'!T40+'LE'!T40+'MER'!T40+'NDN'!T40+'SALT'!T40+'SDN'!T40+'SST'!T40+'WH'!T40+'FH'!T40+'KNL HO'!T40+'CCL HO'!T40+'YBHN HO'!T40+'YBN HO'!T40</f>
        <v/>
      </c>
      <c r="U40" s="37">
        <f>'ABA'!U40+'BK'!U40+'BW'!U40+'CED'!U40+'HAB'!U40+'HB'!U40+'OD'!U40+'HDN'!U40+'KIN'!U40+'LE'!U40+'MER'!U40+'NDN'!U40+'SALT'!U40+'SDN'!U40+'SST'!U40+'WH'!U40+'FH'!U40+'KNL HO'!U40+'CCL HO'!U40+'YBHN HO'!U40+'YBN HO'!U40</f>
        <v/>
      </c>
      <c r="V40" s="38">
        <f>'KNL HO'!V40+'CCL GROUP P&amp;L'!V40+'YBHN GROUP P&amp;L'!V40+'YBN Group P&amp;L'!V40+'HAB'!V40+'Moe2 P&amp;L'!V40</f>
        <v/>
      </c>
      <c r="W40" s="38">
        <f>'KNL HO'!W40+'CCL GROUP P&amp;L'!W40+'YBHN GROUP P&amp;L'!W40+'YBN Group P&amp;L'!W40+'HAB'!W40+'Moe2 P&amp;L'!W40</f>
        <v/>
      </c>
      <c r="X40" s="38">
        <f>'KNL HO'!X40+'CCL GROUP P&amp;L'!X40+'YBHN GROUP P&amp;L'!X40+'YBN Group P&amp;L'!X40+'HAB'!X40+'Moe2 P&amp;L'!X40</f>
        <v/>
      </c>
      <c r="Y40" s="38">
        <f>'KNL HO'!Y40+'CCL GROUP P&amp;L'!Y40+'YBHN GROUP P&amp;L'!Y40+'YBN Group P&amp;L'!Y40+'HAB'!Y40+'Moe2 P&amp;L'!Y40</f>
        <v/>
      </c>
      <c r="Z40" s="38">
        <f>'KNL HO'!Z40+'CCL GROUP P&amp;L'!Z40+'YBHN GROUP P&amp;L'!Z40+'YBN Group P&amp;L'!Z40+'HAB'!Z40+'Moe2 P&amp;L'!Z40</f>
        <v/>
      </c>
      <c r="AA40" s="36">
        <f>SUM(O40:U40)</f>
        <v/>
      </c>
      <c r="AB40" s="36">
        <f>SUM(O40:Z40)</f>
        <v/>
      </c>
      <c r="AC40" s="38">
        <f>'KNL HO'!AC40+'CCL GROUP P&amp;L'!AC40+'YBHN GROUP P&amp;L'!AC40+'YBN Group P&amp;L'!AC40+'HAB'!AC40+'Moe2 P&amp;L'!AC40</f>
        <v/>
      </c>
      <c r="AD40" s="38">
        <f>'KNL HO'!AD40+'CCL GROUP P&amp;L'!AD40+'YBHN GROUP P&amp;L'!AD40+'YBN Group P&amp;L'!AD40+'HAB'!AD40+'Moe2 P&amp;L'!AD40</f>
        <v/>
      </c>
      <c r="AE40" s="38">
        <f>'KNL HO'!AE40+'CCL GROUP P&amp;L'!AE40+'YBHN GROUP P&amp;L'!AE40+'YBN Group P&amp;L'!AE40+'HAB'!AE40+'Moe2 P&amp;L'!AE40</f>
        <v/>
      </c>
      <c r="AF40" s="38">
        <f>'KNL HO'!AF40+'CCL GROUP P&amp;L'!AF40+'YBHN GROUP P&amp;L'!AF40+'YBN Group P&amp;L'!AF40+'HAB'!AF40+'Moe2 P&amp;L'!AF40</f>
        <v/>
      </c>
      <c r="AG40" s="38">
        <f>'KNL HO'!AG40+'CCL GROUP P&amp;L'!AG40+'YBHN GROUP P&amp;L'!AG40+'YBN Group P&amp;L'!AG40+'HAB'!AG40+'Moe2 P&amp;L'!AG40</f>
        <v/>
      </c>
      <c r="AH40" s="38">
        <f>'KNL HO'!AH40+'CCL GROUP P&amp;L'!AH40+'YBHN GROUP P&amp;L'!AH40+'YBN Group P&amp;L'!AH40+'HAB'!AH40+'Moe2 P&amp;L'!AH40</f>
        <v/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6">
        <f>SUM(N40:Z40)-$N40</f>
        <v/>
      </c>
      <c r="AN40" s="40" t="n"/>
      <c r="AO40" s="92">
        <f>SUM(AC40:AE40)+SUM(R40:Z40)</f>
        <v/>
      </c>
      <c r="AP40" s="92">
        <f>SUM(AC40:AH40)+SUM(U40:Z40)</f>
        <v/>
      </c>
    </row>
    <row r="41">
      <c r="A41" s="34" t="inlineStr">
        <is>
          <t>Waste Disposal</t>
        </is>
      </c>
      <c r="B41" s="35" t="n">
        <v>5544.93</v>
      </c>
      <c r="C41" s="35" t="n">
        <v>7251.28</v>
      </c>
      <c r="D41" s="35" t="n">
        <v>7231.240000000001</v>
      </c>
      <c r="E41" s="35" t="n">
        <v>5993.5</v>
      </c>
      <c r="F41" s="35" t="n">
        <v>6657.23</v>
      </c>
      <c r="G41" s="35" t="n">
        <v>6820.349999999999</v>
      </c>
      <c r="H41" s="35" t="n">
        <v>6262.35</v>
      </c>
      <c r="I41" s="35" t="n">
        <v>6673.51</v>
      </c>
      <c r="J41" s="35" t="n">
        <v>9575.159999999998</v>
      </c>
      <c r="K41" s="35" t="n">
        <v>6475.05</v>
      </c>
      <c r="L41" s="35" t="n">
        <v>6558.4</v>
      </c>
      <c r="M41" s="35" t="n">
        <v>7620.139999999999</v>
      </c>
      <c r="N41" s="36">
        <f>SUM(B41:M41)</f>
        <v/>
      </c>
      <c r="O41" s="37">
        <f>'ABA'!O41+'BK'!O41+'BW'!O41+'CED'!O41+'HAB'!O41+'HB'!O41+'OD'!O41+'HDN'!O41+'KIN'!O41+'LE'!O41+'MER'!O41+'NDN'!O41+'SALT'!O41+'SDN'!O41+'SST'!O41+'WH'!O41+'FH'!O41+'KNL HO'!O41+'CCL HO'!O41+'YBHN HO'!O41+'YBN HO'!O41</f>
        <v/>
      </c>
      <c r="P41" s="37">
        <f>'ABA'!P41+'BK'!P41+'BW'!P41+'CED'!P41+'HAB'!P41+'HB'!P41+'OD'!P41+'HDN'!P41+'KIN'!P41+'LE'!P41+'MER'!P41+'NDN'!P41+'SALT'!P41+'SDN'!P41+'SST'!P41+'WH'!P41+'FH'!P41+'KNL HO'!P41+'CCL HO'!P41+'YBHN HO'!P41+'YBN HO'!P41</f>
        <v/>
      </c>
      <c r="Q41" s="37">
        <f>'ABA'!Q41+'BK'!Q41+'BW'!Q41+'CED'!Q41+'HAB'!Q41+'HB'!Q41+'OD'!Q41+'HDN'!Q41+'KIN'!Q41+'LE'!Q41+'MER'!Q41+'NDN'!Q41+'SALT'!Q41+'SDN'!Q41+'SST'!Q41+'WH'!Q41+'FH'!Q41+'KNL HO'!Q41+'CCL HO'!Q41+'YBHN HO'!Q41+'YBN HO'!Q41</f>
        <v/>
      </c>
      <c r="R41" s="37">
        <f>'ABA'!R41+'BK'!R41+'BW'!R41+'CED'!R41+'HAB'!R41+'HB'!R41+'OD'!R41+'HDN'!R41+'KIN'!R41+'LE'!R41+'MER'!R41+'NDN'!R41+'SALT'!R41+'SDN'!R41+'SST'!R41+'WH'!R41+'FH'!R41+'KNL HO'!R41+'CCL HO'!R41+'YBHN HO'!R41+'YBN HO'!R41</f>
        <v/>
      </c>
      <c r="S41" s="37">
        <f>'ABA'!S41+'BK'!S41+'BW'!S41+'CED'!S41+'HAB'!S41+'HB'!S41+'OD'!S41+'HDN'!S41+'KIN'!S41+'LE'!S41+'MER'!S41+'NDN'!S41+'SALT'!S41+'SDN'!S41+'SST'!S41+'WH'!S41+'FH'!S41+'KNL HO'!S41+'CCL HO'!S41+'YBHN HO'!S41+'YBN HO'!S41</f>
        <v/>
      </c>
      <c r="T41" s="37">
        <f>'ABA'!T41+'BK'!T41+'BW'!T41+'CED'!T41+'HAB'!T41+'HB'!T41+'OD'!T41+'HDN'!T41+'KIN'!T41+'LE'!T41+'MER'!T41+'NDN'!T41+'SALT'!T41+'SDN'!T41+'SST'!T41+'WH'!T41+'FH'!T41+'KNL HO'!T41+'CCL HO'!T41+'YBHN HO'!T41+'YBN HO'!T41</f>
        <v/>
      </c>
      <c r="U41" s="37">
        <f>'ABA'!U41+'BK'!U41+'BW'!U41+'CED'!U41+'HAB'!U41+'HB'!U41+'OD'!U41+'HDN'!U41+'KIN'!U41+'LE'!U41+'MER'!U41+'NDN'!U41+'SALT'!U41+'SDN'!U41+'SST'!U41+'WH'!U41+'FH'!U41+'KNL HO'!U41+'CCL HO'!U41+'YBHN HO'!U41+'YBN HO'!U41</f>
        <v/>
      </c>
      <c r="V41" s="38">
        <f>'KNL HO'!V41+'CCL GROUP P&amp;L'!V41+'YBHN GROUP P&amp;L'!V41+'YBN Group P&amp;L'!V41+'HAB'!V41+'Moe2 P&amp;L'!V41</f>
        <v/>
      </c>
      <c r="W41" s="38">
        <f>'KNL HO'!W41+'CCL GROUP P&amp;L'!W41+'YBHN GROUP P&amp;L'!W41+'YBN Group P&amp;L'!W41+'HAB'!W41+'Moe2 P&amp;L'!W41</f>
        <v/>
      </c>
      <c r="X41" s="38">
        <f>'KNL HO'!X41+'CCL GROUP P&amp;L'!X41+'YBHN GROUP P&amp;L'!X41+'YBN Group P&amp;L'!X41+'HAB'!X41+'Moe2 P&amp;L'!X41</f>
        <v/>
      </c>
      <c r="Y41" s="38">
        <f>'KNL HO'!Y41+'CCL GROUP P&amp;L'!Y41+'YBHN GROUP P&amp;L'!Y41+'YBN Group P&amp;L'!Y41+'HAB'!Y41+'Moe2 P&amp;L'!Y41</f>
        <v/>
      </c>
      <c r="Z41" s="38">
        <f>'KNL HO'!Z41+'CCL GROUP P&amp;L'!Z41+'YBHN GROUP P&amp;L'!Z41+'YBN Group P&amp;L'!Z41+'HAB'!Z41+'Moe2 P&amp;L'!Z41</f>
        <v/>
      </c>
      <c r="AA41" s="36">
        <f>SUM(O41:U41)</f>
        <v/>
      </c>
      <c r="AB41" s="36">
        <f>SUM(O41:Z41)</f>
        <v/>
      </c>
      <c r="AC41" s="38">
        <f>'KNL HO'!AC41+'CCL GROUP P&amp;L'!AC41+'YBHN GROUP P&amp;L'!AC41+'YBN Group P&amp;L'!AC41+'HAB'!AC41+'Moe2 P&amp;L'!AC41</f>
        <v/>
      </c>
      <c r="AD41" s="38">
        <f>'KNL HO'!AD41+'CCL GROUP P&amp;L'!AD41+'YBHN GROUP P&amp;L'!AD41+'YBN Group P&amp;L'!AD41+'HAB'!AD41+'Moe2 P&amp;L'!AD41</f>
        <v/>
      </c>
      <c r="AE41" s="38">
        <f>'KNL HO'!AE41+'CCL GROUP P&amp;L'!AE41+'YBHN GROUP P&amp;L'!AE41+'YBN Group P&amp;L'!AE41+'HAB'!AE41+'Moe2 P&amp;L'!AE41</f>
        <v/>
      </c>
      <c r="AF41" s="38">
        <f>'KNL HO'!AF41+'CCL GROUP P&amp;L'!AF41+'YBHN GROUP P&amp;L'!AF41+'YBN Group P&amp;L'!AF41+'HAB'!AF41+'Moe2 P&amp;L'!AF41</f>
        <v/>
      </c>
      <c r="AG41" s="38">
        <f>'KNL HO'!AG41+'CCL GROUP P&amp;L'!AG41+'YBHN GROUP P&amp;L'!AG41+'YBN Group P&amp;L'!AG41+'HAB'!AG41+'Moe2 P&amp;L'!AG41</f>
        <v/>
      </c>
      <c r="AH41" s="38">
        <f>'KNL HO'!AH41+'CCL GROUP P&amp;L'!AH41+'YBHN GROUP P&amp;L'!AH41+'YBN Group P&amp;L'!AH41+'HAB'!AH41+'Moe2 P&amp;L'!AH41</f>
        <v/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6">
        <f>SUM(N41:Z41)-$N41</f>
        <v/>
      </c>
      <c r="AN41" s="40" t="n"/>
      <c r="AO41" s="92">
        <f>SUM(AC41:AE41)+SUM(R41:Z41)</f>
        <v/>
      </c>
      <c r="AP41" s="92">
        <f>SUM(AC41:AH41)+SUM(U41:Z41)</f>
        <v/>
      </c>
    </row>
    <row r="42">
      <c r="A42" s="34" t="inlineStr">
        <is>
          <t>Postage/Printing/Stationery</t>
        </is>
      </c>
      <c r="B42" s="35" t="n">
        <v>3404.34</v>
      </c>
      <c r="C42" s="35" t="n">
        <v>2584.690000000001</v>
      </c>
      <c r="D42" s="35" t="n">
        <v>1579.46</v>
      </c>
      <c r="E42" s="35" t="n">
        <v>1477.69</v>
      </c>
      <c r="F42" s="35" t="n">
        <v>2310.15</v>
      </c>
      <c r="G42" s="35" t="n">
        <v>1508.1</v>
      </c>
      <c r="H42" s="35" t="n">
        <v>2281.789999999999</v>
      </c>
      <c r="I42" s="35" t="n">
        <v>2502.82</v>
      </c>
      <c r="J42" s="35" t="n">
        <v>2002</v>
      </c>
      <c r="K42" s="35" t="n">
        <v>3691.76</v>
      </c>
      <c r="L42" s="35" t="n">
        <v>1395.57</v>
      </c>
      <c r="M42" s="35" t="n">
        <v>2571.93</v>
      </c>
      <c r="N42" s="36">
        <f>SUM(B42:M42)</f>
        <v/>
      </c>
      <c r="O42" s="37">
        <f>'ABA'!O42+'BK'!O42+'BW'!O42+'CED'!O42+'HAB'!O42+'HB'!O42+'OD'!O42+'HDN'!O42+'KIN'!O42+'LE'!O42+'MER'!O42+'NDN'!O42+'SALT'!O42+'SDN'!O42+'SST'!O42+'WH'!O42+'FH'!O42+'KNL HO'!O42+'CCL HO'!O42+'YBHN HO'!O42+'YBN HO'!O42</f>
        <v/>
      </c>
      <c r="P42" s="37">
        <f>'ABA'!P42+'BK'!P42+'BW'!P42+'CED'!P42+'HAB'!P42+'HB'!P42+'OD'!P42+'HDN'!P42+'KIN'!P42+'LE'!P42+'MER'!P42+'NDN'!P42+'SALT'!P42+'SDN'!P42+'SST'!P42+'WH'!P42+'FH'!P42+'KNL HO'!P42+'CCL HO'!P42+'YBHN HO'!P42+'YBN HO'!P42</f>
        <v/>
      </c>
      <c r="Q42" s="37">
        <f>'ABA'!Q42+'BK'!Q42+'BW'!Q42+'CED'!Q42+'HAB'!Q42+'HB'!Q42+'OD'!Q42+'HDN'!Q42+'KIN'!Q42+'LE'!Q42+'MER'!Q42+'NDN'!Q42+'SALT'!Q42+'SDN'!Q42+'SST'!Q42+'WH'!Q42+'FH'!Q42+'KNL HO'!Q42+'CCL HO'!Q42+'YBHN HO'!Q42+'YBN HO'!Q42</f>
        <v/>
      </c>
      <c r="R42" s="37">
        <f>'ABA'!R42+'BK'!R42+'BW'!R42+'CED'!R42+'HAB'!R42+'HB'!R42+'OD'!R42+'HDN'!R42+'KIN'!R42+'LE'!R42+'MER'!R42+'NDN'!R42+'SALT'!R42+'SDN'!R42+'SST'!R42+'WH'!R42+'FH'!R42+'KNL HO'!R42+'CCL HO'!R42+'YBHN HO'!R42+'YBN HO'!R42</f>
        <v/>
      </c>
      <c r="S42" s="37">
        <f>'ABA'!S42+'BK'!S42+'BW'!S42+'CED'!S42+'HAB'!S42+'HB'!S42+'OD'!S42+'HDN'!S42+'KIN'!S42+'LE'!S42+'MER'!S42+'NDN'!S42+'SALT'!S42+'SDN'!S42+'SST'!S42+'WH'!S42+'FH'!S42+'KNL HO'!S42+'CCL HO'!S42+'YBHN HO'!S42+'YBN HO'!S42</f>
        <v/>
      </c>
      <c r="T42" s="37">
        <f>'ABA'!T42+'BK'!T42+'BW'!T42+'CED'!T42+'HAB'!T42+'HB'!T42+'OD'!T42+'HDN'!T42+'KIN'!T42+'LE'!T42+'MER'!T42+'NDN'!T42+'SALT'!T42+'SDN'!T42+'SST'!T42+'WH'!T42+'FH'!T42+'KNL HO'!T42+'CCL HO'!T42+'YBHN HO'!T42+'YBN HO'!T42</f>
        <v/>
      </c>
      <c r="U42" s="37">
        <f>'ABA'!U42+'BK'!U42+'BW'!U42+'CED'!U42+'HAB'!U42+'HB'!U42+'OD'!U42+'HDN'!U42+'KIN'!U42+'LE'!U42+'MER'!U42+'NDN'!U42+'SALT'!U42+'SDN'!U42+'SST'!U42+'WH'!U42+'FH'!U42+'KNL HO'!U42+'CCL HO'!U42+'YBHN HO'!U42+'YBN HO'!U42</f>
        <v/>
      </c>
      <c r="V42" s="38">
        <f>'KNL HO'!V42+'CCL GROUP P&amp;L'!V42+'YBHN GROUP P&amp;L'!V42+'YBN Group P&amp;L'!V42+'HAB'!V42+'Moe2 P&amp;L'!V42</f>
        <v/>
      </c>
      <c r="W42" s="38">
        <f>'KNL HO'!W42+'CCL GROUP P&amp;L'!W42+'YBHN GROUP P&amp;L'!W42+'YBN Group P&amp;L'!W42+'HAB'!W42+'Moe2 P&amp;L'!W42</f>
        <v/>
      </c>
      <c r="X42" s="38">
        <f>'KNL HO'!X42+'CCL GROUP P&amp;L'!X42+'YBHN GROUP P&amp;L'!X42+'YBN Group P&amp;L'!X42+'HAB'!X42+'Moe2 P&amp;L'!X42</f>
        <v/>
      </c>
      <c r="Y42" s="38">
        <f>'KNL HO'!Y42+'CCL GROUP P&amp;L'!Y42+'YBHN GROUP P&amp;L'!Y42+'YBN Group P&amp;L'!Y42+'HAB'!Y42+'Moe2 P&amp;L'!Y42</f>
        <v/>
      </c>
      <c r="Z42" s="38">
        <f>'KNL HO'!Z42+'CCL GROUP P&amp;L'!Z42+'YBHN GROUP P&amp;L'!Z42+'YBN Group P&amp;L'!Z42+'HAB'!Z42+'Moe2 P&amp;L'!Z42</f>
        <v/>
      </c>
      <c r="AA42" s="36">
        <f>SUM(O42:U42)</f>
        <v/>
      </c>
      <c r="AB42" s="36">
        <f>SUM(O42:Z42)</f>
        <v/>
      </c>
      <c r="AC42" s="38">
        <f>'KNL HO'!AC42+'CCL GROUP P&amp;L'!AC42+'YBHN GROUP P&amp;L'!AC42+'YBN Group P&amp;L'!AC42+'HAB'!AC42+'Moe2 P&amp;L'!AC42</f>
        <v/>
      </c>
      <c r="AD42" s="38">
        <f>'KNL HO'!AD42+'CCL GROUP P&amp;L'!AD42+'YBHN GROUP P&amp;L'!AD42+'YBN Group P&amp;L'!AD42+'HAB'!AD42+'Moe2 P&amp;L'!AD42</f>
        <v/>
      </c>
      <c r="AE42" s="38">
        <f>'KNL HO'!AE42+'CCL GROUP P&amp;L'!AE42+'YBHN GROUP P&amp;L'!AE42+'YBN Group P&amp;L'!AE42+'HAB'!AE42+'Moe2 P&amp;L'!AE42</f>
        <v/>
      </c>
      <c r="AF42" s="38">
        <f>'KNL HO'!AF42+'CCL GROUP P&amp;L'!AF42+'YBHN GROUP P&amp;L'!AF42+'YBN Group P&amp;L'!AF42+'HAB'!AF42+'Moe2 P&amp;L'!AF42</f>
        <v/>
      </c>
      <c r="AG42" s="38">
        <f>'KNL HO'!AG42+'CCL GROUP P&amp;L'!AG42+'YBHN GROUP P&amp;L'!AG42+'YBN Group P&amp;L'!AG42+'HAB'!AG42+'Moe2 P&amp;L'!AG42</f>
        <v/>
      </c>
      <c r="AH42" s="38">
        <f>'KNL HO'!AH42+'CCL GROUP P&amp;L'!AH42+'YBHN GROUP P&amp;L'!AH42+'YBN Group P&amp;L'!AH42+'HAB'!AH42+'Moe2 P&amp;L'!AH42</f>
        <v/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6">
        <f>SUM(N42:Z42)-$N42</f>
        <v/>
      </c>
      <c r="AN42" s="40" t="n"/>
      <c r="AO42" s="92">
        <f>SUM(AC42:AE42)+SUM(R42:Z42)</f>
        <v/>
      </c>
      <c r="AP42" s="92">
        <f>SUM(AC42:AH42)+SUM(U42:Z42)</f>
        <v/>
      </c>
    </row>
    <row r="43">
      <c r="A43" s="34" t="inlineStr">
        <is>
          <t>Telephone</t>
        </is>
      </c>
      <c r="B43" s="35" t="n">
        <v>8953.669999999998</v>
      </c>
      <c r="C43" s="35" t="n">
        <v>3823.45</v>
      </c>
      <c r="D43" s="35" t="n">
        <v>4439.29</v>
      </c>
      <c r="E43" s="35" t="n">
        <v>8925.610000000001</v>
      </c>
      <c r="F43" s="35" t="n">
        <v>4190.24</v>
      </c>
      <c r="G43" s="35" t="n">
        <v>4168.8</v>
      </c>
      <c r="H43" s="35" t="n">
        <v>8798.970000000001</v>
      </c>
      <c r="I43" s="35" t="n">
        <v>4603.38</v>
      </c>
      <c r="J43" s="35" t="n">
        <v>5064.8</v>
      </c>
      <c r="K43" s="35" t="n">
        <v>5561.46</v>
      </c>
      <c r="L43" s="35" t="n">
        <v>5573.67</v>
      </c>
      <c r="M43" s="35" t="n">
        <v>5770.099999999999</v>
      </c>
      <c r="N43" s="36">
        <f>SUM(B43:M43)</f>
        <v/>
      </c>
      <c r="O43" s="37">
        <f>'ABA'!O43+'BK'!O43+'BW'!O43+'CED'!O43+'HAB'!O43+'HB'!O43+'OD'!O43+'HDN'!O43+'KIN'!O43+'LE'!O43+'MER'!O43+'NDN'!O43+'SALT'!O43+'SDN'!O43+'SST'!O43+'WH'!O43+'FH'!O43+'KNL HO'!O43+'CCL HO'!O43+'YBHN HO'!O43+'YBN HO'!O43</f>
        <v/>
      </c>
      <c r="P43" s="37">
        <f>'ABA'!P43+'BK'!P43+'BW'!P43+'CED'!P43+'HAB'!P43+'HB'!P43+'OD'!P43+'HDN'!P43+'KIN'!P43+'LE'!P43+'MER'!P43+'NDN'!P43+'SALT'!P43+'SDN'!P43+'SST'!P43+'WH'!P43+'FH'!P43+'KNL HO'!P43+'CCL HO'!P43+'YBHN HO'!P43+'YBN HO'!P43</f>
        <v/>
      </c>
      <c r="Q43" s="37">
        <f>'ABA'!Q43+'BK'!Q43+'BW'!Q43+'CED'!Q43+'HAB'!Q43+'HB'!Q43+'OD'!Q43+'HDN'!Q43+'KIN'!Q43+'LE'!Q43+'MER'!Q43+'NDN'!Q43+'SALT'!Q43+'SDN'!Q43+'SST'!Q43+'WH'!Q43+'FH'!Q43+'KNL HO'!Q43+'CCL HO'!Q43+'YBHN HO'!Q43+'YBN HO'!Q43</f>
        <v/>
      </c>
      <c r="R43" s="37">
        <f>'ABA'!R43+'BK'!R43+'BW'!R43+'CED'!R43+'HAB'!R43+'HB'!R43+'OD'!R43+'HDN'!R43+'KIN'!R43+'LE'!R43+'MER'!R43+'NDN'!R43+'SALT'!R43+'SDN'!R43+'SST'!R43+'WH'!R43+'FH'!R43+'KNL HO'!R43+'CCL HO'!R43+'YBHN HO'!R43+'YBN HO'!R43</f>
        <v/>
      </c>
      <c r="S43" s="37">
        <f>'ABA'!S43+'BK'!S43+'BW'!S43+'CED'!S43+'HAB'!S43+'HB'!S43+'OD'!S43+'HDN'!S43+'KIN'!S43+'LE'!S43+'MER'!S43+'NDN'!S43+'SALT'!S43+'SDN'!S43+'SST'!S43+'WH'!S43+'FH'!S43+'KNL HO'!S43+'CCL HO'!S43+'YBHN HO'!S43+'YBN HO'!S43</f>
        <v/>
      </c>
      <c r="T43" s="37">
        <f>'ABA'!T43+'BK'!T43+'BW'!T43+'CED'!T43+'HAB'!T43+'HB'!T43+'OD'!T43+'HDN'!T43+'KIN'!T43+'LE'!T43+'MER'!T43+'NDN'!T43+'SALT'!T43+'SDN'!T43+'SST'!T43+'WH'!T43+'FH'!T43+'KNL HO'!T43+'CCL HO'!T43+'YBHN HO'!T43+'YBN HO'!T43</f>
        <v/>
      </c>
      <c r="U43" s="37">
        <f>'ABA'!U43+'BK'!U43+'BW'!U43+'CED'!U43+'HAB'!U43+'HB'!U43+'OD'!U43+'HDN'!U43+'KIN'!U43+'LE'!U43+'MER'!U43+'NDN'!U43+'SALT'!U43+'SDN'!U43+'SST'!U43+'WH'!U43+'FH'!U43+'KNL HO'!U43+'CCL HO'!U43+'YBHN HO'!U43+'YBN HO'!U43</f>
        <v/>
      </c>
      <c r="V43" s="38">
        <f>'KNL HO'!V43+'CCL GROUP P&amp;L'!V43+'YBHN GROUP P&amp;L'!V43+'YBN Group P&amp;L'!V43+'HAB'!V43+'Moe2 P&amp;L'!V43</f>
        <v/>
      </c>
      <c r="W43" s="38">
        <f>'KNL HO'!W43+'CCL GROUP P&amp;L'!W43+'YBHN GROUP P&amp;L'!W43+'YBN Group P&amp;L'!W43+'HAB'!W43+'Moe2 P&amp;L'!W43</f>
        <v/>
      </c>
      <c r="X43" s="38">
        <f>'KNL HO'!X43+'CCL GROUP P&amp;L'!X43+'YBHN GROUP P&amp;L'!X43+'YBN Group P&amp;L'!X43+'HAB'!X43+'Moe2 P&amp;L'!X43</f>
        <v/>
      </c>
      <c r="Y43" s="38">
        <f>'KNL HO'!Y43+'CCL GROUP P&amp;L'!Y43+'YBHN GROUP P&amp;L'!Y43+'YBN Group P&amp;L'!Y43+'HAB'!Y43+'Moe2 P&amp;L'!Y43</f>
        <v/>
      </c>
      <c r="Z43" s="38">
        <f>'KNL HO'!Z43+'CCL GROUP P&amp;L'!Z43+'YBHN GROUP P&amp;L'!Z43+'YBN Group P&amp;L'!Z43+'HAB'!Z43+'Moe2 P&amp;L'!Z43</f>
        <v/>
      </c>
      <c r="AA43" s="36">
        <f>SUM(O43:U43)</f>
        <v/>
      </c>
      <c r="AB43" s="36">
        <f>SUM(O43:Z43)</f>
        <v/>
      </c>
      <c r="AC43" s="38">
        <f>'KNL HO'!AC43+'CCL GROUP P&amp;L'!AC43+'YBHN GROUP P&amp;L'!AC43+'YBN Group P&amp;L'!AC43+'HAB'!AC43+'Moe2 P&amp;L'!AC43</f>
        <v/>
      </c>
      <c r="AD43" s="38">
        <f>'KNL HO'!AD43+'CCL GROUP P&amp;L'!AD43+'YBHN GROUP P&amp;L'!AD43+'YBN Group P&amp;L'!AD43+'HAB'!AD43+'Moe2 P&amp;L'!AD43</f>
        <v/>
      </c>
      <c r="AE43" s="38">
        <f>'KNL HO'!AE43+'CCL GROUP P&amp;L'!AE43+'YBHN GROUP P&amp;L'!AE43+'YBN Group P&amp;L'!AE43+'HAB'!AE43+'Moe2 P&amp;L'!AE43</f>
        <v/>
      </c>
      <c r="AF43" s="38">
        <f>'KNL HO'!AF43+'CCL GROUP P&amp;L'!AF43+'YBHN GROUP P&amp;L'!AF43+'YBN Group P&amp;L'!AF43+'HAB'!AF43+'Moe2 P&amp;L'!AF43</f>
        <v/>
      </c>
      <c r="AG43" s="38">
        <f>'KNL HO'!AG43+'CCL GROUP P&amp;L'!AG43+'YBHN GROUP P&amp;L'!AG43+'YBN Group P&amp;L'!AG43+'HAB'!AG43+'Moe2 P&amp;L'!AG43</f>
        <v/>
      </c>
      <c r="AH43" s="38">
        <f>'KNL HO'!AH43+'CCL GROUP P&amp;L'!AH43+'YBHN GROUP P&amp;L'!AH43+'YBN Group P&amp;L'!AH43+'HAB'!AH43+'Moe2 P&amp;L'!AH43</f>
        <v/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6">
        <f>SUM(N43:Z43)-$N43</f>
        <v/>
      </c>
      <c r="AN43" s="40" t="n"/>
      <c r="AO43" s="92">
        <f>SUM(AC43:AE43)+SUM(R43:Z43)</f>
        <v/>
      </c>
      <c r="AP43" s="92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'ABA'!O44+'BK'!O44+'BW'!O44+'CED'!O44+'HAB'!O44+'HB'!O44+'OD'!O44+'HDN'!O44+'KIN'!O44+'LE'!O44+'MER'!O44+'NDN'!O44+'SALT'!O44+'SDN'!O44+'SST'!O44+'WH'!O44+'FH'!O44+'KNL HO'!O44+'CCL HO'!O44+'YBHN HO'!O44+'YBN HO'!O44</f>
        <v/>
      </c>
      <c r="P44" s="37">
        <f>'ABA'!P44+'BK'!P44+'BW'!P44+'CED'!P44+'HAB'!P44+'HB'!P44+'OD'!P44+'HDN'!P44+'KIN'!P44+'LE'!P44+'MER'!P44+'NDN'!P44+'SALT'!P44+'SDN'!P44+'SST'!P44+'WH'!P44+'FH'!P44+'KNL HO'!P44+'CCL HO'!P44+'YBHN HO'!P44+'YBN HO'!P44</f>
        <v/>
      </c>
      <c r="Q44" s="37">
        <f>'ABA'!Q44+'BK'!Q44+'BW'!Q44+'CED'!Q44+'HAB'!Q44+'HB'!Q44+'OD'!Q44+'HDN'!Q44+'KIN'!Q44+'LE'!Q44+'MER'!Q44+'NDN'!Q44+'SALT'!Q44+'SDN'!Q44+'SST'!Q44+'WH'!Q44+'FH'!Q44+'KNL HO'!Q44+'CCL HO'!Q44+'YBHN HO'!Q44+'YBN HO'!Q44</f>
        <v/>
      </c>
      <c r="R44" s="37">
        <f>'ABA'!R44+'BK'!R44+'BW'!R44+'CED'!R44+'HAB'!R44+'HB'!R44+'OD'!R44+'HDN'!R44+'KIN'!R44+'LE'!R44+'MER'!R44+'NDN'!R44+'SALT'!R44+'SDN'!R44+'SST'!R44+'WH'!R44+'FH'!R44+'KNL HO'!R44+'CCL HO'!R44+'YBHN HO'!R44+'YBN HO'!R44</f>
        <v/>
      </c>
      <c r="S44" s="37">
        <f>'ABA'!S44+'BK'!S44+'BW'!S44+'CED'!S44+'HAB'!S44+'HB'!S44+'OD'!S44+'HDN'!S44+'KIN'!S44+'LE'!S44+'MER'!S44+'NDN'!S44+'SALT'!S44+'SDN'!S44+'SST'!S44+'WH'!S44+'FH'!S44+'KNL HO'!S44+'CCL HO'!S44+'YBHN HO'!S44+'YBN HO'!S44</f>
        <v/>
      </c>
      <c r="T44" s="37">
        <f>'ABA'!T44+'BK'!T44+'BW'!T44+'CED'!T44+'HAB'!T44+'HB'!T44+'OD'!T44+'HDN'!T44+'KIN'!T44+'LE'!T44+'MER'!T44+'NDN'!T44+'SALT'!T44+'SDN'!T44+'SST'!T44+'WH'!T44+'FH'!T44+'KNL HO'!T44+'CCL HO'!T44+'YBHN HO'!T44+'YBN HO'!T44</f>
        <v/>
      </c>
      <c r="U44" s="37">
        <f>'ABA'!U44+'BK'!U44+'BW'!U44+'CED'!U44+'HAB'!U44+'HB'!U44+'OD'!U44+'HDN'!U44+'KIN'!U44+'LE'!U44+'MER'!U44+'NDN'!U44+'SALT'!U44+'SDN'!U44+'SST'!U44+'WH'!U44+'FH'!U44+'KNL HO'!U44+'CCL HO'!U44+'YBHN HO'!U44+'YBN HO'!U44</f>
        <v/>
      </c>
      <c r="V44" s="38">
        <f>'KNL HO'!V44+'CCL GROUP P&amp;L'!V44+'YBHN GROUP P&amp;L'!V44+'YBN Group P&amp;L'!V44+'HAB'!V44+'Moe2 P&amp;L'!V44</f>
        <v/>
      </c>
      <c r="W44" s="38">
        <f>'KNL HO'!W44+'CCL GROUP P&amp;L'!W44+'YBHN GROUP P&amp;L'!W44+'YBN Group P&amp;L'!W44+'HAB'!W44+'Moe2 P&amp;L'!W44</f>
        <v/>
      </c>
      <c r="X44" s="38">
        <f>'KNL HO'!X44+'CCL GROUP P&amp;L'!X44+'YBHN GROUP P&amp;L'!X44+'YBN Group P&amp;L'!X44+'HAB'!X44+'Moe2 P&amp;L'!X44</f>
        <v/>
      </c>
      <c r="Y44" s="38">
        <f>'KNL HO'!Y44+'CCL GROUP P&amp;L'!Y44+'YBHN GROUP P&amp;L'!Y44+'YBN Group P&amp;L'!Y44+'HAB'!Y44+'Moe2 P&amp;L'!Y44</f>
        <v/>
      </c>
      <c r="Z44" s="38">
        <f>'KNL HO'!Z44+'CCL GROUP P&amp;L'!Z44+'YBHN GROUP P&amp;L'!Z44+'YBN Group P&amp;L'!Z44+'HAB'!Z44+'Moe2 P&amp;L'!Z44</f>
        <v/>
      </c>
      <c r="AA44" s="36">
        <f>SUM(O44:U44)</f>
        <v/>
      </c>
      <c r="AB44" s="36">
        <f>SUM(O44:Z44)</f>
        <v/>
      </c>
      <c r="AC44" s="38">
        <f>'KNL HO'!AC44+'CCL GROUP P&amp;L'!AC44+'YBHN GROUP P&amp;L'!AC44+'YBN Group P&amp;L'!AC44+'HAB'!AC44+'Moe2 P&amp;L'!AC44</f>
        <v/>
      </c>
      <c r="AD44" s="38">
        <f>'KNL HO'!AD44+'CCL GROUP P&amp;L'!AD44+'YBHN GROUP P&amp;L'!AD44+'YBN Group P&amp;L'!AD44+'HAB'!AD44+'Moe2 P&amp;L'!AD44</f>
        <v/>
      </c>
      <c r="AE44" s="38">
        <f>'KNL HO'!AE44+'CCL GROUP P&amp;L'!AE44+'YBHN GROUP P&amp;L'!AE44+'YBN Group P&amp;L'!AE44+'HAB'!AE44+'Moe2 P&amp;L'!AE44</f>
        <v/>
      </c>
      <c r="AF44" s="38">
        <f>'KNL HO'!AF44+'CCL GROUP P&amp;L'!AF44+'YBHN GROUP P&amp;L'!AF44+'YBN Group P&amp;L'!AF44+'HAB'!AF44+'Moe2 P&amp;L'!AF44</f>
        <v/>
      </c>
      <c r="AG44" s="38">
        <f>'KNL HO'!AG44+'CCL GROUP P&amp;L'!AG44+'YBHN GROUP P&amp;L'!AG44+'YBN Group P&amp;L'!AG44+'HAB'!AG44+'Moe2 P&amp;L'!AG44</f>
        <v/>
      </c>
      <c r="AH44" s="38">
        <f>'KNL HO'!AH44+'CCL GROUP P&amp;L'!AH44+'YBHN GROUP P&amp;L'!AH44+'YBN Group P&amp;L'!AH44+'HAB'!AH44+'Moe2 P&amp;L'!AH44</f>
        <v/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6">
        <f>SUM(N44:Z44)-$N44</f>
        <v/>
      </c>
      <c r="AN44" s="40" t="n"/>
      <c r="AO44" s="92">
        <f>SUM(AC44:AE44)+SUM(R44:Z44)</f>
        <v/>
      </c>
      <c r="AP44" s="92">
        <f>SUM(AC44:AH44)+SUM(U44:Z44)</f>
        <v/>
      </c>
    </row>
    <row r="45">
      <c r="A45" s="34" t="inlineStr">
        <is>
          <t>Marketing</t>
        </is>
      </c>
      <c r="B45" s="35" t="n">
        <v>7231.62</v>
      </c>
      <c r="C45" s="35" t="n">
        <v>7485.74</v>
      </c>
      <c r="D45" s="35" t="n">
        <v>6009.32</v>
      </c>
      <c r="E45" s="35" t="n">
        <v>6562</v>
      </c>
      <c r="F45" s="35" t="n">
        <v>5022.37</v>
      </c>
      <c r="G45" s="35" t="n">
        <v>12641.18</v>
      </c>
      <c r="H45" s="35" t="n">
        <v>5292.8</v>
      </c>
      <c r="I45" s="35" t="n">
        <v>6869.37</v>
      </c>
      <c r="J45" s="35" t="n">
        <v>7028.809999999999</v>
      </c>
      <c r="K45" s="35" t="n">
        <v>3789.18</v>
      </c>
      <c r="L45" s="35" t="n">
        <v>2858.36</v>
      </c>
      <c r="M45" s="35" t="n">
        <v>1836.53</v>
      </c>
      <c r="N45" s="36">
        <f>SUM(B45:M45)</f>
        <v/>
      </c>
      <c r="O45" s="37">
        <f>'ABA'!O45+'BK'!O45+'BW'!O45+'CED'!O45+'HAB'!O45+'HB'!O45+'OD'!O45+'HDN'!O45+'KIN'!O45+'LE'!O45+'MER'!O45+'NDN'!O45+'SALT'!O45+'SDN'!O45+'SST'!O45+'WH'!O45+'FH'!O45+'KNL HO'!O45+'CCL HO'!O45+'YBHN HO'!O45+'YBN HO'!O45</f>
        <v/>
      </c>
      <c r="P45" s="37">
        <f>'ABA'!P45+'BK'!P45+'BW'!P45+'CED'!P45+'HAB'!P45+'HB'!P45+'OD'!P45+'HDN'!P45+'KIN'!P45+'LE'!P45+'MER'!P45+'NDN'!P45+'SALT'!P45+'SDN'!P45+'SST'!P45+'WH'!P45+'FH'!P45+'KNL HO'!P45+'CCL HO'!P45+'YBHN HO'!P45+'YBN HO'!P45</f>
        <v/>
      </c>
      <c r="Q45" s="37">
        <f>'ABA'!Q45+'BK'!Q45+'BW'!Q45+'CED'!Q45+'HAB'!Q45+'HB'!Q45+'OD'!Q45+'HDN'!Q45+'KIN'!Q45+'LE'!Q45+'MER'!Q45+'NDN'!Q45+'SALT'!Q45+'SDN'!Q45+'SST'!Q45+'WH'!Q45+'FH'!Q45+'KNL HO'!Q45+'CCL HO'!Q45+'YBHN HO'!Q45+'YBN HO'!Q45</f>
        <v/>
      </c>
      <c r="R45" s="37">
        <f>'ABA'!R45+'BK'!R45+'BW'!R45+'CED'!R45+'HAB'!R45+'HB'!R45+'OD'!R45+'HDN'!R45+'KIN'!R45+'LE'!R45+'MER'!R45+'NDN'!R45+'SALT'!R45+'SDN'!R45+'SST'!R45+'WH'!R45+'FH'!R45+'KNL HO'!R45+'CCL HO'!R45+'YBHN HO'!R45+'YBN HO'!R45</f>
        <v/>
      </c>
      <c r="S45" s="37">
        <f>'ABA'!S45+'BK'!S45+'BW'!S45+'CED'!S45+'HAB'!S45+'HB'!S45+'OD'!S45+'HDN'!S45+'KIN'!S45+'LE'!S45+'MER'!S45+'NDN'!S45+'SALT'!S45+'SDN'!S45+'SST'!S45+'WH'!S45+'FH'!S45+'KNL HO'!S45+'CCL HO'!S45+'YBHN HO'!S45+'YBN HO'!S45</f>
        <v/>
      </c>
      <c r="T45" s="37">
        <f>'ABA'!T45+'BK'!T45+'BW'!T45+'CED'!T45+'HAB'!T45+'HB'!T45+'OD'!T45+'HDN'!T45+'KIN'!T45+'LE'!T45+'MER'!T45+'NDN'!T45+'SALT'!T45+'SDN'!T45+'SST'!T45+'WH'!T45+'FH'!T45+'KNL HO'!T45+'CCL HO'!T45+'YBHN HO'!T45+'YBN HO'!T45</f>
        <v/>
      </c>
      <c r="U45" s="37">
        <f>'ABA'!U45+'BK'!U45+'BW'!U45+'CED'!U45+'HAB'!U45+'HB'!U45+'OD'!U45+'HDN'!U45+'KIN'!U45+'LE'!U45+'MER'!U45+'NDN'!U45+'SALT'!U45+'SDN'!U45+'SST'!U45+'WH'!U45+'FH'!U45+'KNL HO'!U45+'CCL HO'!U45+'YBHN HO'!U45+'YBN HO'!U45</f>
        <v/>
      </c>
      <c r="V45" s="38">
        <f>'KNL HO'!V45+'CCL GROUP P&amp;L'!V45+'YBHN GROUP P&amp;L'!V45+'YBN Group P&amp;L'!V45+'HAB'!V45+'Moe2 P&amp;L'!V45</f>
        <v/>
      </c>
      <c r="W45" s="38">
        <f>'KNL HO'!W45+'CCL GROUP P&amp;L'!W45+'YBHN GROUP P&amp;L'!W45+'YBN Group P&amp;L'!W45+'HAB'!W45+'Moe2 P&amp;L'!W45</f>
        <v/>
      </c>
      <c r="X45" s="38">
        <f>'KNL HO'!X45+'CCL GROUP P&amp;L'!X45+'YBHN GROUP P&amp;L'!X45+'YBN Group P&amp;L'!X45+'HAB'!X45+'Moe2 P&amp;L'!X45</f>
        <v/>
      </c>
      <c r="Y45" s="38">
        <f>'KNL HO'!Y45+'CCL GROUP P&amp;L'!Y45+'YBHN GROUP P&amp;L'!Y45+'YBN Group P&amp;L'!Y45+'HAB'!Y45+'Moe2 P&amp;L'!Y45</f>
        <v/>
      </c>
      <c r="Z45" s="38">
        <f>'KNL HO'!Z45+'CCL GROUP P&amp;L'!Z45+'YBHN GROUP P&amp;L'!Z45+'YBN Group P&amp;L'!Z45+'HAB'!Z45+'Moe2 P&amp;L'!Z45</f>
        <v/>
      </c>
      <c r="AA45" s="36">
        <f>SUM(O45:U45)</f>
        <v/>
      </c>
      <c r="AB45" s="36">
        <f>SUM(O45:Z45)</f>
        <v/>
      </c>
      <c r="AC45" s="38">
        <f>'KNL HO'!AC45+'CCL GROUP P&amp;L'!AC45+'YBHN GROUP P&amp;L'!AC45+'YBN Group P&amp;L'!AC45+'HAB'!AC45+'Moe2 P&amp;L'!AC45</f>
        <v/>
      </c>
      <c r="AD45" s="38">
        <f>'KNL HO'!AD45+'CCL GROUP P&amp;L'!AD45+'YBHN GROUP P&amp;L'!AD45+'YBN Group P&amp;L'!AD45+'HAB'!AD45+'Moe2 P&amp;L'!AD45</f>
        <v/>
      </c>
      <c r="AE45" s="38">
        <f>'KNL HO'!AE45+'CCL GROUP P&amp;L'!AE45+'YBHN GROUP P&amp;L'!AE45+'YBN Group P&amp;L'!AE45+'HAB'!AE45+'Moe2 P&amp;L'!AE45</f>
        <v/>
      </c>
      <c r="AF45" s="38">
        <f>'KNL HO'!AF45+'CCL GROUP P&amp;L'!AF45+'YBHN GROUP P&amp;L'!AF45+'YBN Group P&amp;L'!AF45+'HAB'!AF45+'Moe2 P&amp;L'!AF45</f>
        <v/>
      </c>
      <c r="AG45" s="38">
        <f>'KNL HO'!AG45+'CCL GROUP P&amp;L'!AG45+'YBHN GROUP P&amp;L'!AG45+'YBN Group P&amp;L'!AG45+'HAB'!AG45+'Moe2 P&amp;L'!AG45</f>
        <v/>
      </c>
      <c r="AH45" s="38">
        <f>'KNL HO'!AH45+'CCL GROUP P&amp;L'!AH45+'YBHN GROUP P&amp;L'!AH45+'YBN Group P&amp;L'!AH45+'HAB'!AH45+'Moe2 P&amp;L'!AH45</f>
        <v/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6">
        <f>SUM(N45:Z45)-$N45</f>
        <v/>
      </c>
      <c r="AN45" s="40" t="n"/>
      <c r="AO45" s="92">
        <f>SUM(AC45:AE45)+SUM(R45:Z45)</f>
        <v/>
      </c>
      <c r="AP45" s="92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460.32</v>
      </c>
      <c r="I46" s="35" t="n">
        <v>475.15</v>
      </c>
      <c r="J46" s="35" t="n">
        <v>212.63</v>
      </c>
      <c r="K46" s="35" t="n">
        <v>102.57</v>
      </c>
      <c r="L46" s="35" t="n">
        <v>0</v>
      </c>
      <c r="M46" s="35" t="n">
        <v>55.85</v>
      </c>
      <c r="N46" s="36">
        <f>SUM(B46:M46)</f>
        <v/>
      </c>
      <c r="O46" s="37">
        <f>'ABA'!O46+'BK'!O46+'BW'!O46+'CED'!O46+'HAB'!O46+'HB'!O46+'OD'!O46+'HDN'!O46+'KIN'!O46+'LE'!O46+'MER'!O46+'NDN'!O46+'SALT'!O46+'SDN'!O46+'SST'!O46+'WH'!O46+'FH'!O46+'KNL HO'!O46+'CCL HO'!O46+'YBHN HO'!O46+'YBN HO'!O46</f>
        <v/>
      </c>
      <c r="P46" s="37">
        <f>'ABA'!P46+'BK'!P46+'BW'!P46+'CED'!P46+'HAB'!P46+'HB'!P46+'OD'!P46+'HDN'!P46+'KIN'!P46+'LE'!P46+'MER'!P46+'NDN'!P46+'SALT'!P46+'SDN'!P46+'SST'!P46+'WH'!P46+'FH'!P46+'KNL HO'!P46+'CCL HO'!P46+'YBHN HO'!P46+'YBN HO'!P46</f>
        <v/>
      </c>
      <c r="Q46" s="37">
        <f>'ABA'!Q46+'BK'!Q46+'BW'!Q46+'CED'!Q46+'HAB'!Q46+'HB'!Q46+'OD'!Q46+'HDN'!Q46+'KIN'!Q46+'LE'!Q46+'MER'!Q46+'NDN'!Q46+'SALT'!Q46+'SDN'!Q46+'SST'!Q46+'WH'!Q46+'FH'!Q46+'KNL HO'!Q46+'CCL HO'!Q46+'YBHN HO'!Q46+'YBN HO'!Q46</f>
        <v/>
      </c>
      <c r="R46" s="37">
        <f>'ABA'!R46+'BK'!R46+'BW'!R46+'CED'!R46+'HAB'!R46+'HB'!R46+'OD'!R46+'HDN'!R46+'KIN'!R46+'LE'!R46+'MER'!R46+'NDN'!R46+'SALT'!R46+'SDN'!R46+'SST'!R46+'WH'!R46+'FH'!R46+'KNL HO'!R46+'CCL HO'!R46+'YBHN HO'!R46+'YBN HO'!R46</f>
        <v/>
      </c>
      <c r="S46" s="37">
        <f>'ABA'!S46+'BK'!S46+'BW'!S46+'CED'!S46+'HAB'!S46+'HB'!S46+'OD'!S46+'HDN'!S46+'KIN'!S46+'LE'!S46+'MER'!S46+'NDN'!S46+'SALT'!S46+'SDN'!S46+'SST'!S46+'WH'!S46+'FH'!S46+'KNL HO'!S46+'CCL HO'!S46+'YBHN HO'!S46+'YBN HO'!S46</f>
        <v/>
      </c>
      <c r="T46" s="37">
        <f>'ABA'!T46+'BK'!T46+'BW'!T46+'CED'!T46+'HAB'!T46+'HB'!T46+'OD'!T46+'HDN'!T46+'KIN'!T46+'LE'!T46+'MER'!T46+'NDN'!T46+'SALT'!T46+'SDN'!T46+'SST'!T46+'WH'!T46+'FH'!T46+'KNL HO'!T46+'CCL HO'!T46+'YBHN HO'!T46+'YBN HO'!T46</f>
        <v/>
      </c>
      <c r="U46" s="37">
        <f>'ABA'!U46+'BK'!U46+'BW'!U46+'CED'!U46+'HAB'!U46+'HB'!U46+'OD'!U46+'HDN'!U46+'KIN'!U46+'LE'!U46+'MER'!U46+'NDN'!U46+'SALT'!U46+'SDN'!U46+'SST'!U46+'WH'!U46+'FH'!U46+'KNL HO'!U46+'CCL HO'!U46+'YBHN HO'!U46+'YBN HO'!U46</f>
        <v/>
      </c>
      <c r="V46" s="38">
        <f>'KNL HO'!V46+'CCL GROUP P&amp;L'!V46+'YBHN GROUP P&amp;L'!V46+'YBN Group P&amp;L'!V46+'HAB'!V46+'Moe2 P&amp;L'!V46</f>
        <v/>
      </c>
      <c r="W46" s="38">
        <f>'KNL HO'!W46+'CCL GROUP P&amp;L'!W46+'YBHN GROUP P&amp;L'!W46+'YBN Group P&amp;L'!W46+'HAB'!W46+'Moe2 P&amp;L'!W46</f>
        <v/>
      </c>
      <c r="X46" s="38">
        <f>'KNL HO'!X46+'CCL GROUP P&amp;L'!X46+'YBHN GROUP P&amp;L'!X46+'YBN Group P&amp;L'!X46+'HAB'!X46+'Moe2 P&amp;L'!X46</f>
        <v/>
      </c>
      <c r="Y46" s="38">
        <f>'KNL HO'!Y46+'CCL GROUP P&amp;L'!Y46+'YBHN GROUP P&amp;L'!Y46+'YBN Group P&amp;L'!Y46+'HAB'!Y46+'Moe2 P&amp;L'!Y46</f>
        <v/>
      </c>
      <c r="Z46" s="38">
        <f>'KNL HO'!Z46+'CCL GROUP P&amp;L'!Z46+'YBHN GROUP P&amp;L'!Z46+'YBN Group P&amp;L'!Z46+'HAB'!Z46+'Moe2 P&amp;L'!Z46</f>
        <v/>
      </c>
      <c r="AA46" s="36">
        <f>SUM(O46:U46)</f>
        <v/>
      </c>
      <c r="AB46" s="36">
        <f>SUM(O46:Z46)</f>
        <v/>
      </c>
      <c r="AC46" s="38">
        <f>'KNL HO'!AC46+'CCL GROUP P&amp;L'!AC46+'YBHN GROUP P&amp;L'!AC46+'YBN Group P&amp;L'!AC46+'HAB'!AC46+'Moe2 P&amp;L'!AC46</f>
        <v/>
      </c>
      <c r="AD46" s="38">
        <f>'KNL HO'!AD46+'CCL GROUP P&amp;L'!AD46+'YBHN GROUP P&amp;L'!AD46+'YBN Group P&amp;L'!AD46+'HAB'!AD46+'Moe2 P&amp;L'!AD46</f>
        <v/>
      </c>
      <c r="AE46" s="38">
        <f>'KNL HO'!AE46+'CCL GROUP P&amp;L'!AE46+'YBHN GROUP P&amp;L'!AE46+'YBN Group P&amp;L'!AE46+'HAB'!AE46+'Moe2 P&amp;L'!AE46</f>
        <v/>
      </c>
      <c r="AF46" s="38">
        <f>'KNL HO'!AF46+'CCL GROUP P&amp;L'!AF46+'YBHN GROUP P&amp;L'!AF46+'YBN Group P&amp;L'!AF46+'HAB'!AF46+'Moe2 P&amp;L'!AF46</f>
        <v/>
      </c>
      <c r="AG46" s="38">
        <f>'KNL HO'!AG46+'CCL GROUP P&amp;L'!AG46+'YBHN GROUP P&amp;L'!AG46+'YBN Group P&amp;L'!AG46+'HAB'!AG46+'Moe2 P&amp;L'!AG46</f>
        <v/>
      </c>
      <c r="AH46" s="38">
        <f>'KNL HO'!AH46+'CCL GROUP P&amp;L'!AH46+'YBHN GROUP P&amp;L'!AH46+'YBN Group P&amp;L'!AH46+'HAB'!AH46+'Moe2 P&amp;L'!AH46</f>
        <v/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6">
        <f>SUM(N46:Z46)-$N46</f>
        <v/>
      </c>
      <c r="AN46" s="40" t="n"/>
      <c r="AO46" s="92">
        <f>SUM(AC46:AE46)+SUM(R46:Z46)</f>
        <v/>
      </c>
      <c r="AP46" s="92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104786.72</v>
      </c>
      <c r="C47" s="42" t="n">
        <v>102740.01</v>
      </c>
      <c r="D47" s="42" t="n">
        <v>109444.19</v>
      </c>
      <c r="E47" s="42" t="n">
        <v>113384.44</v>
      </c>
      <c r="F47" s="42" t="n">
        <v>96923.23999999999</v>
      </c>
      <c r="G47" s="42" t="n">
        <v>101096.97</v>
      </c>
      <c r="H47" s="42" t="n">
        <v>91871.87000000002</v>
      </c>
      <c r="I47" s="42" t="n">
        <v>90463.60999999999</v>
      </c>
      <c r="J47" s="42" t="n">
        <v>83945.06</v>
      </c>
      <c r="K47" s="42" t="n">
        <v>90760.58</v>
      </c>
      <c r="L47" s="42" t="n">
        <v>84121.7</v>
      </c>
      <c r="M47" s="42" t="n">
        <v>86490.11</v>
      </c>
      <c r="N47" s="43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'KNL HO'!V47+'CCL GROUP P&amp;L'!V47+'YBHN GROUP P&amp;L'!V47+'YBN Group P&amp;L'!V47+'HAB'!V47+'Moe2 P&amp;L'!V47</f>
        <v/>
      </c>
      <c r="W47" s="45">
        <f>'KNL HO'!W47+'CCL GROUP P&amp;L'!W47+'YBHN GROUP P&amp;L'!W47+'YBN Group P&amp;L'!W47+'HAB'!W47+'Moe2 P&amp;L'!W47</f>
        <v/>
      </c>
      <c r="X47" s="45">
        <f>'KNL HO'!X47+'CCL GROUP P&amp;L'!X47+'YBHN GROUP P&amp;L'!X47+'YBN Group P&amp;L'!X47+'HAB'!X47+'Moe2 P&amp;L'!X47</f>
        <v/>
      </c>
      <c r="Y47" s="45">
        <f>'KNL HO'!Y47+'CCL GROUP P&amp;L'!Y47+'YBHN GROUP P&amp;L'!Y47+'YBN Group P&amp;L'!Y47+'HAB'!Y47+'Moe2 P&amp;L'!Y47</f>
        <v/>
      </c>
      <c r="Z47" s="45">
        <f>'KNL HO'!Z47+'CCL GROUP P&amp;L'!Z47+'YBHN GROUP P&amp;L'!Z47+'YBN Group P&amp;L'!Z47+'HAB'!Z47+'Moe2 P&amp;L'!Z47</f>
        <v/>
      </c>
      <c r="AA47" s="43">
        <f>SUM(O47:U47)</f>
        <v/>
      </c>
      <c r="AB47" s="43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43">
        <f>SUM(E47:Q47)-$N47</f>
        <v/>
      </c>
      <c r="AK47" s="43">
        <f>SUM(H47:T47)-$N47</f>
        <v/>
      </c>
      <c r="AL47" s="43">
        <f>SUM(K47:W47)-$N47</f>
        <v/>
      </c>
      <c r="AM47" s="43">
        <f>SUM(N47:Z47)-$N47</f>
        <v/>
      </c>
      <c r="AN47" s="40" t="n"/>
      <c r="AO47" s="93">
        <f>SUM(AC47:AE47)+SUM(R47:Z47)</f>
        <v/>
      </c>
      <c r="AP47" s="93">
        <f>SUM(AC47:AH47)+SUM(U47:Z47)</f>
        <v/>
      </c>
    </row>
    <row r="48" ht="15.75" customHeight="1">
      <c r="A48" s="96" t="inlineStr">
        <is>
          <t>Total Direct Costs</t>
        </is>
      </c>
      <c r="B48" s="97" t="n">
        <v>593308.08</v>
      </c>
      <c r="C48" s="97" t="n">
        <v>601457.04</v>
      </c>
      <c r="D48" s="97" t="n">
        <v>595179.59</v>
      </c>
      <c r="E48" s="97" t="n">
        <v>657683.8300000001</v>
      </c>
      <c r="F48" s="97" t="n">
        <v>657881.76</v>
      </c>
      <c r="G48" s="97" t="n">
        <v>641450.24</v>
      </c>
      <c r="H48" s="97" t="n">
        <v>670848.8300000001</v>
      </c>
      <c r="I48" s="97" t="n">
        <v>623265.5700000001</v>
      </c>
      <c r="J48" s="97" t="n">
        <v>643907.0899999999</v>
      </c>
      <c r="K48" s="97" t="n">
        <v>658803.66</v>
      </c>
      <c r="L48" s="97" t="n">
        <v>623280.2899999999</v>
      </c>
      <c r="M48" s="97" t="n">
        <v>631531.24</v>
      </c>
      <c r="N48" s="43">
        <f>SUM(B48:M48)</f>
        <v/>
      </c>
      <c r="O48" s="98">
        <f>O25+O34+O47</f>
        <v/>
      </c>
      <c r="P48" s="98">
        <f>P25+P34+P47</f>
        <v/>
      </c>
      <c r="Q48" s="98">
        <f>Q25+Q34+Q47</f>
        <v/>
      </c>
      <c r="R48" s="98">
        <f>R25+R34+R47</f>
        <v/>
      </c>
      <c r="S48" s="98">
        <f>S25+S34+S47</f>
        <v/>
      </c>
      <c r="T48" s="98">
        <f>T25+T34+T47</f>
        <v/>
      </c>
      <c r="U48" s="98">
        <f>U25+U34+U47</f>
        <v/>
      </c>
      <c r="V48" s="99">
        <f>V25+V34+V47</f>
        <v/>
      </c>
      <c r="W48" s="99">
        <f>W25+W34+W47</f>
        <v/>
      </c>
      <c r="X48" s="99">
        <f>X25+X34+X47</f>
        <v/>
      </c>
      <c r="Y48" s="99">
        <f>Y25+Y34+Y47</f>
        <v/>
      </c>
      <c r="Z48" s="99">
        <f>Z25+Z34+Z47</f>
        <v/>
      </c>
      <c r="AA48" s="43">
        <f>SUM(O48:U48)</f>
        <v/>
      </c>
      <c r="AB48" s="43">
        <f>AB25+AB34+AB47</f>
        <v/>
      </c>
      <c r="AC48" s="99">
        <f>AC25+AC34+AC47</f>
        <v/>
      </c>
      <c r="AD48" s="99">
        <f>AD25+AD34+AD47</f>
        <v/>
      </c>
      <c r="AE48" s="99">
        <f>AE25+AE34+AE47</f>
        <v/>
      </c>
      <c r="AF48" s="99">
        <f>AF25+AF34+AF47</f>
        <v/>
      </c>
      <c r="AG48" s="99">
        <f>AG25+AG34+AG47</f>
        <v/>
      </c>
      <c r="AH48" s="99">
        <f>AH25+AH34+AH47</f>
        <v/>
      </c>
      <c r="AI48" s="8" t="n"/>
      <c r="AJ48" s="43">
        <f>AJ25+AJ34+AJ47</f>
        <v/>
      </c>
      <c r="AK48" s="43">
        <f>AK25+AK34+AK47</f>
        <v/>
      </c>
      <c r="AL48" s="43">
        <f>AL25+AL34+AL47</f>
        <v/>
      </c>
      <c r="AM48" s="43">
        <f>AM25+AM34+AM47</f>
        <v/>
      </c>
      <c r="AN48" s="40" t="n"/>
      <c r="AO48" s="93">
        <f>AO25+AO34+AO47</f>
        <v/>
      </c>
      <c r="AP48" s="93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 t="n"/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9">
        <f>SUM(O49:U49)</f>
        <v/>
      </c>
      <c r="AB49" s="100" t="n"/>
      <c r="AC49" s="20">
        <f>'KNL HO'!AC49+'CCL GROUP P&amp;L'!AC49+'YBHN GROUP P&amp;L'!AC49+'YBN Group P&amp;L'!AC49+'HAB'!AC49+'Moe2 P&amp;L'!AC49</f>
        <v/>
      </c>
      <c r="AD49" s="20">
        <f>'KNL HO'!AD49+'CCL GROUP P&amp;L'!AD49+'YBHN GROUP P&amp;L'!AD49+'YBN Group P&amp;L'!AD49+'HAB'!AD49+'Moe2 P&amp;L'!AD49</f>
        <v/>
      </c>
      <c r="AE49" s="20">
        <f>'KNL HO'!AE49+'CCL GROUP P&amp;L'!AE49+'YBHN GROUP P&amp;L'!AE49+'YBN Group P&amp;L'!AE49+'HAB'!AE49+'Moe2 P&amp;L'!AE49</f>
        <v/>
      </c>
      <c r="AF49" s="20">
        <f>'KNL HO'!AF49+'CCL GROUP P&amp;L'!AF49+'YBHN GROUP P&amp;L'!AF49+'YBN Group P&amp;L'!AF49+'HAB'!AF49+'Moe2 P&amp;L'!AF49</f>
        <v/>
      </c>
      <c r="AG49" s="20">
        <f>'KNL HO'!AG49+'CCL GROUP P&amp;L'!AG49+'YBHN GROUP P&amp;L'!AG49+'YBN Group P&amp;L'!AG49+'HAB'!AG49+'Moe2 P&amp;L'!AG49</f>
        <v/>
      </c>
      <c r="AH49" s="20">
        <f>'KNL HO'!AH49+'CCL GROUP P&amp;L'!AH49+'YBHN GROUP P&amp;L'!AH49+'YBN Group P&amp;L'!AH49+'HAB'!AH49+'Moe2 P&amp;L'!AH49</f>
        <v/>
      </c>
      <c r="AI49" s="8" t="n"/>
      <c r="AJ49" s="36" t="n"/>
      <c r="AK49" s="36" t="n"/>
      <c r="AL49" s="36" t="n"/>
      <c r="AM49" s="36" t="n"/>
      <c r="AN49" s="40" t="n"/>
      <c r="AO49" s="92" t="n"/>
      <c r="AP49" s="92" t="n"/>
    </row>
    <row r="50">
      <c r="A50" s="54" t="inlineStr">
        <is>
          <t>CONTRIBUTION</t>
        </is>
      </c>
      <c r="B50" s="55" t="n">
        <v>269219.9400000001</v>
      </c>
      <c r="C50" s="55" t="n">
        <v>301867</v>
      </c>
      <c r="D50" s="55" t="n">
        <v>478366.39</v>
      </c>
      <c r="E50" s="55" t="n">
        <v>308137.9299999997</v>
      </c>
      <c r="F50" s="55" t="n">
        <v>198014.5800000001</v>
      </c>
      <c r="G50" s="55" t="n">
        <v>340460.8300000001</v>
      </c>
      <c r="H50" s="55" t="n">
        <v>618330.7199999997</v>
      </c>
      <c r="I50" s="55" t="n">
        <v>141509.5499999999</v>
      </c>
      <c r="J50" s="55" t="n">
        <v>119024.2300000001</v>
      </c>
      <c r="K50" s="55" t="n">
        <v>137562.37</v>
      </c>
      <c r="L50" s="55" t="n">
        <v>324270.7100000001</v>
      </c>
      <c r="M50" s="55" t="n">
        <v>536706.72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101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56" t="n"/>
      <c r="AJ50" s="101">
        <f>AJ11-AJ48</f>
        <v/>
      </c>
      <c r="AK50" s="101">
        <f>AK11-AK48</f>
        <v/>
      </c>
      <c r="AL50" s="101">
        <f>AL11-AL48</f>
        <v/>
      </c>
      <c r="AM50" s="101">
        <f>AM11-AM48</f>
        <v/>
      </c>
      <c r="AN50" s="56" t="n"/>
      <c r="AO50" s="102">
        <f>AO11-AO48</f>
        <v/>
      </c>
      <c r="AP50" s="102">
        <f>AP11-AP48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 t="n"/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9">
        <f>SUM(O51:U51)</f>
        <v/>
      </c>
      <c r="AB51" s="36" t="n"/>
      <c r="AC51" s="20">
        <f>'KNL HO'!AC51+'CCL GROUP P&amp;L'!AC51+'YBHN GROUP P&amp;L'!AC51+'YBN Group P&amp;L'!AC51+'HAB'!AC51+'Moe2 P&amp;L'!AC51</f>
        <v/>
      </c>
      <c r="AD51" s="20">
        <f>'KNL HO'!AD51+'CCL GROUP P&amp;L'!AD51+'YBHN GROUP P&amp;L'!AD51+'YBN Group P&amp;L'!AD51+'HAB'!AD51+'Moe2 P&amp;L'!AD51</f>
        <v/>
      </c>
      <c r="AE51" s="20">
        <f>'KNL HO'!AE51+'CCL GROUP P&amp;L'!AE51+'YBHN GROUP P&amp;L'!AE51+'YBN Group P&amp;L'!AE51+'HAB'!AE51+'Moe2 P&amp;L'!AE51</f>
        <v/>
      </c>
      <c r="AF51" s="20">
        <f>'KNL HO'!AF51+'CCL GROUP P&amp;L'!AF51+'YBHN GROUP P&amp;L'!AF51+'YBN Group P&amp;L'!AF51+'HAB'!AF51+'Moe2 P&amp;L'!AF51</f>
        <v/>
      </c>
      <c r="AG51" s="20">
        <f>'KNL HO'!AG51+'CCL GROUP P&amp;L'!AG51+'YBHN GROUP P&amp;L'!AG51+'YBN Group P&amp;L'!AG51+'HAB'!AG51+'Moe2 P&amp;L'!AG51</f>
        <v/>
      </c>
      <c r="AH51" s="20">
        <f>'KNL HO'!AH51+'CCL GROUP P&amp;L'!AH51+'YBHN GROUP P&amp;L'!AH51+'YBN Group P&amp;L'!AH51+'HAB'!AH51+'Moe2 P&amp;L'!AH51</f>
        <v/>
      </c>
      <c r="AI51" s="8" t="n"/>
      <c r="AJ51" s="36" t="n"/>
      <c r="AK51" s="36" t="n"/>
      <c r="AL51" s="36" t="n"/>
      <c r="AM51" s="36" t="n"/>
      <c r="AN51" s="40" t="n"/>
      <c r="AO51" s="92" t="n"/>
      <c r="AP51" s="92" t="n"/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 t="n"/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9">
        <f>SUM(O52:U52)</f>
        <v/>
      </c>
      <c r="AB52" s="36" t="n"/>
      <c r="AC52" s="20">
        <f>'KNL HO'!AC52+'CCL GROUP P&amp;L'!AC52+'YBHN GROUP P&amp;L'!AC52+'YBN Group P&amp;L'!AC52+'HAB'!AC52+'Moe2 P&amp;L'!AC52</f>
        <v/>
      </c>
      <c r="AD52" s="20">
        <f>'KNL HO'!AD52+'CCL GROUP P&amp;L'!AD52+'YBHN GROUP P&amp;L'!AD52+'YBN Group P&amp;L'!AD52+'HAB'!AD52+'Moe2 P&amp;L'!AD52</f>
        <v/>
      </c>
      <c r="AE52" s="20">
        <f>'KNL HO'!AE52+'CCL GROUP P&amp;L'!AE52+'YBHN GROUP P&amp;L'!AE52+'YBN Group P&amp;L'!AE52+'HAB'!AE52+'Moe2 P&amp;L'!AE52</f>
        <v/>
      </c>
      <c r="AF52" s="20">
        <f>'KNL HO'!AF52+'CCL GROUP P&amp;L'!AF52+'YBHN GROUP P&amp;L'!AF52+'YBN Group P&amp;L'!AF52+'HAB'!AF52+'Moe2 P&amp;L'!AF52</f>
        <v/>
      </c>
      <c r="AG52" s="20">
        <f>'KNL HO'!AG52+'CCL GROUP P&amp;L'!AG52+'YBHN GROUP P&amp;L'!AG52+'YBN Group P&amp;L'!AG52+'HAB'!AG52+'Moe2 P&amp;L'!AG52</f>
        <v/>
      </c>
      <c r="AH52" s="20">
        <f>'KNL HO'!AH52+'CCL GROUP P&amp;L'!AH52+'YBHN GROUP P&amp;L'!AH52+'YBN Group P&amp;L'!AH52+'HAB'!AH52+'Moe2 P&amp;L'!AH52</f>
        <v/>
      </c>
      <c r="AI52" s="8" t="n"/>
      <c r="AJ52" s="36" t="n"/>
      <c r="AK52" s="36" t="n"/>
      <c r="AL52" s="36" t="n"/>
      <c r="AM52" s="36" t="n"/>
      <c r="AN52" s="40" t="n"/>
      <c r="AO52" s="92" t="n"/>
      <c r="AP52" s="92" t="n"/>
    </row>
    <row r="53">
      <c r="A53" s="34" t="inlineStr">
        <is>
          <t>HO Salaries</t>
        </is>
      </c>
      <c r="B53" s="35" t="n">
        <v>82089.10000000001</v>
      </c>
      <c r="C53" s="35" t="n">
        <v>83145.28</v>
      </c>
      <c r="D53" s="35" t="n">
        <v>82791.22</v>
      </c>
      <c r="E53" s="35" t="n">
        <v>134235.96</v>
      </c>
      <c r="F53" s="35" t="n">
        <v>81426.45999999999</v>
      </c>
      <c r="G53" s="35" t="n">
        <v>97910.46000000001</v>
      </c>
      <c r="H53" s="35" t="n">
        <v>97978.69</v>
      </c>
      <c r="I53" s="35" t="n">
        <v>112374.73</v>
      </c>
      <c r="J53" s="35" t="n">
        <v>137394</v>
      </c>
      <c r="K53" s="35" t="n">
        <v>102166.94</v>
      </c>
      <c r="L53" s="35" t="n">
        <v>108279</v>
      </c>
      <c r="M53" s="35" t="n">
        <v>384692.96</v>
      </c>
      <c r="N53" s="36">
        <f>SUM(B53:M53)</f>
        <v/>
      </c>
      <c r="O53" s="37">
        <f>'ABA'!O53+'BK'!O53+'BW'!O53+'CED'!O53+'HAB'!O53+'HB'!O53+'OD'!O53+'HDN'!O53+'KIN'!O53+'LE'!O53+'MER'!O53+'NDN'!O53+'SALT'!O53+'SDN'!O53+'SST'!O53+'WH'!O53+'FH'!O53+'KNL HO'!O53+'CCL HO'!O53+'YBHN HO'!O53+'YBN HO'!O53</f>
        <v/>
      </c>
      <c r="P53" s="37">
        <f>'ABA'!P53+'BK'!P53+'BW'!P53+'CED'!P53+'HAB'!P53+'HB'!P53+'OD'!P53+'HDN'!P53+'KIN'!P53+'LE'!P53+'MER'!P53+'NDN'!P53+'SALT'!P53+'SDN'!P53+'SST'!P53+'WH'!P53+'FH'!P53+'KNL HO'!P53+'CCL HO'!P53+'YBHN HO'!P53+'YBN HO'!P53</f>
        <v/>
      </c>
      <c r="Q53" s="37">
        <f>'ABA'!Q53+'BK'!Q53+'BW'!Q53+'CED'!Q53+'HAB'!Q53+'HB'!Q53+'OD'!Q53+'HDN'!Q53+'KIN'!Q53+'LE'!Q53+'MER'!Q53+'NDN'!Q53+'SALT'!Q53+'SDN'!Q53+'SST'!Q53+'WH'!Q53+'FH'!Q53+'KNL HO'!Q53+'CCL HO'!Q53+'YBHN HO'!Q53+'YBN HO'!Q53</f>
        <v/>
      </c>
      <c r="R53" s="37">
        <f>'ABA'!R53+'BK'!R53+'BW'!R53+'CED'!R53+'HAB'!R53+'HB'!R53+'OD'!R53+'HDN'!R53+'KIN'!R53+'LE'!R53+'MER'!R53+'NDN'!R53+'SALT'!R53+'SDN'!R53+'SST'!R53+'WH'!R53+'FH'!R53+'KNL HO'!R53+'CCL HO'!R53+'YBHN HO'!R53+'YBN HO'!R53</f>
        <v/>
      </c>
      <c r="S53" s="37">
        <f>'ABA'!S53+'BK'!S53+'BW'!S53+'CED'!S53+'HAB'!S53+'HB'!S53+'OD'!S53+'HDN'!S53+'KIN'!S53+'LE'!S53+'MER'!S53+'NDN'!S53+'SALT'!S53+'SDN'!S53+'SST'!S53+'WH'!S53+'FH'!S53+'KNL HO'!S53+'CCL HO'!S53+'YBHN HO'!S53+'YBN HO'!S53</f>
        <v/>
      </c>
      <c r="T53" s="37">
        <f>'ABA'!T53+'BK'!T53+'BW'!T53+'CED'!T53+'HAB'!T53+'HB'!T53+'OD'!T53+'HDN'!T53+'KIN'!T53+'LE'!T53+'MER'!T53+'NDN'!T53+'SALT'!T53+'SDN'!T53+'SST'!T53+'WH'!T53+'FH'!T53+'KNL HO'!T53+'CCL HO'!T53+'YBHN HO'!T53+'YBN HO'!T53</f>
        <v/>
      </c>
      <c r="U53" s="37">
        <f>'ABA'!U53+'BK'!U53+'BW'!U53+'CED'!U53+'HAB'!U53+'HB'!U53+'OD'!U53+'HDN'!U53+'KIN'!U53+'LE'!U53+'MER'!U53+'NDN'!U53+'SALT'!U53+'SDN'!U53+'SST'!U53+'WH'!U53+'FH'!U53+'KNL HO'!U53+'CCL HO'!U53+'YBHN HO'!U53+'YBN HO'!U53</f>
        <v/>
      </c>
      <c r="V53" s="38">
        <f>'KNL HO'!V53+'CCL GROUP P&amp;L'!V53+'YBHN GROUP P&amp;L'!V53+'YBN Group P&amp;L'!V53+'HAB'!V53+'Moe2 P&amp;L'!V53</f>
        <v/>
      </c>
      <c r="W53" s="38">
        <f>'KNL HO'!W53+'CCL GROUP P&amp;L'!W53+'YBHN GROUP P&amp;L'!W53+'YBN Group P&amp;L'!W53+'HAB'!W53+'Moe2 P&amp;L'!W53</f>
        <v/>
      </c>
      <c r="X53" s="38">
        <f>'KNL HO'!X53+'CCL GROUP P&amp;L'!X53+'YBHN GROUP P&amp;L'!X53+'YBN Group P&amp;L'!X53+'HAB'!X53+'Moe2 P&amp;L'!X53</f>
        <v/>
      </c>
      <c r="Y53" s="38">
        <f>'KNL HO'!Y53+'CCL GROUP P&amp;L'!Y53+'YBHN GROUP P&amp;L'!Y53+'YBN Group P&amp;L'!Y53+'HAB'!Y53+'Moe2 P&amp;L'!Y53</f>
        <v/>
      </c>
      <c r="Z53" s="103">
        <f>'KNL HO'!Z53+'CCL GROUP P&amp;L'!Z53+'YBHN GROUP P&amp;L'!Z53+'YBN Group P&amp;L'!Z53+'HAB'!Z53+'Moe2 P&amp;L'!Z53</f>
        <v/>
      </c>
      <c r="AA53" s="36">
        <f>SUM(O53:U53)</f>
        <v/>
      </c>
      <c r="AB53" s="36">
        <f>SUM(O53:Z53)</f>
        <v/>
      </c>
      <c r="AC53" s="38">
        <f>'KNL HO'!AC53+'CCL GROUP P&amp;L'!AC53+'YBHN GROUP P&amp;L'!AC53+'YBN Group P&amp;L'!AC53+'HAB'!AC53+'Moe2 P&amp;L'!AC53</f>
        <v/>
      </c>
      <c r="AD53" s="38">
        <f>'KNL HO'!AD53+'CCL GROUP P&amp;L'!AD53+'YBHN GROUP P&amp;L'!AD53+'YBN Group P&amp;L'!AD53+'HAB'!AD53+'Moe2 P&amp;L'!AD53</f>
        <v/>
      </c>
      <c r="AE53" s="38">
        <f>'KNL HO'!AE53+'CCL GROUP P&amp;L'!AE53+'YBHN GROUP P&amp;L'!AE53+'YBN Group P&amp;L'!AE53+'HAB'!AE53+'Moe2 P&amp;L'!AE53</f>
        <v/>
      </c>
      <c r="AF53" s="38">
        <f>'KNL HO'!AF53+'CCL GROUP P&amp;L'!AF53+'YBHN GROUP P&amp;L'!AF53+'YBN Group P&amp;L'!AF53+'HAB'!AF53+'Moe2 P&amp;L'!AF53</f>
        <v/>
      </c>
      <c r="AG53" s="38">
        <f>'KNL HO'!AG53+'CCL GROUP P&amp;L'!AG53+'YBHN GROUP P&amp;L'!AG53+'YBN Group P&amp;L'!AG53+'HAB'!AG53+'Moe2 P&amp;L'!AG53</f>
        <v/>
      </c>
      <c r="AH53" s="38">
        <f>'KNL HO'!AH53+'CCL GROUP P&amp;L'!AH53+'YBHN GROUP P&amp;L'!AH53+'YBN Group P&amp;L'!AH53+'HAB'!AH53+'Moe2 P&amp;L'!AH53</f>
        <v/>
      </c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6">
        <f>SUM(N53:Z53)-$N53</f>
        <v/>
      </c>
      <c r="AN53" s="40" t="n"/>
      <c r="AO53" s="92">
        <f>SUM(AC53:AE53)+SUM(R53:Z53)</f>
        <v/>
      </c>
      <c r="AP53" s="92">
        <f>SUM(AC53:AH53)+SUM(U53:Z53)</f>
        <v/>
      </c>
    </row>
    <row r="54">
      <c r="A54" s="34" t="inlineStr">
        <is>
          <t>HO NI</t>
        </is>
      </c>
      <c r="B54" s="35" t="n">
        <v>9992.110000000001</v>
      </c>
      <c r="C54" s="35" t="n">
        <v>11326.84</v>
      </c>
      <c r="D54" s="35" t="n">
        <v>11325.06</v>
      </c>
      <c r="E54" s="35" t="n">
        <v>20699.56</v>
      </c>
      <c r="F54" s="35" t="n">
        <v>12797.69</v>
      </c>
      <c r="G54" s="35" t="n">
        <v>15261.34</v>
      </c>
      <c r="H54" s="35" t="n">
        <v>15170.04</v>
      </c>
      <c r="I54" s="35" t="n">
        <v>17278.08</v>
      </c>
      <c r="J54" s="35" t="n">
        <v>15614.88</v>
      </c>
      <c r="K54" s="35" t="n">
        <v>14827.88</v>
      </c>
      <c r="L54" s="35" t="n">
        <v>15458.86</v>
      </c>
      <c r="M54" s="35" t="n">
        <v>57020.84</v>
      </c>
      <c r="N54" s="36">
        <f>SUM(B54:M54)</f>
        <v/>
      </c>
      <c r="O54" s="37">
        <f>'ABA'!O54+'BK'!O54+'BW'!O54+'CED'!O54+'HAB'!O54+'HB'!O54+'OD'!O54+'HDN'!O54+'KIN'!O54+'LE'!O54+'MER'!O54+'NDN'!O54+'SALT'!O54+'SDN'!O54+'SST'!O54+'WH'!O54+'FH'!O54+'KNL HO'!O54+'CCL HO'!O54+'YBHN HO'!O54+'YBN HO'!O54</f>
        <v/>
      </c>
      <c r="P54" s="37">
        <f>'ABA'!P54+'BK'!P54+'BW'!P54+'CED'!P54+'HAB'!P54+'HB'!P54+'OD'!P54+'HDN'!P54+'KIN'!P54+'LE'!P54+'MER'!P54+'NDN'!P54+'SALT'!P54+'SDN'!P54+'SST'!P54+'WH'!P54+'FH'!P54+'KNL HO'!P54+'CCL HO'!P54+'YBHN HO'!P54+'YBN HO'!P54</f>
        <v/>
      </c>
      <c r="Q54" s="37">
        <f>'ABA'!Q54+'BK'!Q54+'BW'!Q54+'CED'!Q54+'HAB'!Q54+'HB'!Q54+'OD'!Q54+'HDN'!Q54+'KIN'!Q54+'LE'!Q54+'MER'!Q54+'NDN'!Q54+'SALT'!Q54+'SDN'!Q54+'SST'!Q54+'WH'!Q54+'FH'!Q54+'KNL HO'!Q54+'CCL HO'!Q54+'YBHN HO'!Q54+'YBN HO'!Q54</f>
        <v/>
      </c>
      <c r="R54" s="37">
        <f>'ABA'!R54+'BK'!R54+'BW'!R54+'CED'!R54+'HAB'!R54+'HB'!R54+'OD'!R54+'HDN'!R54+'KIN'!R54+'LE'!R54+'MER'!R54+'NDN'!R54+'SALT'!R54+'SDN'!R54+'SST'!R54+'WH'!R54+'FH'!R54+'KNL HO'!R54+'CCL HO'!R54+'YBHN HO'!R54+'YBN HO'!R54</f>
        <v/>
      </c>
      <c r="S54" s="37">
        <f>'ABA'!S54+'BK'!S54+'BW'!S54+'CED'!S54+'HAB'!S54+'HB'!S54+'OD'!S54+'HDN'!S54+'KIN'!S54+'LE'!S54+'MER'!S54+'NDN'!S54+'SALT'!S54+'SDN'!S54+'SST'!S54+'WH'!S54+'FH'!S54+'KNL HO'!S54+'CCL HO'!S54+'YBHN HO'!S54+'YBN HO'!S54</f>
        <v/>
      </c>
      <c r="T54" s="37">
        <f>'ABA'!T54+'BK'!T54+'BW'!T54+'CED'!T54+'HAB'!T54+'HB'!T54+'OD'!T54+'HDN'!T54+'KIN'!T54+'LE'!T54+'MER'!T54+'NDN'!T54+'SALT'!T54+'SDN'!T54+'SST'!T54+'WH'!T54+'FH'!T54+'KNL HO'!T54+'CCL HO'!T54+'YBHN HO'!T54+'YBN HO'!T54</f>
        <v/>
      </c>
      <c r="U54" s="37">
        <f>'ABA'!U54+'BK'!U54+'BW'!U54+'CED'!U54+'HAB'!U54+'HB'!U54+'OD'!U54+'HDN'!U54+'KIN'!U54+'LE'!U54+'MER'!U54+'NDN'!U54+'SALT'!U54+'SDN'!U54+'SST'!U54+'WH'!U54+'FH'!U54+'KNL HO'!U54+'CCL HO'!U54+'YBHN HO'!U54+'YBN HO'!U54</f>
        <v/>
      </c>
      <c r="V54" s="38">
        <f>'KNL HO'!V54+'CCL GROUP P&amp;L'!V54+'YBHN GROUP P&amp;L'!V54+'YBN Group P&amp;L'!V54+'HAB'!V54+'Moe2 P&amp;L'!V54</f>
        <v/>
      </c>
      <c r="W54" s="38">
        <f>'KNL HO'!W54+'CCL GROUP P&amp;L'!W54+'YBHN GROUP P&amp;L'!W54+'YBN Group P&amp;L'!W54+'HAB'!W54+'Moe2 P&amp;L'!W54</f>
        <v/>
      </c>
      <c r="X54" s="38">
        <f>'KNL HO'!X54+'CCL GROUP P&amp;L'!X54+'YBHN GROUP P&amp;L'!X54+'YBN Group P&amp;L'!X54+'HAB'!X54+'Moe2 P&amp;L'!X54</f>
        <v/>
      </c>
      <c r="Y54" s="38">
        <f>'KNL HO'!Y54+'CCL GROUP P&amp;L'!Y54+'YBHN GROUP P&amp;L'!Y54+'YBN Group P&amp;L'!Y54+'HAB'!Y54+'Moe2 P&amp;L'!Y54</f>
        <v/>
      </c>
      <c r="Z54" s="38">
        <f>'KNL HO'!Z54+'CCL GROUP P&amp;L'!Z54+'YBHN GROUP P&amp;L'!Z54+'YBN Group P&amp;L'!Z54+'HAB'!Z54+'Moe2 P&amp;L'!Z54</f>
        <v/>
      </c>
      <c r="AA54" s="36">
        <f>SUM(O54:U54)</f>
        <v/>
      </c>
      <c r="AB54" s="36">
        <f>SUM(O54:Z54)</f>
        <v/>
      </c>
      <c r="AC54" s="38">
        <f>'KNL HO'!AC54+'CCL GROUP P&amp;L'!AC54+'YBHN GROUP P&amp;L'!AC54+'YBN Group P&amp;L'!AC54+'HAB'!AC54+'Moe2 P&amp;L'!AC54</f>
        <v/>
      </c>
      <c r="AD54" s="38">
        <f>'KNL HO'!AD54+'CCL GROUP P&amp;L'!AD54+'YBHN GROUP P&amp;L'!AD54+'YBN Group P&amp;L'!AD54+'HAB'!AD54+'Moe2 P&amp;L'!AD54</f>
        <v/>
      </c>
      <c r="AE54" s="38">
        <f>'KNL HO'!AE54+'CCL GROUP P&amp;L'!AE54+'YBHN GROUP P&amp;L'!AE54+'YBN Group P&amp;L'!AE54+'HAB'!AE54+'Moe2 P&amp;L'!AE54</f>
        <v/>
      </c>
      <c r="AF54" s="38">
        <f>'KNL HO'!AF54+'CCL GROUP P&amp;L'!AF54+'YBHN GROUP P&amp;L'!AF54+'YBN Group P&amp;L'!AF54+'HAB'!AF54+'Moe2 P&amp;L'!AF54</f>
        <v/>
      </c>
      <c r="AG54" s="38">
        <f>'KNL HO'!AG54+'CCL GROUP P&amp;L'!AG54+'YBHN GROUP P&amp;L'!AG54+'YBN Group P&amp;L'!AG54+'HAB'!AG54+'Moe2 P&amp;L'!AG54</f>
        <v/>
      </c>
      <c r="AH54" s="38">
        <f>'KNL HO'!AH54+'CCL GROUP P&amp;L'!AH54+'YBHN GROUP P&amp;L'!AH54+'YBN Group P&amp;L'!AH54+'HAB'!AH54+'Moe2 P&amp;L'!AH54</f>
        <v/>
      </c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6">
        <f>SUM(N54:Z54)-$N54</f>
        <v/>
      </c>
      <c r="AN54" s="40" t="n"/>
      <c r="AO54" s="92">
        <f>SUM(AC54:AE54)+SUM(R54:Z54)</f>
        <v/>
      </c>
      <c r="AP54" s="92">
        <f>SUM(AC54:AH54)+SUM(U54:Z54)</f>
        <v/>
      </c>
    </row>
    <row r="55">
      <c r="A55" s="34" t="inlineStr">
        <is>
          <t>HO Health Care</t>
        </is>
      </c>
      <c r="B55" s="35" t="n">
        <v>697.83</v>
      </c>
      <c r="C55" s="35" t="n">
        <v>754.1500000000001</v>
      </c>
      <c r="D55" s="35" t="n">
        <v>754.1500000000001</v>
      </c>
      <c r="E55" s="35" t="n">
        <v>754.1500000000001</v>
      </c>
      <c r="F55" s="35" t="n">
        <v>754.1500000000001</v>
      </c>
      <c r="G55" s="35" t="n">
        <v>645.13</v>
      </c>
      <c r="H55" s="35" t="n">
        <v>711.13</v>
      </c>
      <c r="I55" s="35" t="n">
        <v>711.13</v>
      </c>
      <c r="J55" s="35" t="n">
        <v>711.13</v>
      </c>
      <c r="K55" s="35" t="n">
        <v>343.6</v>
      </c>
      <c r="L55" s="35" t="n">
        <v>397.55</v>
      </c>
      <c r="M55" s="35" t="n">
        <v>397.55</v>
      </c>
      <c r="N55" s="36">
        <f>SUM(B55:M55)</f>
        <v/>
      </c>
      <c r="O55" s="37">
        <f>'ABA'!O55+'BK'!O55+'BW'!O55+'CED'!O55+'HAB'!O55+'HB'!O55+'OD'!O55+'HDN'!O55+'KIN'!O55+'LE'!O55+'MER'!O55+'NDN'!O55+'SALT'!O55+'SDN'!O55+'SST'!O55+'WH'!O55+'FH'!O55+'KNL HO'!O55+'CCL HO'!O55+'YBHN HO'!O55+'YBN HO'!O55</f>
        <v/>
      </c>
      <c r="P55" s="37">
        <f>'ABA'!P55+'BK'!P55+'BW'!P55+'CED'!P55+'HAB'!P55+'HB'!P55+'OD'!P55+'HDN'!P55+'KIN'!P55+'LE'!P55+'MER'!P55+'NDN'!P55+'SALT'!P55+'SDN'!P55+'SST'!P55+'WH'!P55+'FH'!P55+'KNL HO'!P55+'CCL HO'!P55+'YBHN HO'!P55+'YBN HO'!P55</f>
        <v/>
      </c>
      <c r="Q55" s="37">
        <f>'ABA'!Q55+'BK'!Q55+'BW'!Q55+'CED'!Q55+'HAB'!Q55+'HB'!Q55+'OD'!Q55+'HDN'!Q55+'KIN'!Q55+'LE'!Q55+'MER'!Q55+'NDN'!Q55+'SALT'!Q55+'SDN'!Q55+'SST'!Q55+'WH'!Q55+'FH'!Q55+'KNL HO'!Q55+'CCL HO'!Q55+'YBHN HO'!Q55+'YBN HO'!Q55</f>
        <v/>
      </c>
      <c r="R55" s="37">
        <f>'ABA'!R55+'BK'!R55+'BW'!R55+'CED'!R55+'HAB'!R55+'HB'!R55+'OD'!R55+'HDN'!R55+'KIN'!R55+'LE'!R55+'MER'!R55+'NDN'!R55+'SALT'!R55+'SDN'!R55+'SST'!R55+'WH'!R55+'FH'!R55+'KNL HO'!R55+'CCL HO'!R55+'YBHN HO'!R55+'YBN HO'!R55</f>
        <v/>
      </c>
      <c r="S55" s="37">
        <f>'ABA'!S55+'BK'!S55+'BW'!S55+'CED'!S55+'HAB'!S55+'HB'!S55+'OD'!S55+'HDN'!S55+'KIN'!S55+'LE'!S55+'MER'!S55+'NDN'!S55+'SALT'!S55+'SDN'!S55+'SST'!S55+'WH'!S55+'FH'!S55+'KNL HO'!S55+'CCL HO'!S55+'YBHN HO'!S55+'YBN HO'!S55</f>
        <v/>
      </c>
      <c r="T55" s="37">
        <f>'ABA'!T55+'BK'!T55+'BW'!T55+'CED'!T55+'HAB'!T55+'HB'!T55+'OD'!T55+'HDN'!T55+'KIN'!T55+'LE'!T55+'MER'!T55+'NDN'!T55+'SALT'!T55+'SDN'!T55+'SST'!T55+'WH'!T55+'FH'!T55+'KNL HO'!T55+'CCL HO'!T55+'YBHN HO'!T55+'YBN HO'!T55</f>
        <v/>
      </c>
      <c r="U55" s="37">
        <f>'ABA'!U55+'BK'!U55+'BW'!U55+'CED'!U55+'HAB'!U55+'HB'!U55+'OD'!U55+'HDN'!U55+'KIN'!U55+'LE'!U55+'MER'!U55+'NDN'!U55+'SALT'!U55+'SDN'!U55+'SST'!U55+'WH'!U55+'FH'!U55+'KNL HO'!U55+'CCL HO'!U55+'YBHN HO'!U55+'YBN HO'!U55</f>
        <v/>
      </c>
      <c r="V55" s="38">
        <f>'KNL HO'!V55+'CCL GROUP P&amp;L'!V55+'YBHN GROUP P&amp;L'!V55+'YBN Group P&amp;L'!V55+'HAB'!V55+'Moe2 P&amp;L'!V55</f>
        <v/>
      </c>
      <c r="W55" s="38">
        <f>'KNL HO'!W55+'CCL GROUP P&amp;L'!W55+'YBHN GROUP P&amp;L'!W55+'YBN Group P&amp;L'!W55+'HAB'!W55+'Moe2 P&amp;L'!W55</f>
        <v/>
      </c>
      <c r="X55" s="38">
        <f>'KNL HO'!X55+'CCL GROUP P&amp;L'!X55+'YBHN GROUP P&amp;L'!X55+'YBN Group P&amp;L'!X55+'HAB'!X55+'Moe2 P&amp;L'!X55</f>
        <v/>
      </c>
      <c r="Y55" s="38">
        <f>'KNL HO'!Y55+'CCL GROUP P&amp;L'!Y55+'YBHN GROUP P&amp;L'!Y55+'YBN Group P&amp;L'!Y55+'HAB'!Y55+'Moe2 P&amp;L'!Y55</f>
        <v/>
      </c>
      <c r="Z55" s="38">
        <f>'KNL HO'!Z55+'CCL GROUP P&amp;L'!Z55+'YBHN GROUP P&amp;L'!Z55+'YBN Group P&amp;L'!Z55+'HAB'!Z55+'Moe2 P&amp;L'!Z55</f>
        <v/>
      </c>
      <c r="AA55" s="36">
        <f>SUM(O55:U55)</f>
        <v/>
      </c>
      <c r="AB55" s="36">
        <f>SUM(O55:Z55)</f>
        <v/>
      </c>
      <c r="AC55" s="38">
        <f>'KNL HO'!AC55+'CCL GROUP P&amp;L'!AC55+'YBHN GROUP P&amp;L'!AC55+'YBN Group P&amp;L'!AC55+'HAB'!AC55+'Moe2 P&amp;L'!AC55</f>
        <v/>
      </c>
      <c r="AD55" s="38">
        <f>'KNL HO'!AD55+'CCL GROUP P&amp;L'!AD55+'YBHN GROUP P&amp;L'!AD55+'YBN Group P&amp;L'!AD55+'HAB'!AD55+'Moe2 P&amp;L'!AD55</f>
        <v/>
      </c>
      <c r="AE55" s="38">
        <f>'KNL HO'!AE55+'CCL GROUP P&amp;L'!AE55+'YBHN GROUP P&amp;L'!AE55+'YBN Group P&amp;L'!AE55+'HAB'!AE55+'Moe2 P&amp;L'!AE55</f>
        <v/>
      </c>
      <c r="AF55" s="38">
        <f>'KNL HO'!AF55+'CCL GROUP P&amp;L'!AF55+'YBHN GROUP P&amp;L'!AF55+'YBN Group P&amp;L'!AF55+'HAB'!AF55+'Moe2 P&amp;L'!AF55</f>
        <v/>
      </c>
      <c r="AG55" s="38">
        <f>'KNL HO'!AG55+'CCL GROUP P&amp;L'!AG55+'YBHN GROUP P&amp;L'!AG55+'YBN Group P&amp;L'!AG55+'HAB'!AG55+'Moe2 P&amp;L'!AG55</f>
        <v/>
      </c>
      <c r="AH55" s="38">
        <f>'KNL HO'!AH55+'CCL GROUP P&amp;L'!AH55+'YBHN GROUP P&amp;L'!AH55+'YBN Group P&amp;L'!AH55+'HAB'!AH55+'Moe2 P&amp;L'!AH55</f>
        <v/>
      </c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6">
        <f>SUM(N55:Z55)-$N55</f>
        <v/>
      </c>
      <c r="AN55" s="40" t="n"/>
      <c r="AO55" s="92">
        <f>SUM(AC55:AE55)+SUM(R55:Z55)</f>
        <v/>
      </c>
      <c r="AP55" s="92">
        <f>SUM(AC55:AH55)+SUM(U55:Z55)</f>
        <v/>
      </c>
    </row>
    <row r="56">
      <c r="A56" s="34" t="inlineStr">
        <is>
          <t>HO Pension</t>
        </is>
      </c>
      <c r="B56" s="35" t="n">
        <v>832.4000000000001</v>
      </c>
      <c r="C56" s="35" t="n">
        <v>886.37</v>
      </c>
      <c r="D56" s="35" t="n">
        <v>987.53</v>
      </c>
      <c r="E56" s="35" t="n">
        <v>1010.72</v>
      </c>
      <c r="F56" s="35" t="n">
        <v>917.11</v>
      </c>
      <c r="G56" s="35" t="n">
        <v>900.63</v>
      </c>
      <c r="H56" s="35" t="n">
        <v>1072.08</v>
      </c>
      <c r="I56" s="35" t="n">
        <v>989.58</v>
      </c>
      <c r="J56" s="35" t="n">
        <v>823.79</v>
      </c>
      <c r="K56" s="35" t="n">
        <v>958.6500000000001</v>
      </c>
      <c r="L56" s="35" t="n">
        <v>1038.97</v>
      </c>
      <c r="M56" s="35" t="n">
        <v>980.35</v>
      </c>
      <c r="N56" s="36">
        <f>SUM(B56:M56)</f>
        <v/>
      </c>
      <c r="O56" s="37">
        <f>'ABA'!O56+'BK'!O56+'BW'!O56+'CED'!O56+'HAB'!O56+'HB'!O56+'OD'!O56+'HDN'!O56+'KIN'!O56+'LE'!O56+'MER'!O56+'NDN'!O56+'SALT'!O56+'SDN'!O56+'SST'!O56+'WH'!O56+'FH'!O56+'KNL HO'!O56+'CCL HO'!O56+'YBHN HO'!O56+'YBN HO'!O56</f>
        <v/>
      </c>
      <c r="P56" s="37">
        <f>'ABA'!P56+'BK'!P56+'BW'!P56+'CED'!P56+'HAB'!P56+'HB'!P56+'OD'!P56+'HDN'!P56+'KIN'!P56+'LE'!P56+'MER'!P56+'NDN'!P56+'SALT'!P56+'SDN'!P56+'SST'!P56+'WH'!P56+'FH'!P56+'KNL HO'!P56+'CCL HO'!P56+'YBHN HO'!P56+'YBN HO'!P56</f>
        <v/>
      </c>
      <c r="Q56" s="37">
        <f>'ABA'!Q56+'BK'!Q56+'BW'!Q56+'CED'!Q56+'HAB'!Q56+'HB'!Q56+'OD'!Q56+'HDN'!Q56+'KIN'!Q56+'LE'!Q56+'MER'!Q56+'NDN'!Q56+'SALT'!Q56+'SDN'!Q56+'SST'!Q56+'WH'!Q56+'FH'!Q56+'KNL HO'!Q56+'CCL HO'!Q56+'YBHN HO'!Q56+'YBN HO'!Q56</f>
        <v/>
      </c>
      <c r="R56" s="37">
        <f>'ABA'!R56+'BK'!R56+'BW'!R56+'CED'!R56+'HAB'!R56+'HB'!R56+'OD'!R56+'HDN'!R56+'KIN'!R56+'LE'!R56+'MER'!R56+'NDN'!R56+'SALT'!R56+'SDN'!R56+'SST'!R56+'WH'!R56+'FH'!R56+'KNL HO'!R56+'CCL HO'!R56+'YBHN HO'!R56+'YBN HO'!R56</f>
        <v/>
      </c>
      <c r="S56" s="37">
        <f>'ABA'!S56+'BK'!S56+'BW'!S56+'CED'!S56+'HAB'!S56+'HB'!S56+'OD'!S56+'HDN'!S56+'KIN'!S56+'LE'!S56+'MER'!S56+'NDN'!S56+'SALT'!S56+'SDN'!S56+'SST'!S56+'WH'!S56+'FH'!S56+'KNL HO'!S56+'CCL HO'!S56+'YBHN HO'!S56+'YBN HO'!S56</f>
        <v/>
      </c>
      <c r="T56" s="37">
        <f>'ABA'!T56+'BK'!T56+'BW'!T56+'CED'!T56+'HAB'!T56+'HB'!T56+'OD'!T56+'HDN'!T56+'KIN'!T56+'LE'!T56+'MER'!T56+'NDN'!T56+'SALT'!T56+'SDN'!T56+'SST'!T56+'WH'!T56+'FH'!T56+'KNL HO'!T56+'CCL HO'!T56+'YBHN HO'!T56+'YBN HO'!T56</f>
        <v/>
      </c>
      <c r="U56" s="37">
        <f>'ABA'!U56+'BK'!U56+'BW'!U56+'CED'!U56+'HAB'!U56+'HB'!U56+'OD'!U56+'HDN'!U56+'KIN'!U56+'LE'!U56+'MER'!U56+'NDN'!U56+'SALT'!U56+'SDN'!U56+'SST'!U56+'WH'!U56+'FH'!U56+'KNL HO'!U56+'CCL HO'!U56+'YBHN HO'!U56+'YBN HO'!U56</f>
        <v/>
      </c>
      <c r="V56" s="38">
        <f>'KNL HO'!V56+'CCL GROUP P&amp;L'!V56+'YBHN GROUP P&amp;L'!V56+'YBN Group P&amp;L'!V56+'HAB'!V56+'Moe2 P&amp;L'!V56</f>
        <v/>
      </c>
      <c r="W56" s="38">
        <f>'KNL HO'!W56+'CCL GROUP P&amp;L'!W56+'YBHN GROUP P&amp;L'!W56+'YBN Group P&amp;L'!W56+'HAB'!W56+'Moe2 P&amp;L'!W56</f>
        <v/>
      </c>
      <c r="X56" s="38">
        <f>'KNL HO'!X56+'CCL GROUP P&amp;L'!X56+'YBHN GROUP P&amp;L'!X56+'YBN Group P&amp;L'!X56+'HAB'!X56+'Moe2 P&amp;L'!X56</f>
        <v/>
      </c>
      <c r="Y56" s="38">
        <f>'KNL HO'!Y56+'CCL GROUP P&amp;L'!Y56+'YBHN GROUP P&amp;L'!Y56+'YBN Group P&amp;L'!Y56+'HAB'!Y56+'Moe2 P&amp;L'!Y56</f>
        <v/>
      </c>
      <c r="Z56" s="38">
        <f>'KNL HO'!Z56+'CCL GROUP P&amp;L'!Z56+'YBHN GROUP P&amp;L'!Z56+'YBN Group P&amp;L'!Z56+'HAB'!Z56+'Moe2 P&amp;L'!Z56</f>
        <v/>
      </c>
      <c r="AA56" s="36">
        <f>SUM(O56:U56)</f>
        <v/>
      </c>
      <c r="AB56" s="36">
        <f>SUM(O56:Z56)</f>
        <v/>
      </c>
      <c r="AC56" s="38">
        <f>'KNL HO'!AC56+'CCL GROUP P&amp;L'!AC56+'YBHN GROUP P&amp;L'!AC56+'YBN Group P&amp;L'!AC56+'HAB'!AC56+'Moe2 P&amp;L'!AC56</f>
        <v/>
      </c>
      <c r="AD56" s="38">
        <f>'KNL HO'!AD56+'CCL GROUP P&amp;L'!AD56+'YBHN GROUP P&amp;L'!AD56+'YBN Group P&amp;L'!AD56+'HAB'!AD56+'Moe2 P&amp;L'!AD56</f>
        <v/>
      </c>
      <c r="AE56" s="38">
        <f>'KNL HO'!AE56+'CCL GROUP P&amp;L'!AE56+'YBHN GROUP P&amp;L'!AE56+'YBN Group P&amp;L'!AE56+'HAB'!AE56+'Moe2 P&amp;L'!AE56</f>
        <v/>
      </c>
      <c r="AF56" s="38">
        <f>'KNL HO'!AF56+'CCL GROUP P&amp;L'!AF56+'YBHN GROUP P&amp;L'!AF56+'YBN Group P&amp;L'!AF56+'HAB'!AF56+'Moe2 P&amp;L'!AF56</f>
        <v/>
      </c>
      <c r="AG56" s="38">
        <f>'KNL HO'!AG56+'CCL GROUP P&amp;L'!AG56+'YBHN GROUP P&amp;L'!AG56+'YBN Group P&amp;L'!AG56+'HAB'!AG56+'Moe2 P&amp;L'!AG56</f>
        <v/>
      </c>
      <c r="AH56" s="38">
        <f>'KNL HO'!AH56+'CCL GROUP P&amp;L'!AH56+'YBHN GROUP P&amp;L'!AH56+'YBN Group P&amp;L'!AH56+'HAB'!AH56+'Moe2 P&amp;L'!AH56</f>
        <v/>
      </c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6">
        <f>SUM(N56:Z56)-$N56</f>
        <v/>
      </c>
      <c r="AN56" s="40" t="n"/>
      <c r="AO56" s="92">
        <f>SUM(AC56:AE56)+SUM(R56:Z56)</f>
        <v/>
      </c>
      <c r="AP56" s="92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769.91</v>
      </c>
      <c r="J57" s="35" t="n">
        <v>16814</v>
      </c>
      <c r="K57" s="35" t="n">
        <v>492</v>
      </c>
      <c r="L57" s="35" t="n">
        <v>1431.15</v>
      </c>
      <c r="M57" s="35" t="n">
        <v>4073.23</v>
      </c>
      <c r="N57" s="36">
        <f>SUM(B57:M57)</f>
        <v/>
      </c>
      <c r="O57" s="37">
        <f>'ABA'!O57+'BK'!O57+'BW'!O57+'CED'!O57+'HAB'!O57+'HB'!O57+'OD'!O57+'HDN'!O57+'KIN'!O57+'LE'!O57+'MER'!O57+'NDN'!O57+'SALT'!O57+'SDN'!O57+'SST'!O57+'WH'!O57+'FH'!O57+'KNL HO'!O57+'CCL HO'!O57+'YBHN HO'!O57+'YBN HO'!O57</f>
        <v/>
      </c>
      <c r="P57" s="37">
        <f>'ABA'!P57+'BK'!P57+'BW'!P57+'CED'!P57+'HAB'!P57+'HB'!P57+'OD'!P57+'HDN'!P57+'KIN'!P57+'LE'!P57+'MER'!P57+'NDN'!P57+'SALT'!P57+'SDN'!P57+'SST'!P57+'WH'!P57+'FH'!P57+'KNL HO'!P57+'CCL HO'!P57+'YBHN HO'!P57+'YBN HO'!P57</f>
        <v/>
      </c>
      <c r="Q57" s="37">
        <f>'ABA'!Q57+'BK'!Q57+'BW'!Q57+'CED'!Q57+'HAB'!Q57+'HB'!Q57+'OD'!Q57+'HDN'!Q57+'KIN'!Q57+'LE'!Q57+'MER'!Q57+'NDN'!Q57+'SALT'!Q57+'SDN'!Q57+'SST'!Q57+'WH'!Q57+'FH'!Q57+'KNL HO'!Q57+'CCL HO'!Q57+'YBHN HO'!Q57+'YBN HO'!Q57</f>
        <v/>
      </c>
      <c r="R57" s="37">
        <f>'ABA'!R57+'BK'!R57+'BW'!R57+'CED'!R57+'HAB'!R57+'HB'!R57+'OD'!R57+'HDN'!R57+'KIN'!R57+'LE'!R57+'MER'!R57+'NDN'!R57+'SALT'!R57+'SDN'!R57+'SST'!R57+'WH'!R57+'FH'!R57+'KNL HO'!R57+'CCL HO'!R57+'YBHN HO'!R57+'YBN HO'!R57</f>
        <v/>
      </c>
      <c r="S57" s="37">
        <f>'ABA'!S57+'BK'!S57+'BW'!S57+'CED'!S57+'HAB'!S57+'HB'!S57+'OD'!S57+'HDN'!S57+'KIN'!S57+'LE'!S57+'MER'!S57+'NDN'!S57+'SALT'!S57+'SDN'!S57+'SST'!S57+'WH'!S57+'FH'!S57+'KNL HO'!S57+'CCL HO'!S57+'YBHN HO'!S57+'YBN HO'!S57</f>
        <v/>
      </c>
      <c r="T57" s="37">
        <f>'ABA'!T57+'BK'!T57+'BW'!T57+'CED'!T57+'HAB'!T57+'HB'!T57+'OD'!T57+'HDN'!T57+'KIN'!T57+'LE'!T57+'MER'!T57+'NDN'!T57+'SALT'!T57+'SDN'!T57+'SST'!T57+'WH'!T57+'FH'!T57+'KNL HO'!T57+'CCL HO'!T57+'YBHN HO'!T57+'YBN HO'!T57</f>
        <v/>
      </c>
      <c r="U57" s="37">
        <f>'ABA'!U57+'BK'!U57+'BW'!U57+'CED'!U57+'HAB'!U57+'HB'!U57+'OD'!U57+'HDN'!U57+'KIN'!U57+'LE'!U57+'MER'!U57+'NDN'!U57+'SALT'!U57+'SDN'!U57+'SST'!U57+'WH'!U57+'FH'!U57+'KNL HO'!U57+'CCL HO'!U57+'YBHN HO'!U57+'YBN HO'!U57</f>
        <v/>
      </c>
      <c r="V57" s="38">
        <f>'KNL HO'!V57+'CCL GROUP P&amp;L'!V57+'YBHN GROUP P&amp;L'!V57+'YBN Group P&amp;L'!V57+'HAB'!V57+'Moe2 P&amp;L'!V57</f>
        <v/>
      </c>
      <c r="W57" s="38">
        <f>'KNL HO'!W57+'CCL GROUP P&amp;L'!W57+'YBHN GROUP P&amp;L'!W57+'YBN Group P&amp;L'!W57+'HAB'!W57+'Moe2 P&amp;L'!W57</f>
        <v/>
      </c>
      <c r="X57" s="38">
        <f>'KNL HO'!X57+'CCL GROUP P&amp;L'!X57+'YBHN GROUP P&amp;L'!X57+'YBN Group P&amp;L'!X57+'HAB'!X57+'Moe2 P&amp;L'!X57</f>
        <v/>
      </c>
      <c r="Y57" s="38">
        <f>'KNL HO'!Y57+'CCL GROUP P&amp;L'!Y57+'YBHN GROUP P&amp;L'!Y57+'YBN Group P&amp;L'!Y57+'HAB'!Y57+'Moe2 P&amp;L'!Y57</f>
        <v/>
      </c>
      <c r="Z57" s="38">
        <f>'KNL HO'!Z57+'CCL GROUP P&amp;L'!Z57+'YBHN GROUP P&amp;L'!Z57+'YBN Group P&amp;L'!Z57+'HAB'!Z57+'Moe2 P&amp;L'!Z57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6">
        <f>SUM(N57:Z57)-$N57</f>
        <v/>
      </c>
      <c r="AN57" s="40" t="n"/>
      <c r="AO57" s="92">
        <f>SUM(AC57:AE57)+SUM(R57:Z57)</f>
        <v/>
      </c>
      <c r="AP57" s="92">
        <f>SUM(AC57:AH57)+SUM(U57:Z57)</f>
        <v/>
      </c>
    </row>
    <row r="58">
      <c r="A58" s="34" t="inlineStr">
        <is>
          <t>Business Insurance</t>
        </is>
      </c>
      <c r="B58" s="35" t="n">
        <v>6249.72</v>
      </c>
      <c r="C58" s="35" t="n">
        <v>6249.72</v>
      </c>
      <c r="D58" s="35" t="n">
        <v>6249.72</v>
      </c>
      <c r="E58" s="35" t="n">
        <v>6249.72</v>
      </c>
      <c r="F58" s="35" t="n">
        <v>6249.72</v>
      </c>
      <c r="G58" s="35" t="n">
        <v>6254.009999999999</v>
      </c>
      <c r="H58" s="35" t="n">
        <v>6254.009999999999</v>
      </c>
      <c r="I58" s="35" t="n">
        <v>6317.28</v>
      </c>
      <c r="J58" s="35" t="n">
        <v>6317.28</v>
      </c>
      <c r="K58" s="35" t="n">
        <v>6317.28</v>
      </c>
      <c r="L58" s="35" t="n">
        <v>6620.54</v>
      </c>
      <c r="M58" s="35" t="n">
        <v>6279.14</v>
      </c>
      <c r="N58" s="36">
        <f>SUM(B58:M58)</f>
        <v/>
      </c>
      <c r="O58" s="37">
        <f>'ABA'!O58+'BK'!O58+'BW'!O58+'CED'!O58+'HAB'!O58+'HB'!O58+'OD'!O58+'HDN'!O58+'KIN'!O58+'LE'!O58+'MER'!O58+'NDN'!O58+'SALT'!O58+'SDN'!O58+'SST'!O58+'WH'!O58+'FH'!O58+'KNL HO'!O58+'CCL HO'!O58+'YBHN HO'!O58+'YBN HO'!O58</f>
        <v/>
      </c>
      <c r="P58" s="37">
        <f>'ABA'!P58+'BK'!P58+'BW'!P58+'CED'!P58+'HAB'!P58+'HB'!P58+'OD'!P58+'HDN'!P58+'KIN'!P58+'LE'!P58+'MER'!P58+'NDN'!P58+'SALT'!P58+'SDN'!P58+'SST'!P58+'WH'!P58+'FH'!P58+'KNL HO'!P58+'CCL HO'!P58+'YBHN HO'!P58+'YBN HO'!P58</f>
        <v/>
      </c>
      <c r="Q58" s="37">
        <f>'ABA'!Q58+'BK'!Q58+'BW'!Q58+'CED'!Q58+'HAB'!Q58+'HB'!Q58+'OD'!Q58+'HDN'!Q58+'KIN'!Q58+'LE'!Q58+'MER'!Q58+'NDN'!Q58+'SALT'!Q58+'SDN'!Q58+'SST'!Q58+'WH'!Q58+'FH'!Q58+'KNL HO'!Q58+'CCL HO'!Q58+'YBHN HO'!Q58+'YBN HO'!Q58</f>
        <v/>
      </c>
      <c r="R58" s="37">
        <f>'ABA'!R58+'BK'!R58+'BW'!R58+'CED'!R58+'HAB'!R58+'HB'!R58+'OD'!R58+'HDN'!R58+'KIN'!R58+'LE'!R58+'MER'!R58+'NDN'!R58+'SALT'!R58+'SDN'!R58+'SST'!R58+'WH'!R58+'FH'!R58+'KNL HO'!R58+'CCL HO'!R58+'YBHN HO'!R58+'YBN HO'!R58</f>
        <v/>
      </c>
      <c r="S58" s="37">
        <f>'ABA'!S58+'BK'!S58+'BW'!S58+'CED'!S58+'HAB'!S58+'HB'!S58+'OD'!S58+'HDN'!S58+'KIN'!S58+'LE'!S58+'MER'!S58+'NDN'!S58+'SALT'!S58+'SDN'!S58+'SST'!S58+'WH'!S58+'FH'!S58+'KNL HO'!S58+'CCL HO'!S58+'YBHN HO'!S58+'YBN HO'!S58</f>
        <v/>
      </c>
      <c r="T58" s="37">
        <f>'ABA'!T58+'BK'!T58+'BW'!T58+'CED'!T58+'HAB'!T58+'HB'!T58+'OD'!T58+'HDN'!T58+'KIN'!T58+'LE'!T58+'MER'!T58+'NDN'!T58+'SALT'!T58+'SDN'!T58+'SST'!T58+'WH'!T58+'FH'!T58+'KNL HO'!T58+'CCL HO'!T58+'YBHN HO'!T58+'YBN HO'!T58</f>
        <v/>
      </c>
      <c r="U58" s="37">
        <f>'ABA'!U58+'BK'!U58+'BW'!U58+'CED'!U58+'HAB'!U58+'HB'!U58+'OD'!U58+'HDN'!U58+'KIN'!U58+'LE'!U58+'MER'!U58+'NDN'!U58+'SALT'!U58+'SDN'!U58+'SST'!U58+'WH'!U58+'FH'!U58+'KNL HO'!U58+'CCL HO'!U58+'YBHN HO'!U58+'YBN HO'!U58</f>
        <v/>
      </c>
      <c r="V58" s="38">
        <f>'KNL HO'!V58+'CCL GROUP P&amp;L'!V58+'YBHN GROUP P&amp;L'!V58+'YBN Group P&amp;L'!V58+'HAB'!V58+'Moe2 P&amp;L'!V58</f>
        <v/>
      </c>
      <c r="W58" s="38">
        <f>'KNL HO'!W58+'CCL GROUP P&amp;L'!W58+'YBHN GROUP P&amp;L'!W58+'YBN Group P&amp;L'!W58+'HAB'!W58+'Moe2 P&amp;L'!W58</f>
        <v/>
      </c>
      <c r="X58" s="38">
        <f>'KNL HO'!X58+'CCL GROUP P&amp;L'!X58+'YBHN GROUP P&amp;L'!X58+'YBN Group P&amp;L'!X58+'HAB'!X58+'Moe2 P&amp;L'!X58</f>
        <v/>
      </c>
      <c r="Y58" s="38">
        <f>'KNL HO'!Y58+'CCL GROUP P&amp;L'!Y58+'YBHN GROUP P&amp;L'!Y58+'YBN Group P&amp;L'!Y58+'HAB'!Y58+'Moe2 P&amp;L'!Y58</f>
        <v/>
      </c>
      <c r="Z58" s="38">
        <f>'KNL HO'!Z58+'CCL GROUP P&amp;L'!Z58+'YBHN GROUP P&amp;L'!Z58+'YBN Group P&amp;L'!Z58+'HAB'!Z58+'Moe2 P&amp;L'!Z58</f>
        <v/>
      </c>
      <c r="AA58" s="36">
        <f>SUM(O58:U58)</f>
        <v/>
      </c>
      <c r="AB58" s="36">
        <f>SUM(O58:Z58)</f>
        <v/>
      </c>
      <c r="AC58" s="38">
        <f>'KNL HO'!AC58+'CCL GROUP P&amp;L'!AC58+'YBHN GROUP P&amp;L'!AC58+'YBN Group P&amp;L'!AC58+'HAB'!AC58+'Moe2 P&amp;L'!AC58</f>
        <v/>
      </c>
      <c r="AD58" s="38">
        <f>'KNL HO'!AD58+'CCL GROUP P&amp;L'!AD58+'YBHN GROUP P&amp;L'!AD58+'YBN Group P&amp;L'!AD58+'HAB'!AD58+'Moe2 P&amp;L'!AD58</f>
        <v/>
      </c>
      <c r="AE58" s="38">
        <f>'KNL HO'!AE58+'CCL GROUP P&amp;L'!AE58+'YBHN GROUP P&amp;L'!AE58+'YBN Group P&amp;L'!AE58+'HAB'!AE58+'Moe2 P&amp;L'!AE58</f>
        <v/>
      </c>
      <c r="AF58" s="38">
        <f>'KNL HO'!AF58+'CCL GROUP P&amp;L'!AF58+'YBHN GROUP P&amp;L'!AF58+'YBN Group P&amp;L'!AF58+'HAB'!AF58+'Moe2 P&amp;L'!AF58</f>
        <v/>
      </c>
      <c r="AG58" s="38">
        <f>'KNL HO'!AG58+'CCL GROUP P&amp;L'!AG58+'YBHN GROUP P&amp;L'!AG58+'YBN Group P&amp;L'!AG58+'HAB'!AG58+'Moe2 P&amp;L'!AG58</f>
        <v/>
      </c>
      <c r="AH58" s="38">
        <f>'KNL HO'!AH58+'CCL GROUP P&amp;L'!AH58+'YBHN GROUP P&amp;L'!AH58+'YBN Group P&amp;L'!AH58+'HAB'!AH58+'Moe2 P&amp;L'!AH58</f>
        <v/>
      </c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6">
        <f>SUM(N58:Z58)-$N58</f>
        <v/>
      </c>
      <c r="AN58" s="40" t="n"/>
      <c r="AO58" s="92">
        <f>SUM(AC58:AE58)+SUM(R58:Z58)</f>
        <v/>
      </c>
      <c r="AP58" s="92">
        <f>SUM(AC58:AH58)+SUM(U58:Z58)</f>
        <v/>
      </c>
    </row>
    <row r="59">
      <c r="A59" s="34" t="inlineStr">
        <is>
          <t>IT Support</t>
        </is>
      </c>
      <c r="B59" s="35" t="n">
        <v>5799.950000000002</v>
      </c>
      <c r="C59" s="35" t="n">
        <v>6701.59</v>
      </c>
      <c r="D59" s="35" t="n">
        <v>5239.389999999999</v>
      </c>
      <c r="E59" s="35" t="n">
        <v>5239.42</v>
      </c>
      <c r="F59" s="35" t="n">
        <v>4576.87</v>
      </c>
      <c r="G59" s="35" t="n">
        <v>6111.720000000001</v>
      </c>
      <c r="H59" s="35" t="n">
        <v>5448.22</v>
      </c>
      <c r="I59" s="35" t="n">
        <v>7220.200000000001</v>
      </c>
      <c r="J59" s="35" t="n">
        <v>12260.18</v>
      </c>
      <c r="K59" s="35" t="n">
        <v>5634.940000000001</v>
      </c>
      <c r="L59" s="35" t="n">
        <v>6329.940000000002</v>
      </c>
      <c r="M59" s="35" t="n">
        <v>6639.720000000002</v>
      </c>
      <c r="N59" s="36">
        <f>SUM(B59:M59)</f>
        <v/>
      </c>
      <c r="O59" s="37">
        <f>'ABA'!O59+'BK'!O59+'BW'!O59+'CED'!O59+'HAB'!O59+'HB'!O59+'OD'!O59+'HDN'!O59+'KIN'!O59+'LE'!O59+'MER'!O59+'NDN'!O59+'SALT'!O59+'SDN'!O59+'SST'!O59+'WH'!O59+'FH'!O59+'KNL HO'!O59+'CCL HO'!O59+'YBHN HO'!O59+'YBN HO'!O59</f>
        <v/>
      </c>
      <c r="P59" s="37">
        <f>'ABA'!P59+'BK'!P59+'BW'!P59+'CED'!P59+'HAB'!P59+'HB'!P59+'OD'!P59+'HDN'!P59+'KIN'!P59+'LE'!P59+'MER'!P59+'NDN'!P59+'SALT'!P59+'SDN'!P59+'SST'!P59+'WH'!P59+'FH'!P59+'KNL HO'!P59+'CCL HO'!P59+'YBHN HO'!P59+'YBN HO'!P59</f>
        <v/>
      </c>
      <c r="Q59" s="37">
        <f>'ABA'!Q59+'BK'!Q59+'BW'!Q59+'CED'!Q59+'HAB'!Q59+'HB'!Q59+'OD'!Q59+'HDN'!Q59+'KIN'!Q59+'LE'!Q59+'MER'!Q59+'NDN'!Q59+'SALT'!Q59+'SDN'!Q59+'SST'!Q59+'WH'!Q59+'FH'!Q59+'KNL HO'!Q59+'CCL HO'!Q59+'YBHN HO'!Q59+'YBN HO'!Q59</f>
        <v/>
      </c>
      <c r="R59" s="37">
        <f>'ABA'!R59+'BK'!R59+'BW'!R59+'CED'!R59+'HAB'!R59+'HB'!R59+'OD'!R59+'HDN'!R59+'KIN'!R59+'LE'!R59+'MER'!R59+'NDN'!R59+'SALT'!R59+'SDN'!R59+'SST'!R59+'WH'!R59+'FH'!R59+'KNL HO'!R59+'CCL HO'!R59+'YBHN HO'!R59+'YBN HO'!R59</f>
        <v/>
      </c>
      <c r="S59" s="37">
        <f>'ABA'!S59+'BK'!S59+'BW'!S59+'CED'!S59+'HAB'!S59+'HB'!S59+'OD'!S59+'HDN'!S59+'KIN'!S59+'LE'!S59+'MER'!S59+'NDN'!S59+'SALT'!S59+'SDN'!S59+'SST'!S59+'WH'!S59+'FH'!S59+'KNL HO'!S59+'CCL HO'!S59+'YBHN HO'!S59+'YBN HO'!S59</f>
        <v/>
      </c>
      <c r="T59" s="37">
        <f>'ABA'!T59+'BK'!T59+'BW'!T59+'CED'!T59+'HAB'!T59+'HB'!T59+'OD'!T59+'HDN'!T59+'KIN'!T59+'LE'!T59+'MER'!T59+'NDN'!T59+'SALT'!T59+'SDN'!T59+'SST'!T59+'WH'!T59+'FH'!T59+'KNL HO'!T59+'CCL HO'!T59+'YBHN HO'!T59+'YBN HO'!T59</f>
        <v/>
      </c>
      <c r="U59" s="37">
        <f>'ABA'!U59+'BK'!U59+'BW'!U59+'CED'!U59+'HAB'!U59+'HB'!U59+'OD'!U59+'HDN'!U59+'KIN'!U59+'LE'!U59+'MER'!U59+'NDN'!U59+'SALT'!U59+'SDN'!U59+'SST'!U59+'WH'!U59+'FH'!U59+'KNL HO'!U59+'CCL HO'!U59+'YBHN HO'!U59+'YBN HO'!U59</f>
        <v/>
      </c>
      <c r="V59" s="38">
        <f>'KNL HO'!V59+'CCL GROUP P&amp;L'!V59+'YBHN GROUP P&amp;L'!V59+'YBN Group P&amp;L'!V59+'HAB'!V59+'Moe2 P&amp;L'!V59</f>
        <v/>
      </c>
      <c r="W59" s="38">
        <f>'KNL HO'!W59+'CCL GROUP P&amp;L'!W59+'YBHN GROUP P&amp;L'!W59+'YBN Group P&amp;L'!W59+'HAB'!W59+'Moe2 P&amp;L'!W59</f>
        <v/>
      </c>
      <c r="X59" s="38">
        <f>'KNL HO'!X59+'CCL GROUP P&amp;L'!X59+'YBHN GROUP P&amp;L'!X59+'YBN Group P&amp;L'!X59+'HAB'!X59+'Moe2 P&amp;L'!X59</f>
        <v/>
      </c>
      <c r="Y59" s="38">
        <f>'KNL HO'!Y59+'CCL GROUP P&amp;L'!Y59+'YBHN GROUP P&amp;L'!Y59+'YBN Group P&amp;L'!Y59+'HAB'!Y59+'Moe2 P&amp;L'!Y59</f>
        <v/>
      </c>
      <c r="Z59" s="38">
        <f>'KNL HO'!Z59+'CCL GROUP P&amp;L'!Z59+'YBHN GROUP P&amp;L'!Z59+'YBN Group P&amp;L'!Z59+'HAB'!Z59+'Moe2 P&amp;L'!Z59</f>
        <v/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6">
        <f>SUM(N59:Z59)-$N59</f>
        <v/>
      </c>
      <c r="AN59" s="40" t="n"/>
      <c r="AO59" s="92">
        <f>SUM(AC59:AE59)+SUM(R59:Z59)</f>
        <v/>
      </c>
      <c r="AP59" s="92">
        <f>SUM(AC59:AH59)+SUM(U59:Z59)</f>
        <v/>
      </c>
    </row>
    <row r="60">
      <c r="A60" s="34" t="inlineStr">
        <is>
          <t>Fees &amp; Subscriptions</t>
        </is>
      </c>
      <c r="B60" s="35" t="n">
        <v>3006.489999999998</v>
      </c>
      <c r="C60" s="35" t="n">
        <v>1240.21</v>
      </c>
      <c r="D60" s="35" t="n">
        <v>2135.16</v>
      </c>
      <c r="E60" s="35" t="n">
        <v>1707.609999999999</v>
      </c>
      <c r="F60" s="35" t="n">
        <v>774.9300000000001</v>
      </c>
      <c r="G60" s="35" t="n">
        <v>1888.42</v>
      </c>
      <c r="H60" s="35" t="n">
        <v>783.0400000000002</v>
      </c>
      <c r="I60" s="35" t="n">
        <v>760.6800000000002</v>
      </c>
      <c r="J60" s="35" t="n">
        <v>1067.700000000001</v>
      </c>
      <c r="K60" s="35" t="n">
        <v>2456.52</v>
      </c>
      <c r="L60" s="35" t="n">
        <v>1668.72</v>
      </c>
      <c r="M60" s="35" t="n">
        <v>3469.42</v>
      </c>
      <c r="N60" s="36">
        <f>SUM(B60:M60)</f>
        <v/>
      </c>
      <c r="O60" s="37">
        <f>'ABA'!O60+'BK'!O60+'BW'!O60+'CED'!O60+'HAB'!O60+'HB'!O60+'OD'!O60+'HDN'!O60+'KIN'!O60+'LE'!O60+'MER'!O60+'NDN'!O60+'SALT'!O60+'SDN'!O60+'SST'!O60+'WH'!O60+'FH'!O60+'KNL HO'!O60+'CCL HO'!O60+'YBHN HO'!O60+'YBN HO'!O60</f>
        <v/>
      </c>
      <c r="P60" s="37">
        <f>'ABA'!P60+'BK'!P60+'BW'!P60+'CED'!P60+'HAB'!P60+'HB'!P60+'OD'!P60+'HDN'!P60+'KIN'!P60+'LE'!P60+'MER'!P60+'NDN'!P60+'SALT'!P60+'SDN'!P60+'SST'!P60+'WH'!P60+'FH'!P60+'KNL HO'!P60+'CCL HO'!P60+'YBHN HO'!P60+'YBN HO'!P60</f>
        <v/>
      </c>
      <c r="Q60" s="37">
        <f>'ABA'!Q60+'BK'!Q60+'BW'!Q60+'CED'!Q60+'HAB'!Q60+'HB'!Q60+'OD'!Q60+'HDN'!Q60+'KIN'!Q60+'LE'!Q60+'MER'!Q60+'NDN'!Q60+'SALT'!Q60+'SDN'!Q60+'SST'!Q60+'WH'!Q60+'FH'!Q60+'KNL HO'!Q60+'CCL HO'!Q60+'YBHN HO'!Q60+'YBN HO'!Q60</f>
        <v/>
      </c>
      <c r="R60" s="37">
        <f>'ABA'!R60+'BK'!R60+'BW'!R60+'CED'!R60+'HAB'!R60+'HB'!R60+'OD'!R60+'HDN'!R60+'KIN'!R60+'LE'!R60+'MER'!R60+'NDN'!R60+'SALT'!R60+'SDN'!R60+'SST'!R60+'WH'!R60+'FH'!R60+'KNL HO'!R60+'CCL HO'!R60+'YBHN HO'!R60+'YBN HO'!R60</f>
        <v/>
      </c>
      <c r="S60" s="37">
        <f>'ABA'!S60+'BK'!S60+'BW'!S60+'CED'!S60+'HAB'!S60+'HB'!S60+'OD'!S60+'HDN'!S60+'KIN'!S60+'LE'!S60+'MER'!S60+'NDN'!S60+'SALT'!S60+'SDN'!S60+'SST'!S60+'WH'!S60+'FH'!S60+'KNL HO'!S60+'CCL HO'!S60+'YBHN HO'!S60+'YBN HO'!S60</f>
        <v/>
      </c>
      <c r="T60" s="37">
        <f>'ABA'!T60+'BK'!T60+'BW'!T60+'CED'!T60+'HAB'!T60+'HB'!T60+'OD'!T60+'HDN'!T60+'KIN'!T60+'LE'!T60+'MER'!T60+'NDN'!T60+'SALT'!T60+'SDN'!T60+'SST'!T60+'WH'!T60+'FH'!T60+'KNL HO'!T60+'CCL HO'!T60+'YBHN HO'!T60+'YBN HO'!T60</f>
        <v/>
      </c>
      <c r="U60" s="37">
        <f>'ABA'!U60+'BK'!U60+'BW'!U60+'CED'!U60+'HAB'!U60+'HB'!U60+'OD'!U60+'HDN'!U60+'KIN'!U60+'LE'!U60+'MER'!U60+'NDN'!U60+'SALT'!U60+'SDN'!U60+'SST'!U60+'WH'!U60+'FH'!U60+'KNL HO'!U60+'CCL HO'!U60+'YBHN HO'!U60+'YBN HO'!U60</f>
        <v/>
      </c>
      <c r="V60" s="38">
        <f>'KNL HO'!V60+'CCL GROUP P&amp;L'!V60+'YBHN GROUP P&amp;L'!V60+'YBN Group P&amp;L'!V60+'HAB'!V60+'Moe2 P&amp;L'!V60</f>
        <v/>
      </c>
      <c r="W60" s="38">
        <f>'KNL HO'!W60+'CCL GROUP P&amp;L'!W60+'YBHN GROUP P&amp;L'!W60+'YBN Group P&amp;L'!W60+'HAB'!W60+'Moe2 P&amp;L'!W60</f>
        <v/>
      </c>
      <c r="X60" s="38">
        <f>'KNL HO'!X60+'CCL GROUP P&amp;L'!X60+'YBHN GROUP P&amp;L'!X60+'YBN Group P&amp;L'!X60+'HAB'!X60+'Moe2 P&amp;L'!X60</f>
        <v/>
      </c>
      <c r="Y60" s="38">
        <f>'KNL HO'!Y60+'CCL GROUP P&amp;L'!Y60+'YBHN GROUP P&amp;L'!Y60+'YBN Group P&amp;L'!Y60+'HAB'!Y60+'Moe2 P&amp;L'!Y60</f>
        <v/>
      </c>
      <c r="Z60" s="38">
        <f>'KNL HO'!Z60+'CCL GROUP P&amp;L'!Z60+'YBHN GROUP P&amp;L'!Z60+'YBN Group P&amp;L'!Z60+'HAB'!Z60+'Moe2 P&amp;L'!Z60</f>
        <v/>
      </c>
      <c r="AA60" s="36">
        <f>SUM(O60:U60)</f>
        <v/>
      </c>
      <c r="AB60" s="36">
        <f>SUM(O60:Z60)</f>
        <v/>
      </c>
      <c r="AC60" s="38">
        <f>'KNL HO'!AC60+'CCL GROUP P&amp;L'!AC60+'YBHN GROUP P&amp;L'!AC60+'YBN Group P&amp;L'!AC60+'HAB'!AC60+'Moe2 P&amp;L'!AC60</f>
        <v/>
      </c>
      <c r="AD60" s="38">
        <f>'KNL HO'!AD60+'CCL GROUP P&amp;L'!AD60+'YBHN GROUP P&amp;L'!AD60+'YBN Group P&amp;L'!AD60+'HAB'!AD60+'Moe2 P&amp;L'!AD60</f>
        <v/>
      </c>
      <c r="AE60" s="38">
        <f>'KNL HO'!AE60+'CCL GROUP P&amp;L'!AE60+'YBHN GROUP P&amp;L'!AE60+'YBN Group P&amp;L'!AE60+'HAB'!AE60+'Moe2 P&amp;L'!AE60</f>
        <v/>
      </c>
      <c r="AF60" s="38">
        <f>'KNL HO'!AF60+'CCL GROUP P&amp;L'!AF60+'YBHN GROUP P&amp;L'!AF60+'YBN Group P&amp;L'!AF60+'HAB'!AF60+'Moe2 P&amp;L'!AF60</f>
        <v/>
      </c>
      <c r="AG60" s="38">
        <f>'KNL HO'!AG60+'CCL GROUP P&amp;L'!AG60+'YBHN GROUP P&amp;L'!AG60+'YBN Group P&amp;L'!AG60+'HAB'!AG60+'Moe2 P&amp;L'!AG60</f>
        <v/>
      </c>
      <c r="AH60" s="38">
        <f>'KNL HO'!AH60+'CCL GROUP P&amp;L'!AH60+'YBHN GROUP P&amp;L'!AH60+'YBN Group P&amp;L'!AH60+'HAB'!AH60+'Moe2 P&amp;L'!AH60</f>
        <v/>
      </c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6">
        <f>SUM(N60:Z60)-$N60</f>
        <v/>
      </c>
      <c r="AN60" s="40" t="n"/>
      <c r="AO60" s="92">
        <f>SUM(AC60:AE60)+SUM(R60:Z60)</f>
        <v/>
      </c>
      <c r="AP60" s="92">
        <f>SUM(AC60:AH60)+SUM(U60:Z60)</f>
        <v/>
      </c>
    </row>
    <row r="61">
      <c r="A61" s="34" t="inlineStr">
        <is>
          <t>Miscellaneous</t>
        </is>
      </c>
      <c r="B61" s="35" t="n">
        <v>276.16</v>
      </c>
      <c r="C61" s="35" t="n">
        <v>364.83</v>
      </c>
      <c r="D61" s="35" t="n">
        <v>1027.36</v>
      </c>
      <c r="E61" s="35" t="n">
        <v>315.59</v>
      </c>
      <c r="F61" s="35" t="n">
        <v>423.71</v>
      </c>
      <c r="G61" s="35" t="n">
        <v>1522.89</v>
      </c>
      <c r="H61" s="35" t="n">
        <v>1202.36</v>
      </c>
      <c r="I61" s="35" t="n">
        <v>60.18</v>
      </c>
      <c r="J61" s="35" t="n">
        <v>25.63</v>
      </c>
      <c r="K61" s="35" t="n">
        <v>622.87</v>
      </c>
      <c r="L61" s="35" t="n">
        <v>3119.889999999999</v>
      </c>
      <c r="M61" s="35" t="n">
        <v>647.1600000000001</v>
      </c>
      <c r="N61" s="36">
        <f>SUM(B61:M61)</f>
        <v/>
      </c>
      <c r="O61" s="37">
        <f>'ABA'!O61+'BK'!O61+'BW'!O61+'CED'!O61+'HAB'!O61+'HB'!O61+'OD'!O61+'HDN'!O61+'KIN'!O61+'LE'!O61+'MER'!O61+'NDN'!O61+'SALT'!O61+'SDN'!O61+'SST'!O61+'WH'!O61+'FH'!O61+'KNL HO'!O61+'CCL HO'!O61+'YBHN HO'!O61+'YBN HO'!O61</f>
        <v/>
      </c>
      <c r="P61" s="37">
        <f>'ABA'!P61+'BK'!P61+'BW'!P61+'CED'!P61+'HAB'!P61+'HB'!P61+'OD'!P61+'HDN'!P61+'KIN'!P61+'LE'!P61+'MER'!P61+'NDN'!P61+'SALT'!P61+'SDN'!P61+'SST'!P61+'WH'!P61+'FH'!P61+'KNL HO'!P61+'CCL HO'!P61+'YBHN HO'!P61+'YBN HO'!P61</f>
        <v/>
      </c>
      <c r="Q61" s="37">
        <f>'ABA'!Q61+'BK'!Q61+'BW'!Q61+'CED'!Q61+'HAB'!Q61+'HB'!Q61+'OD'!Q61+'HDN'!Q61+'KIN'!Q61+'LE'!Q61+'MER'!Q61+'NDN'!Q61+'SALT'!Q61+'SDN'!Q61+'SST'!Q61+'WH'!Q61+'FH'!Q61+'KNL HO'!Q61+'CCL HO'!Q61+'YBHN HO'!Q61+'YBN HO'!Q61</f>
        <v/>
      </c>
      <c r="R61" s="37">
        <f>'ABA'!R61+'BK'!R61+'BW'!R61+'CED'!R61+'HAB'!R61+'HB'!R61+'OD'!R61+'HDN'!R61+'KIN'!R61+'LE'!R61+'MER'!R61+'NDN'!R61+'SALT'!R61+'SDN'!R61+'SST'!R61+'WH'!R61+'FH'!R61+'KNL HO'!R61+'CCL HO'!R61+'YBHN HO'!R61+'YBN HO'!R61</f>
        <v/>
      </c>
      <c r="S61" s="37">
        <f>'ABA'!S61+'BK'!S61+'BW'!S61+'CED'!S61+'HAB'!S61+'HB'!S61+'OD'!S61+'HDN'!S61+'KIN'!S61+'LE'!S61+'MER'!S61+'NDN'!S61+'SALT'!S61+'SDN'!S61+'SST'!S61+'WH'!S61+'FH'!S61+'KNL HO'!S61+'CCL HO'!S61+'YBHN HO'!S61+'YBN HO'!S61</f>
        <v/>
      </c>
      <c r="T61" s="37">
        <f>'ABA'!T61+'BK'!T61+'BW'!T61+'CED'!T61+'HAB'!T61+'HB'!T61+'OD'!T61+'HDN'!T61+'KIN'!T61+'LE'!T61+'MER'!T61+'NDN'!T61+'SALT'!T61+'SDN'!T61+'SST'!T61+'WH'!T61+'FH'!T61+'KNL HO'!T61+'CCL HO'!T61+'YBHN HO'!T61+'YBN HO'!T61</f>
        <v/>
      </c>
      <c r="U61" s="37">
        <f>'ABA'!U61+'BK'!U61+'BW'!U61+'CED'!U61+'HAB'!U61+'HB'!U61+'OD'!U61+'HDN'!U61+'KIN'!U61+'LE'!U61+'MER'!U61+'NDN'!U61+'SALT'!U61+'SDN'!U61+'SST'!U61+'WH'!U61+'FH'!U61+'KNL HO'!U61+'CCL HO'!U61+'YBHN HO'!U61+'YBN HO'!U61</f>
        <v/>
      </c>
      <c r="V61" s="38">
        <f>'KNL HO'!V61+'CCL GROUP P&amp;L'!V61+'YBHN GROUP P&amp;L'!V61+'YBN Group P&amp;L'!V61+'HAB'!V61+'Moe2 P&amp;L'!V61</f>
        <v/>
      </c>
      <c r="W61" s="38">
        <f>'KNL HO'!W61+'CCL GROUP P&amp;L'!W61+'YBHN GROUP P&amp;L'!W61+'YBN Group P&amp;L'!W61+'HAB'!W61+'Moe2 P&amp;L'!W61</f>
        <v/>
      </c>
      <c r="X61" s="38">
        <f>'KNL HO'!X61+'CCL GROUP P&amp;L'!X61+'YBHN GROUP P&amp;L'!X61+'YBN Group P&amp;L'!X61+'HAB'!X61+'Moe2 P&amp;L'!X61</f>
        <v/>
      </c>
      <c r="Y61" s="38">
        <f>'KNL HO'!Y61+'CCL GROUP P&amp;L'!Y61+'YBHN GROUP P&amp;L'!Y61+'YBN Group P&amp;L'!Y61+'HAB'!Y61+'Moe2 P&amp;L'!Y61</f>
        <v/>
      </c>
      <c r="Z61" s="38">
        <f>'KNL HO'!Z61+'CCL GROUP P&amp;L'!Z61+'YBHN GROUP P&amp;L'!Z61+'YBN Group P&amp;L'!Z61+'HAB'!Z61+'Moe2 P&amp;L'!Z61</f>
        <v/>
      </c>
      <c r="AA61" s="36">
        <f>SUM(O61:U61)</f>
        <v/>
      </c>
      <c r="AB61" s="36">
        <f>SUM(O61:Z61)</f>
        <v/>
      </c>
      <c r="AC61" s="38">
        <f>'KNL HO'!AC61+'CCL GROUP P&amp;L'!AC61+'YBHN GROUP P&amp;L'!AC61+'YBN Group P&amp;L'!AC61+'HAB'!AC61+'Moe2 P&amp;L'!AC61</f>
        <v/>
      </c>
      <c r="AD61" s="38">
        <f>'KNL HO'!AD61+'CCL GROUP P&amp;L'!AD61+'YBHN GROUP P&amp;L'!AD61+'YBN Group P&amp;L'!AD61+'HAB'!AD61+'Moe2 P&amp;L'!AD61</f>
        <v/>
      </c>
      <c r="AE61" s="38">
        <f>'KNL HO'!AE61+'CCL GROUP P&amp;L'!AE61+'YBHN GROUP P&amp;L'!AE61+'YBN Group P&amp;L'!AE61+'HAB'!AE61+'Moe2 P&amp;L'!AE61</f>
        <v/>
      </c>
      <c r="AF61" s="38">
        <f>'KNL HO'!AF61+'CCL GROUP P&amp;L'!AF61+'YBHN GROUP P&amp;L'!AF61+'YBN Group P&amp;L'!AF61+'HAB'!AF61+'Moe2 P&amp;L'!AF61</f>
        <v/>
      </c>
      <c r="AG61" s="38">
        <f>'KNL HO'!AG61+'CCL GROUP P&amp;L'!AG61+'YBHN GROUP P&amp;L'!AG61+'YBN Group P&amp;L'!AG61+'HAB'!AG61+'Moe2 P&amp;L'!AG61</f>
        <v/>
      </c>
      <c r="AH61" s="38">
        <f>'KNL HO'!AH61+'CCL GROUP P&amp;L'!AH61+'YBHN GROUP P&amp;L'!AH61+'YBN Group P&amp;L'!AH61+'HAB'!AH61+'Moe2 P&amp;L'!AH61</f>
        <v/>
      </c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6">
        <f>SUM(N61:Z61)-$N61</f>
        <v/>
      </c>
      <c r="AN61" s="40" t="n"/>
      <c r="AO61" s="92">
        <f>SUM(AC61:AE61)+SUM(R61:Z61)</f>
        <v/>
      </c>
      <c r="AP61" s="92">
        <f>SUM(AC61:AH61)+SUM(U61:Z61)</f>
        <v/>
      </c>
    </row>
    <row r="62">
      <c r="A62" s="34" t="inlineStr">
        <is>
          <t>Motor &amp; Travel</t>
        </is>
      </c>
      <c r="B62" s="35" t="n">
        <v>1448.76</v>
      </c>
      <c r="C62" s="35" t="n">
        <v>3387.65</v>
      </c>
      <c r="D62" s="35" t="n">
        <v>3506.15</v>
      </c>
      <c r="E62" s="35" t="n">
        <v>2909.55</v>
      </c>
      <c r="F62" s="35" t="n">
        <v>2835.84</v>
      </c>
      <c r="G62" s="35" t="n">
        <v>3477.6</v>
      </c>
      <c r="H62" s="35" t="n">
        <v>5887.940000000001</v>
      </c>
      <c r="I62" s="35" t="n">
        <v>4588.77</v>
      </c>
      <c r="J62" s="35" t="n">
        <v>5359.77</v>
      </c>
      <c r="K62" s="35" t="n">
        <v>3400.08</v>
      </c>
      <c r="L62" s="35" t="n">
        <v>4858.96</v>
      </c>
      <c r="M62" s="35" t="n">
        <v>2499.98</v>
      </c>
      <c r="N62" s="36">
        <f>SUM(B62:M62)</f>
        <v/>
      </c>
      <c r="O62" s="37">
        <f>'ABA'!O62+'BK'!O62+'BW'!O62+'CED'!O62+'HAB'!O62+'HB'!O62+'OD'!O62+'HDN'!O62+'KIN'!O62+'LE'!O62+'MER'!O62+'NDN'!O62+'SALT'!O62+'SDN'!O62+'SST'!O62+'WH'!O62+'FH'!O62+'KNL HO'!O62+'CCL HO'!O62+'YBHN HO'!O62+'YBN HO'!O62</f>
        <v/>
      </c>
      <c r="P62" s="37">
        <f>'ABA'!P62+'BK'!P62+'BW'!P62+'CED'!P62+'HAB'!P62+'HB'!P62+'OD'!P62+'HDN'!P62+'KIN'!P62+'LE'!P62+'MER'!P62+'NDN'!P62+'SALT'!P62+'SDN'!P62+'SST'!P62+'WH'!P62+'FH'!P62+'KNL HO'!P62+'CCL HO'!P62+'YBHN HO'!P62+'YBN HO'!P62</f>
        <v/>
      </c>
      <c r="Q62" s="37">
        <f>'ABA'!Q62+'BK'!Q62+'BW'!Q62+'CED'!Q62+'HAB'!Q62+'HB'!Q62+'OD'!Q62+'HDN'!Q62+'KIN'!Q62+'LE'!Q62+'MER'!Q62+'NDN'!Q62+'SALT'!Q62+'SDN'!Q62+'SST'!Q62+'WH'!Q62+'FH'!Q62+'KNL HO'!Q62+'CCL HO'!Q62+'YBHN HO'!Q62+'YBN HO'!Q62</f>
        <v/>
      </c>
      <c r="R62" s="37">
        <f>'ABA'!R62+'BK'!R62+'BW'!R62+'CED'!R62+'HAB'!R62+'HB'!R62+'OD'!R62+'HDN'!R62+'KIN'!R62+'LE'!R62+'MER'!R62+'NDN'!R62+'SALT'!R62+'SDN'!R62+'SST'!R62+'WH'!R62+'FH'!R62+'KNL HO'!R62+'CCL HO'!R62+'YBHN HO'!R62+'YBN HO'!R62</f>
        <v/>
      </c>
      <c r="S62" s="37">
        <f>'ABA'!S62+'BK'!S62+'BW'!S62+'CED'!S62+'HAB'!S62+'HB'!S62+'OD'!S62+'HDN'!S62+'KIN'!S62+'LE'!S62+'MER'!S62+'NDN'!S62+'SALT'!S62+'SDN'!S62+'SST'!S62+'WH'!S62+'FH'!S62+'KNL HO'!S62+'CCL HO'!S62+'YBHN HO'!S62+'YBN HO'!S62</f>
        <v/>
      </c>
      <c r="T62" s="37">
        <f>'ABA'!T62+'BK'!T62+'BW'!T62+'CED'!T62+'HAB'!T62+'HB'!T62+'OD'!T62+'HDN'!T62+'KIN'!T62+'LE'!T62+'MER'!T62+'NDN'!T62+'SALT'!T62+'SDN'!T62+'SST'!T62+'WH'!T62+'FH'!T62+'KNL HO'!T62+'CCL HO'!T62+'YBHN HO'!T62+'YBN HO'!T62</f>
        <v/>
      </c>
      <c r="U62" s="37">
        <f>'ABA'!U62+'BK'!U62+'BW'!U62+'CED'!U62+'HAB'!U62+'HB'!U62+'OD'!U62+'HDN'!U62+'KIN'!U62+'LE'!U62+'MER'!U62+'NDN'!U62+'SALT'!U62+'SDN'!U62+'SST'!U62+'WH'!U62+'FH'!U62+'KNL HO'!U62+'CCL HO'!U62+'YBHN HO'!U62+'YBN HO'!U62</f>
        <v/>
      </c>
      <c r="V62" s="38">
        <f>'KNL HO'!V62+'CCL GROUP P&amp;L'!V62+'YBHN GROUP P&amp;L'!V62+'YBN Group P&amp;L'!V62+'HAB'!V62+'Moe2 P&amp;L'!V62</f>
        <v/>
      </c>
      <c r="W62" s="38">
        <f>'KNL HO'!W62+'CCL GROUP P&amp;L'!W62+'YBHN GROUP P&amp;L'!W62+'YBN Group P&amp;L'!W62+'HAB'!W62+'Moe2 P&amp;L'!W62</f>
        <v/>
      </c>
      <c r="X62" s="38">
        <f>'KNL HO'!X62+'CCL GROUP P&amp;L'!X62+'YBHN GROUP P&amp;L'!X62+'YBN Group P&amp;L'!X62+'HAB'!X62+'Moe2 P&amp;L'!X62</f>
        <v/>
      </c>
      <c r="Y62" s="38">
        <f>'KNL HO'!Y62+'CCL GROUP P&amp;L'!Y62+'YBHN GROUP P&amp;L'!Y62+'YBN Group P&amp;L'!Y62+'HAB'!Y62+'Moe2 P&amp;L'!Y62</f>
        <v/>
      </c>
      <c r="Z62" s="38">
        <f>'KNL HO'!Z62+'CCL GROUP P&amp;L'!Z62+'YBHN GROUP P&amp;L'!Z62+'YBN Group P&amp;L'!Z62+'HAB'!Z62+'Moe2 P&amp;L'!Z62</f>
        <v/>
      </c>
      <c r="AA62" s="36">
        <f>SUM(O62:U62)</f>
        <v/>
      </c>
      <c r="AB62" s="36">
        <f>SUM(O62:Z62)</f>
        <v/>
      </c>
      <c r="AC62" s="38">
        <f>'KNL HO'!AC62+'CCL GROUP P&amp;L'!AC62+'YBHN GROUP P&amp;L'!AC62+'YBN Group P&amp;L'!AC62+'HAB'!AC62+'Moe2 P&amp;L'!AC62</f>
        <v/>
      </c>
      <c r="AD62" s="38">
        <f>'KNL HO'!AD62+'CCL GROUP P&amp;L'!AD62+'YBHN GROUP P&amp;L'!AD62+'YBN Group P&amp;L'!AD62+'HAB'!AD62+'Moe2 P&amp;L'!AD62</f>
        <v/>
      </c>
      <c r="AE62" s="38">
        <f>'KNL HO'!AE62+'CCL GROUP P&amp;L'!AE62+'YBHN GROUP P&amp;L'!AE62+'YBN Group P&amp;L'!AE62+'HAB'!AE62+'Moe2 P&amp;L'!AE62</f>
        <v/>
      </c>
      <c r="AF62" s="38">
        <f>'KNL HO'!AF62+'CCL GROUP P&amp;L'!AF62+'YBHN GROUP P&amp;L'!AF62+'YBN Group P&amp;L'!AF62+'HAB'!AF62+'Moe2 P&amp;L'!AF62</f>
        <v/>
      </c>
      <c r="AG62" s="38">
        <f>'KNL HO'!AG62+'CCL GROUP P&amp;L'!AG62+'YBHN GROUP P&amp;L'!AG62+'YBN Group P&amp;L'!AG62+'HAB'!AG62+'Moe2 P&amp;L'!AG62</f>
        <v/>
      </c>
      <c r="AH62" s="38">
        <f>'KNL HO'!AH62+'CCL GROUP P&amp;L'!AH62+'YBHN GROUP P&amp;L'!AH62+'YBN Group P&amp;L'!AH62+'HAB'!AH62+'Moe2 P&amp;L'!AH62</f>
        <v/>
      </c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6">
        <f>SUM(N62:Z62)-$N62</f>
        <v/>
      </c>
      <c r="AN62" s="40" t="n"/>
      <c r="AO62" s="92">
        <f>SUM(AC62:AE62)+SUM(R62:Z62)</f>
        <v/>
      </c>
      <c r="AP62" s="92">
        <f>SUM(AC62:AH62)+SUM(U62:Z62)</f>
        <v/>
      </c>
    </row>
    <row r="63">
      <c r="A63" s="34" t="inlineStr">
        <is>
          <t>Motor Insurance</t>
        </is>
      </c>
      <c r="B63" s="35" t="n">
        <v>742.17</v>
      </c>
      <c r="C63" s="35" t="n">
        <v>1029.79</v>
      </c>
      <c r="D63" s="35" t="n">
        <v>1029.79</v>
      </c>
      <c r="E63" s="35" t="n">
        <v>1029.79</v>
      </c>
      <c r="F63" s="35" t="n">
        <v>1029.79</v>
      </c>
      <c r="G63" s="35" t="n">
        <v>1029.79</v>
      </c>
      <c r="H63" s="35" t="n">
        <v>1137.79</v>
      </c>
      <c r="I63" s="35" t="n">
        <v>1022.54</v>
      </c>
      <c r="J63" s="35" t="n">
        <v>1022.54</v>
      </c>
      <c r="K63" s="35" t="n">
        <v>1092.42</v>
      </c>
      <c r="L63" s="35" t="n">
        <v>1092.42</v>
      </c>
      <c r="M63" s="35" t="n">
        <v>1179.3</v>
      </c>
      <c r="N63" s="36">
        <f>SUM(B63:M63)</f>
        <v/>
      </c>
      <c r="O63" s="37">
        <f>'ABA'!O63+'BK'!O63+'BW'!O63+'CED'!O63+'HAB'!O63+'HB'!O63+'OD'!O63+'HDN'!O63+'KIN'!O63+'LE'!O63+'MER'!O63+'NDN'!O63+'SALT'!O63+'SDN'!O63+'SST'!O63+'WH'!O63+'FH'!O63+'KNL HO'!O63+'CCL HO'!O63+'YBHN HO'!O63+'YBN HO'!O63</f>
        <v/>
      </c>
      <c r="P63" s="37">
        <f>'ABA'!P63+'BK'!P63+'BW'!P63+'CED'!P63+'HAB'!P63+'HB'!P63+'OD'!P63+'HDN'!P63+'KIN'!P63+'LE'!P63+'MER'!P63+'NDN'!P63+'SALT'!P63+'SDN'!P63+'SST'!P63+'WH'!P63+'FH'!P63+'KNL HO'!P63+'CCL HO'!P63+'YBHN HO'!P63+'YBN HO'!P63</f>
        <v/>
      </c>
      <c r="Q63" s="37">
        <f>'ABA'!Q63+'BK'!Q63+'BW'!Q63+'CED'!Q63+'HAB'!Q63+'HB'!Q63+'OD'!Q63+'HDN'!Q63+'KIN'!Q63+'LE'!Q63+'MER'!Q63+'NDN'!Q63+'SALT'!Q63+'SDN'!Q63+'SST'!Q63+'WH'!Q63+'FH'!Q63+'KNL HO'!Q63+'CCL HO'!Q63+'YBHN HO'!Q63+'YBN HO'!Q63</f>
        <v/>
      </c>
      <c r="R63" s="37">
        <f>'ABA'!R63+'BK'!R63+'BW'!R63+'CED'!R63+'HAB'!R63+'HB'!R63+'OD'!R63+'HDN'!R63+'KIN'!R63+'LE'!R63+'MER'!R63+'NDN'!R63+'SALT'!R63+'SDN'!R63+'SST'!R63+'WH'!R63+'FH'!R63+'KNL HO'!R63+'CCL HO'!R63+'YBHN HO'!R63+'YBN HO'!R63</f>
        <v/>
      </c>
      <c r="S63" s="37">
        <f>'ABA'!S63+'BK'!S63+'BW'!S63+'CED'!S63+'HAB'!S63+'HB'!S63+'OD'!S63+'HDN'!S63+'KIN'!S63+'LE'!S63+'MER'!S63+'NDN'!S63+'SALT'!S63+'SDN'!S63+'SST'!S63+'WH'!S63+'FH'!S63+'KNL HO'!S63+'CCL HO'!S63+'YBHN HO'!S63+'YBN HO'!S63</f>
        <v/>
      </c>
      <c r="T63" s="37">
        <f>'ABA'!T63+'BK'!T63+'BW'!T63+'CED'!T63+'HAB'!T63+'HB'!T63+'OD'!T63+'HDN'!T63+'KIN'!T63+'LE'!T63+'MER'!T63+'NDN'!T63+'SALT'!T63+'SDN'!T63+'SST'!T63+'WH'!T63+'FH'!T63+'KNL HO'!T63+'CCL HO'!T63+'YBHN HO'!T63+'YBN HO'!T63</f>
        <v/>
      </c>
      <c r="U63" s="37">
        <f>'ABA'!U63+'BK'!U63+'BW'!U63+'CED'!U63+'HAB'!U63+'HB'!U63+'OD'!U63+'HDN'!U63+'KIN'!U63+'LE'!U63+'MER'!U63+'NDN'!U63+'SALT'!U63+'SDN'!U63+'SST'!U63+'WH'!U63+'FH'!U63+'KNL HO'!U63+'CCL HO'!U63+'YBHN HO'!U63+'YBN HO'!U63</f>
        <v/>
      </c>
      <c r="V63" s="38">
        <f>'KNL HO'!V63+'CCL GROUP P&amp;L'!V63+'YBHN GROUP P&amp;L'!V63+'YBN Group P&amp;L'!V63+'HAB'!V63+'Moe2 P&amp;L'!V63</f>
        <v/>
      </c>
      <c r="W63" s="38">
        <f>'KNL HO'!W63+'CCL GROUP P&amp;L'!W63+'YBHN GROUP P&amp;L'!W63+'YBN Group P&amp;L'!W63+'HAB'!W63+'Moe2 P&amp;L'!W63</f>
        <v/>
      </c>
      <c r="X63" s="38">
        <f>'KNL HO'!X63+'CCL GROUP P&amp;L'!X63+'YBHN GROUP P&amp;L'!X63+'YBN Group P&amp;L'!X63+'HAB'!X63+'Moe2 P&amp;L'!X63</f>
        <v/>
      </c>
      <c r="Y63" s="38">
        <f>'KNL HO'!Y63+'CCL GROUP P&amp;L'!Y63+'YBHN GROUP P&amp;L'!Y63+'YBN Group P&amp;L'!Y63+'HAB'!Y63+'Moe2 P&amp;L'!Y63</f>
        <v/>
      </c>
      <c r="Z63" s="38">
        <f>'KNL HO'!Z63+'CCL GROUP P&amp;L'!Z63+'YBHN GROUP P&amp;L'!Z63+'YBN Group P&amp;L'!Z63+'HAB'!Z63+'Moe2 P&amp;L'!Z63</f>
        <v/>
      </c>
      <c r="AA63" s="36">
        <f>SUM(O63:U63)</f>
        <v/>
      </c>
      <c r="AB63" s="36">
        <f>SUM(O63:Z63)</f>
        <v/>
      </c>
      <c r="AC63" s="38">
        <f>'KNL HO'!AC63+'CCL GROUP P&amp;L'!AC63+'YBHN GROUP P&amp;L'!AC63+'YBN Group P&amp;L'!AC63+'HAB'!AC63+'Moe2 P&amp;L'!AC63</f>
        <v/>
      </c>
      <c r="AD63" s="38">
        <f>'KNL HO'!AD63+'CCL GROUP P&amp;L'!AD63+'YBHN GROUP P&amp;L'!AD63+'YBN Group P&amp;L'!AD63+'HAB'!AD63+'Moe2 P&amp;L'!AD63</f>
        <v/>
      </c>
      <c r="AE63" s="38">
        <f>'KNL HO'!AE63+'CCL GROUP P&amp;L'!AE63+'YBHN GROUP P&amp;L'!AE63+'YBN Group P&amp;L'!AE63+'HAB'!AE63+'Moe2 P&amp;L'!AE63</f>
        <v/>
      </c>
      <c r="AF63" s="38">
        <f>'KNL HO'!AF63+'CCL GROUP P&amp;L'!AF63+'YBHN GROUP P&amp;L'!AF63+'YBN Group P&amp;L'!AF63+'HAB'!AF63+'Moe2 P&amp;L'!AF63</f>
        <v/>
      </c>
      <c r="AG63" s="38">
        <f>'KNL HO'!AG63+'CCL GROUP P&amp;L'!AG63+'YBHN GROUP P&amp;L'!AG63+'YBN Group P&amp;L'!AG63+'HAB'!AG63+'Moe2 P&amp;L'!AG63</f>
        <v/>
      </c>
      <c r="AH63" s="38">
        <f>'KNL HO'!AH63+'CCL GROUP P&amp;L'!AH63+'YBHN GROUP P&amp;L'!AH63+'YBN Group P&amp;L'!AH63+'HAB'!AH63+'Moe2 P&amp;L'!AH63</f>
        <v/>
      </c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6">
        <f>SUM(N63:Z63)-$N63</f>
        <v/>
      </c>
      <c r="AN63" s="40" t="n"/>
      <c r="AO63" s="92">
        <f>SUM(AC63:AE63)+SUM(R63:Z63)</f>
        <v/>
      </c>
      <c r="AP63" s="92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'ABA'!O64+'BK'!O64+'BW'!O64+'CED'!O64+'HAB'!O64+'HB'!O64+'OD'!O64+'HDN'!O64+'KIN'!O64+'LE'!O64+'MER'!O64+'NDN'!O64+'SALT'!O64+'SDN'!O64+'SST'!O64+'WH'!O64+'FH'!O64+'KNL HO'!O64+'CCL HO'!O64+'YBHN HO'!O64+'YBN HO'!O64</f>
        <v/>
      </c>
      <c r="P64" s="37">
        <f>'ABA'!P64+'BK'!P64+'BW'!P64+'CED'!P64+'HAB'!P64+'HB'!P64+'OD'!P64+'HDN'!P64+'KIN'!P64+'LE'!P64+'MER'!P64+'NDN'!P64+'SALT'!P64+'SDN'!P64+'SST'!P64+'WH'!P64+'FH'!P64+'KNL HO'!P64+'CCL HO'!P64+'YBHN HO'!P64+'YBN HO'!P64</f>
        <v/>
      </c>
      <c r="Q64" s="37">
        <f>'ABA'!Q64+'BK'!Q64+'BW'!Q64+'CED'!Q64+'HAB'!Q64+'HB'!Q64+'OD'!Q64+'HDN'!Q64+'KIN'!Q64+'LE'!Q64+'MER'!Q64+'NDN'!Q64+'SALT'!Q64+'SDN'!Q64+'SST'!Q64+'WH'!Q64+'FH'!Q64+'KNL HO'!Q64+'CCL HO'!Q64+'YBHN HO'!Q64+'YBN HO'!Q64</f>
        <v/>
      </c>
      <c r="R64" s="37">
        <f>'ABA'!R64+'BK'!R64+'BW'!R64+'CED'!R64+'HAB'!R64+'HB'!R64+'OD'!R64+'HDN'!R64+'KIN'!R64+'LE'!R64+'MER'!R64+'NDN'!R64+'SALT'!R64+'SDN'!R64+'SST'!R64+'WH'!R64+'FH'!R64+'KNL HO'!R64+'CCL HO'!R64+'YBHN HO'!R64+'YBN HO'!R64</f>
        <v/>
      </c>
      <c r="S64" s="37">
        <f>'ABA'!S64+'BK'!S64+'BW'!S64+'CED'!S64+'HAB'!S64+'HB'!S64+'OD'!S64+'HDN'!S64+'KIN'!S64+'LE'!S64+'MER'!S64+'NDN'!S64+'SALT'!S64+'SDN'!S64+'SST'!S64+'WH'!S64+'FH'!S64+'KNL HO'!S64+'CCL HO'!S64+'YBHN HO'!S64+'YBN HO'!S64</f>
        <v/>
      </c>
      <c r="T64" s="37">
        <f>'ABA'!T64+'BK'!T64+'BW'!T64+'CED'!T64+'HAB'!T64+'HB'!T64+'OD'!T64+'HDN'!T64+'KIN'!T64+'LE'!T64+'MER'!T64+'NDN'!T64+'SALT'!T64+'SDN'!T64+'SST'!T64+'WH'!T64+'FH'!T64+'KNL HO'!T64+'CCL HO'!T64+'YBHN HO'!T64+'YBN HO'!T64</f>
        <v/>
      </c>
      <c r="U64" s="37">
        <f>'ABA'!U64+'BK'!U64+'BW'!U64+'CED'!U64+'HAB'!U64+'HB'!U64+'OD'!U64+'HDN'!U64+'KIN'!U64+'LE'!U64+'MER'!U64+'NDN'!U64+'SALT'!U64+'SDN'!U64+'SST'!U64+'WH'!U64+'FH'!U64+'KNL HO'!U64+'CCL HO'!U64+'YBHN HO'!U64+'YBN HO'!U64</f>
        <v/>
      </c>
      <c r="V64" s="38">
        <f>'KNL HO'!V64+'CCL GROUP P&amp;L'!V64+'YBHN GROUP P&amp;L'!V64+'YBN Group P&amp;L'!V64+'HAB'!V64+'Moe2 P&amp;L'!V64</f>
        <v/>
      </c>
      <c r="W64" s="38">
        <f>'KNL HO'!W64+'CCL GROUP P&amp;L'!W64+'YBHN GROUP P&amp;L'!W64+'YBN Group P&amp;L'!W64+'HAB'!W64+'Moe2 P&amp;L'!W64</f>
        <v/>
      </c>
      <c r="X64" s="38">
        <f>'KNL HO'!X64+'CCL GROUP P&amp;L'!X64+'YBHN GROUP P&amp;L'!X64+'YBN Group P&amp;L'!X64+'HAB'!X64+'Moe2 P&amp;L'!X64</f>
        <v/>
      </c>
      <c r="Y64" s="38">
        <f>'KNL HO'!Y64+'CCL GROUP P&amp;L'!Y64+'YBHN GROUP P&amp;L'!Y64+'YBN Group P&amp;L'!Y64+'HAB'!Y64+'Moe2 P&amp;L'!Y64</f>
        <v/>
      </c>
      <c r="Z64" s="38">
        <f>'KNL HO'!Z64+'CCL GROUP P&amp;L'!Z64+'YBHN GROUP P&amp;L'!Z64+'YBN Group P&amp;L'!Z64+'HAB'!Z64+'Moe2 P&amp;L'!Z64</f>
        <v/>
      </c>
      <c r="AA64" s="36">
        <f>SUM(O64:U64)</f>
        <v/>
      </c>
      <c r="AB64" s="36">
        <f>SUM(O64:Z64)</f>
        <v/>
      </c>
      <c r="AC64" s="38">
        <f>'KNL HO'!AC64+'CCL GROUP P&amp;L'!AC64+'YBHN GROUP P&amp;L'!AC64+'YBN Group P&amp;L'!AC64+'HAB'!AC64+'Moe2 P&amp;L'!AC64</f>
        <v/>
      </c>
      <c r="AD64" s="38">
        <f>'KNL HO'!AD64+'CCL GROUP P&amp;L'!AD64+'YBHN GROUP P&amp;L'!AD64+'YBN Group P&amp;L'!AD64+'HAB'!AD64+'Moe2 P&amp;L'!AD64</f>
        <v/>
      </c>
      <c r="AE64" s="38">
        <f>'KNL HO'!AE64+'CCL GROUP P&amp;L'!AE64+'YBHN GROUP P&amp;L'!AE64+'YBN Group P&amp;L'!AE64+'HAB'!AE64+'Moe2 P&amp;L'!AE64</f>
        <v/>
      </c>
      <c r="AF64" s="38">
        <f>'KNL HO'!AF64+'CCL GROUP P&amp;L'!AF64+'YBHN GROUP P&amp;L'!AF64+'YBN Group P&amp;L'!AF64+'HAB'!AF64+'Moe2 P&amp;L'!AF64</f>
        <v/>
      </c>
      <c r="AG64" s="38">
        <f>'KNL HO'!AG64+'CCL GROUP P&amp;L'!AG64+'YBHN GROUP P&amp;L'!AG64+'YBN Group P&amp;L'!AG64+'HAB'!AG64+'Moe2 P&amp;L'!AG64</f>
        <v/>
      </c>
      <c r="AH64" s="38">
        <f>'KNL HO'!AH64+'CCL GROUP P&amp;L'!AH64+'YBHN GROUP P&amp;L'!AH64+'YBN Group P&amp;L'!AH64+'HAB'!AH64+'Moe2 P&amp;L'!AH64</f>
        <v/>
      </c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6">
        <f>SUM(N64:Z64)-$N64</f>
        <v/>
      </c>
      <c r="AN64" s="40" t="n"/>
      <c r="AO64" s="92">
        <f>SUM(AC64:AE64)+SUM(R64:Z64)</f>
        <v/>
      </c>
      <c r="AP64" s="92">
        <f>SUM(AC64:AH64)+SUM(U64:Z64)</f>
        <v/>
      </c>
    </row>
    <row r="65">
      <c r="A65" s="34" t="inlineStr">
        <is>
          <t>Audit</t>
        </is>
      </c>
      <c r="B65" s="35" t="n">
        <v>18480</v>
      </c>
      <c r="C65" s="35" t="n">
        <v>150</v>
      </c>
      <c r="D65" s="35" t="n">
        <v>43200</v>
      </c>
      <c r="E65" s="35" t="n">
        <v>5672.4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10200</v>
      </c>
      <c r="N65" s="36">
        <f>SUM(B65:M65)</f>
        <v/>
      </c>
      <c r="O65" s="37">
        <f>'ABA'!O65+'BK'!O65+'BW'!O65+'CED'!O65+'HAB'!O65+'HB'!O65+'OD'!O65+'HDN'!O65+'KIN'!O65+'LE'!O65+'MER'!O65+'NDN'!O65+'SALT'!O65+'SDN'!O65+'SST'!O65+'WH'!O65+'FH'!O65+'KNL HO'!O65+'CCL HO'!O65+'YBHN HO'!O65+'YBN HO'!O65</f>
        <v/>
      </c>
      <c r="P65" s="37">
        <f>'ABA'!P65+'BK'!P65+'BW'!P65+'CED'!P65+'HAB'!P65+'HB'!P65+'OD'!P65+'HDN'!P65+'KIN'!P65+'LE'!P65+'MER'!P65+'NDN'!P65+'SALT'!P65+'SDN'!P65+'SST'!P65+'WH'!P65+'FH'!P65+'KNL HO'!P65+'CCL HO'!P65+'YBHN HO'!P65+'YBN HO'!P65</f>
        <v/>
      </c>
      <c r="Q65" s="37">
        <f>'ABA'!Q65+'BK'!Q65+'BW'!Q65+'CED'!Q65+'HAB'!Q65+'HB'!Q65+'OD'!Q65+'HDN'!Q65+'KIN'!Q65+'LE'!Q65+'MER'!Q65+'NDN'!Q65+'SALT'!Q65+'SDN'!Q65+'SST'!Q65+'WH'!Q65+'FH'!Q65+'KNL HO'!Q65+'CCL HO'!Q65+'YBHN HO'!Q65+'YBN HO'!Q65</f>
        <v/>
      </c>
      <c r="R65" s="37">
        <f>'ABA'!R65+'BK'!R65+'BW'!R65+'CED'!R65+'HAB'!R65+'HB'!R65+'OD'!R65+'HDN'!R65+'KIN'!R65+'LE'!R65+'MER'!R65+'NDN'!R65+'SALT'!R65+'SDN'!R65+'SST'!R65+'WH'!R65+'FH'!R65+'KNL HO'!R65+'CCL HO'!R65+'YBHN HO'!R65+'YBN HO'!R65</f>
        <v/>
      </c>
      <c r="S65" s="37">
        <f>'ABA'!S65+'BK'!S65+'BW'!S65+'CED'!S65+'HAB'!S65+'HB'!S65+'OD'!S65+'HDN'!S65+'KIN'!S65+'LE'!S65+'MER'!S65+'NDN'!S65+'SALT'!S65+'SDN'!S65+'SST'!S65+'WH'!S65+'FH'!S65+'KNL HO'!S65+'CCL HO'!S65+'YBHN HO'!S65+'YBN HO'!S65</f>
        <v/>
      </c>
      <c r="T65" s="37">
        <f>'ABA'!T65+'BK'!T65+'BW'!T65+'CED'!T65+'HAB'!T65+'HB'!T65+'OD'!T65+'HDN'!T65+'KIN'!T65+'LE'!T65+'MER'!T65+'NDN'!T65+'SALT'!T65+'SDN'!T65+'SST'!T65+'WH'!T65+'FH'!T65+'KNL HO'!T65+'CCL HO'!T65+'YBHN HO'!T65+'YBN HO'!T65</f>
        <v/>
      </c>
      <c r="U65" s="37">
        <f>'ABA'!U65+'BK'!U65+'BW'!U65+'CED'!U65+'HAB'!U65+'HB'!U65+'OD'!U65+'HDN'!U65+'KIN'!U65+'LE'!U65+'MER'!U65+'NDN'!U65+'SALT'!U65+'SDN'!U65+'SST'!U65+'WH'!U65+'FH'!U65+'KNL HO'!U65+'CCL HO'!U65+'YBHN HO'!U65+'YBN HO'!U65</f>
        <v/>
      </c>
      <c r="V65" s="38">
        <f>'KNL HO'!V65+'CCL GROUP P&amp;L'!V65+'YBHN GROUP P&amp;L'!V65+'YBN Group P&amp;L'!V65+'HAB'!V65+'Moe2 P&amp;L'!V65</f>
        <v/>
      </c>
      <c r="W65" s="38">
        <f>'KNL HO'!W65+'CCL GROUP P&amp;L'!W65+'YBHN GROUP P&amp;L'!W65+'YBN Group P&amp;L'!W65+'HAB'!W65+'Moe2 P&amp;L'!W65</f>
        <v/>
      </c>
      <c r="X65" s="38">
        <f>'KNL HO'!X65+'CCL GROUP P&amp;L'!X65+'YBHN GROUP P&amp;L'!X65+'YBN Group P&amp;L'!X65+'HAB'!X65+'Moe2 P&amp;L'!X65</f>
        <v/>
      </c>
      <c r="Y65" s="38">
        <f>'KNL HO'!Y65+'CCL GROUP P&amp;L'!Y65+'YBHN GROUP P&amp;L'!Y65+'YBN Group P&amp;L'!Y65+'HAB'!Y65+'Moe2 P&amp;L'!Y65</f>
        <v/>
      </c>
      <c r="Z65" s="38">
        <f>'KNL HO'!Z65+'CCL GROUP P&amp;L'!Z65+'YBHN GROUP P&amp;L'!Z65+'YBN Group P&amp;L'!Z65+'HAB'!Z65+'Moe2 P&amp;L'!Z65</f>
        <v/>
      </c>
      <c r="AA65" s="36">
        <f>SUM(O65:U65)</f>
        <v/>
      </c>
      <c r="AB65" s="36">
        <f>SUM(O65:Z65)</f>
        <v/>
      </c>
      <c r="AC65" s="38">
        <f>'KNL HO'!AC65+'CCL GROUP P&amp;L'!AC65+'YBHN GROUP P&amp;L'!AC65+'YBN Group P&amp;L'!AC65+'HAB'!AC65+'Moe2 P&amp;L'!AC65</f>
        <v/>
      </c>
      <c r="AD65" s="38">
        <f>'KNL HO'!AD65+'CCL GROUP P&amp;L'!AD65+'YBHN GROUP P&amp;L'!AD65+'YBN Group P&amp;L'!AD65+'HAB'!AD65+'Moe2 P&amp;L'!AD65</f>
        <v/>
      </c>
      <c r="AE65" s="38">
        <f>'KNL HO'!AE65+'CCL GROUP P&amp;L'!AE65+'YBHN GROUP P&amp;L'!AE65+'YBN Group P&amp;L'!AE65+'HAB'!AE65+'Moe2 P&amp;L'!AE65</f>
        <v/>
      </c>
      <c r="AF65" s="38">
        <f>'KNL HO'!AF65+'CCL GROUP P&amp;L'!AF65+'YBHN GROUP P&amp;L'!AF65+'YBN Group P&amp;L'!AF65+'HAB'!AF65+'Moe2 P&amp;L'!AF65</f>
        <v/>
      </c>
      <c r="AG65" s="38">
        <f>'KNL HO'!AG65+'CCL GROUP P&amp;L'!AG65+'YBHN GROUP P&amp;L'!AG65+'YBN Group P&amp;L'!AG65+'HAB'!AG65+'Moe2 P&amp;L'!AG65</f>
        <v/>
      </c>
      <c r="AH65" s="38">
        <f>'KNL HO'!AH65+'CCL GROUP P&amp;L'!AH65+'YBHN GROUP P&amp;L'!AH65+'YBN Group P&amp;L'!AH65+'HAB'!AH65+'Moe2 P&amp;L'!AH65</f>
        <v/>
      </c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6">
        <f>SUM(N65:Z65)-$N65</f>
        <v/>
      </c>
      <c r="AN65" s="40" t="n"/>
      <c r="AO65" s="92">
        <f>SUM(AC65:AE65)+SUM(R65:Z65)</f>
        <v/>
      </c>
      <c r="AP65" s="92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'ABA'!O66+'BK'!O66+'BW'!O66+'CED'!O66+'HAB'!O66+'HB'!O66+'OD'!O66+'HDN'!O66+'KIN'!O66+'LE'!O66+'MER'!O66+'NDN'!O66+'SALT'!O66+'SDN'!O66+'SST'!O66+'WH'!O66+'FH'!O66+'KNL HO'!O66+'CCL HO'!O66+'YBHN HO'!O66+'YBN HO'!O66</f>
        <v/>
      </c>
      <c r="P66" s="37">
        <f>'ABA'!P66+'BK'!P66+'BW'!P66+'CED'!P66+'HAB'!P66+'HB'!P66+'OD'!P66+'HDN'!P66+'KIN'!P66+'LE'!P66+'MER'!P66+'NDN'!P66+'SALT'!P66+'SDN'!P66+'SST'!P66+'WH'!P66+'FH'!P66+'KNL HO'!P66+'CCL HO'!P66+'YBHN HO'!P66+'YBN HO'!P66</f>
        <v/>
      </c>
      <c r="Q66" s="37">
        <f>'ABA'!Q66+'BK'!Q66+'BW'!Q66+'CED'!Q66+'HAB'!Q66+'HB'!Q66+'OD'!Q66+'HDN'!Q66+'KIN'!Q66+'LE'!Q66+'MER'!Q66+'NDN'!Q66+'SALT'!Q66+'SDN'!Q66+'SST'!Q66+'WH'!Q66+'FH'!Q66+'KNL HO'!Q66+'CCL HO'!Q66+'YBHN HO'!Q66+'YBN HO'!Q66</f>
        <v/>
      </c>
      <c r="R66" s="37">
        <f>'ABA'!R66+'BK'!R66+'BW'!R66+'CED'!R66+'HAB'!R66+'HB'!R66+'OD'!R66+'HDN'!R66+'KIN'!R66+'LE'!R66+'MER'!R66+'NDN'!R66+'SALT'!R66+'SDN'!R66+'SST'!R66+'WH'!R66+'FH'!R66+'KNL HO'!R66+'CCL HO'!R66+'YBHN HO'!R66+'YBN HO'!R66</f>
        <v/>
      </c>
      <c r="S66" s="37">
        <f>'ABA'!S66+'BK'!S66+'BW'!S66+'CED'!S66+'HAB'!S66+'HB'!S66+'OD'!S66+'HDN'!S66+'KIN'!S66+'LE'!S66+'MER'!S66+'NDN'!S66+'SALT'!S66+'SDN'!S66+'SST'!S66+'WH'!S66+'FH'!S66+'KNL HO'!S66+'CCL HO'!S66+'YBHN HO'!S66+'YBN HO'!S66</f>
        <v/>
      </c>
      <c r="T66" s="37">
        <f>'ABA'!T66+'BK'!T66+'BW'!T66+'CED'!T66+'HAB'!T66+'HB'!T66+'OD'!T66+'HDN'!T66+'KIN'!T66+'LE'!T66+'MER'!T66+'NDN'!T66+'SALT'!T66+'SDN'!T66+'SST'!T66+'WH'!T66+'FH'!T66+'KNL HO'!T66+'CCL HO'!T66+'YBHN HO'!T66+'YBN HO'!T66</f>
        <v/>
      </c>
      <c r="U66" s="37">
        <f>'ABA'!U66+'BK'!U66+'BW'!U66+'CED'!U66+'HAB'!U66+'HB'!U66+'OD'!U66+'HDN'!U66+'KIN'!U66+'LE'!U66+'MER'!U66+'NDN'!U66+'SALT'!U66+'SDN'!U66+'SST'!U66+'WH'!U66+'FH'!U66+'KNL HO'!U66+'CCL HO'!U66+'YBHN HO'!U66+'YBN HO'!U66</f>
        <v/>
      </c>
      <c r="V66" s="38">
        <f>'KNL HO'!V66+'CCL GROUP P&amp;L'!V66+'YBHN GROUP P&amp;L'!V66+'YBN Group P&amp;L'!V66+'HAB'!V66+'Moe2 P&amp;L'!V66</f>
        <v/>
      </c>
      <c r="W66" s="38">
        <f>'KNL HO'!W66+'CCL GROUP P&amp;L'!W66+'YBHN GROUP P&amp;L'!W66+'YBN Group P&amp;L'!W66+'HAB'!W66+'Moe2 P&amp;L'!W66</f>
        <v/>
      </c>
      <c r="X66" s="38">
        <f>'KNL HO'!X66+'CCL GROUP P&amp;L'!X66+'YBHN GROUP P&amp;L'!X66+'YBN Group P&amp;L'!X66+'HAB'!X66+'Moe2 P&amp;L'!X66</f>
        <v/>
      </c>
      <c r="Y66" s="38">
        <f>'KNL HO'!Y66+'CCL GROUP P&amp;L'!Y66+'YBHN GROUP P&amp;L'!Y66+'YBN Group P&amp;L'!Y66+'HAB'!Y66+'Moe2 P&amp;L'!Y66</f>
        <v/>
      </c>
      <c r="Z66" s="38">
        <f>'KNL HO'!Z66+'CCL GROUP P&amp;L'!Z66+'YBHN GROUP P&amp;L'!Z66+'YBN Group P&amp;L'!Z66+'HAB'!Z66+'Moe2 P&amp;L'!Z66</f>
        <v/>
      </c>
      <c r="AA66" s="36">
        <f>SUM(O66:U66)</f>
        <v/>
      </c>
      <c r="AB66" s="36">
        <f>SUM(O66:Z66)</f>
        <v/>
      </c>
      <c r="AC66" s="38">
        <f>'KNL HO'!AC66+'CCL GROUP P&amp;L'!AC66+'YBHN GROUP P&amp;L'!AC66+'YBN Group P&amp;L'!AC66+'HAB'!AC66+'Moe2 P&amp;L'!AC66</f>
        <v/>
      </c>
      <c r="AD66" s="38">
        <f>'KNL HO'!AD66+'CCL GROUP P&amp;L'!AD66+'YBHN GROUP P&amp;L'!AD66+'YBN Group P&amp;L'!AD66+'HAB'!AD66+'Moe2 P&amp;L'!AD66</f>
        <v/>
      </c>
      <c r="AE66" s="38">
        <f>'KNL HO'!AE66+'CCL GROUP P&amp;L'!AE66+'YBHN GROUP P&amp;L'!AE66+'YBN Group P&amp;L'!AE66+'HAB'!AE66+'Moe2 P&amp;L'!AE66</f>
        <v/>
      </c>
      <c r="AF66" s="38">
        <f>'KNL HO'!AF66+'CCL GROUP P&amp;L'!AF66+'YBHN GROUP P&amp;L'!AF66+'YBN Group P&amp;L'!AF66+'HAB'!AF66+'Moe2 P&amp;L'!AF66</f>
        <v/>
      </c>
      <c r="AG66" s="38">
        <f>'KNL HO'!AG66+'CCL GROUP P&amp;L'!AG66+'YBHN GROUP P&amp;L'!AG66+'YBN Group P&amp;L'!AG66+'HAB'!AG66+'Moe2 P&amp;L'!AG66</f>
        <v/>
      </c>
      <c r="AH66" s="38">
        <f>'KNL HO'!AH66+'CCL GROUP P&amp;L'!AH66+'YBHN GROUP P&amp;L'!AH66+'YBN Group P&amp;L'!AH66+'HAB'!AH66+'Moe2 P&amp;L'!AH66</f>
        <v/>
      </c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6">
        <f>SUM(N66:Z66)-$N66</f>
        <v/>
      </c>
      <c r="AN66" s="40" t="n"/>
      <c r="AO66" s="92">
        <f>SUM(AC66:AE66)+SUM(R66:Z66)</f>
        <v/>
      </c>
      <c r="AP66" s="92">
        <f>SUM(AC66:AH66)+SUM(U66:Z66)</f>
        <v/>
      </c>
    </row>
    <row r="67">
      <c r="A67" s="34" t="inlineStr">
        <is>
          <t>Proffessional Fees</t>
        </is>
      </c>
      <c r="B67" s="35" t="n">
        <v>-2490.960000000001</v>
      </c>
      <c r="C67" s="35" t="n">
        <v>24986.81</v>
      </c>
      <c r="D67" s="35" t="n">
        <v>6956.65</v>
      </c>
      <c r="E67" s="35" t="n">
        <v>23477.11</v>
      </c>
      <c r="F67" s="35" t="n">
        <v>12828.06</v>
      </c>
      <c r="G67" s="35" t="n">
        <v>6524.48</v>
      </c>
      <c r="H67" s="35" t="n">
        <v>5991.870000000001</v>
      </c>
      <c r="I67" s="35" t="n">
        <v>5914.58</v>
      </c>
      <c r="J67" s="35" t="n">
        <v>17708.91</v>
      </c>
      <c r="K67" s="35" t="n">
        <v>9306.309999999999</v>
      </c>
      <c r="L67" s="35" t="n">
        <v>6955.470000000001</v>
      </c>
      <c r="M67" s="35" t="n">
        <v>10551.59</v>
      </c>
      <c r="N67" s="36">
        <f>SUM(B67:M67)</f>
        <v/>
      </c>
      <c r="O67" s="37">
        <f>'ABA'!O67+'BK'!O67+'BW'!O67+'CED'!O67+'HAB'!O67+'HB'!O67+'OD'!O67+'HDN'!O67+'KIN'!O67+'LE'!O67+'MER'!O67+'NDN'!O67+'SALT'!O67+'SDN'!O67+'SST'!O67+'WH'!O67+'FH'!O67+'KNL HO'!O67+'CCL HO'!O67+'YBHN HO'!O67+'YBN HO'!O67</f>
        <v/>
      </c>
      <c r="P67" s="37">
        <f>'ABA'!P67+'BK'!P67+'BW'!P67+'CED'!P67+'HAB'!P67+'HB'!P67+'OD'!P67+'HDN'!P67+'KIN'!P67+'LE'!P67+'MER'!P67+'NDN'!P67+'SALT'!P67+'SDN'!P67+'SST'!P67+'WH'!P67+'FH'!P67+'KNL HO'!P67+'CCL HO'!P67+'YBHN HO'!P67+'YBN HO'!P67</f>
        <v/>
      </c>
      <c r="Q67" s="37">
        <f>'ABA'!Q67+'BK'!Q67+'BW'!Q67+'CED'!Q67+'HAB'!Q67+'HB'!Q67+'OD'!Q67+'HDN'!Q67+'KIN'!Q67+'LE'!Q67+'MER'!Q67+'NDN'!Q67+'SALT'!Q67+'SDN'!Q67+'SST'!Q67+'WH'!Q67+'FH'!Q67+'KNL HO'!Q67+'CCL HO'!Q67+'YBHN HO'!Q67+'YBN HO'!Q67</f>
        <v/>
      </c>
      <c r="R67" s="37">
        <f>'ABA'!R67+'BK'!R67+'BW'!R67+'CED'!R67+'HAB'!R67+'HB'!R67+'OD'!R67+'HDN'!R67+'KIN'!R67+'LE'!R67+'MER'!R67+'NDN'!R67+'SALT'!R67+'SDN'!R67+'SST'!R67+'WH'!R67+'FH'!R67+'KNL HO'!R67+'CCL HO'!R67+'YBHN HO'!R67+'YBN HO'!R67</f>
        <v/>
      </c>
      <c r="S67" s="37">
        <f>'ABA'!S67+'BK'!S67+'BW'!S67+'CED'!S67+'HAB'!S67+'HB'!S67+'OD'!S67+'HDN'!S67+'KIN'!S67+'LE'!S67+'MER'!S67+'NDN'!S67+'SALT'!S67+'SDN'!S67+'SST'!S67+'WH'!S67+'FH'!S67+'KNL HO'!S67+'CCL HO'!S67+'YBHN HO'!S67+'YBN HO'!S67</f>
        <v/>
      </c>
      <c r="T67" s="37">
        <f>'ABA'!T67+'BK'!T67+'BW'!T67+'CED'!T67+'HAB'!T67+'HB'!T67+'OD'!T67+'HDN'!T67+'KIN'!T67+'LE'!T67+'MER'!T67+'NDN'!T67+'SALT'!T67+'SDN'!T67+'SST'!T67+'WH'!T67+'FH'!T67+'KNL HO'!T67+'CCL HO'!T67+'YBHN HO'!T67+'YBN HO'!T67</f>
        <v/>
      </c>
      <c r="U67" s="37">
        <f>'ABA'!U67+'BK'!U67+'BW'!U67+'CED'!U67+'HAB'!U67+'HB'!U67+'OD'!U67+'HDN'!U67+'KIN'!U67+'LE'!U67+'MER'!U67+'NDN'!U67+'SALT'!U67+'SDN'!U67+'SST'!U67+'WH'!U67+'FH'!U67+'KNL HO'!U67+'CCL HO'!U67+'YBHN HO'!U67+'YBN HO'!U67</f>
        <v/>
      </c>
      <c r="V67" s="38">
        <f>'KNL HO'!V67+'CCL GROUP P&amp;L'!V67+'YBHN GROUP P&amp;L'!V67+'YBN Group P&amp;L'!V67+'HAB'!V67+'Moe2 P&amp;L'!V67</f>
        <v/>
      </c>
      <c r="W67" s="38">
        <f>'KNL HO'!W67+'CCL GROUP P&amp;L'!W67+'YBHN GROUP P&amp;L'!W67+'YBN Group P&amp;L'!W67+'HAB'!W67+'Moe2 P&amp;L'!W67</f>
        <v/>
      </c>
      <c r="X67" s="38">
        <f>'KNL HO'!X67+'CCL GROUP P&amp;L'!X67+'YBHN GROUP P&amp;L'!X67+'YBN Group P&amp;L'!X67+'HAB'!X67+'Moe2 P&amp;L'!X67</f>
        <v/>
      </c>
      <c r="Y67" s="38">
        <f>'KNL HO'!Y67+'CCL GROUP P&amp;L'!Y67+'YBHN GROUP P&amp;L'!Y67+'YBN Group P&amp;L'!Y67+'HAB'!Y67+'Moe2 P&amp;L'!Y67</f>
        <v/>
      </c>
      <c r="Z67" s="38">
        <f>'KNL HO'!Z67+'CCL GROUP P&amp;L'!Z67+'YBHN GROUP P&amp;L'!Z67+'YBN Group P&amp;L'!Z67+'HAB'!Z67+'Moe2 P&amp;L'!Z67</f>
        <v/>
      </c>
      <c r="AA67" s="36">
        <f>SUM(O67:U67)</f>
        <v/>
      </c>
      <c r="AB67" s="36">
        <f>SUM(O67:Z67)</f>
        <v/>
      </c>
      <c r="AC67" s="38">
        <f>'KNL HO'!AC67+'CCL GROUP P&amp;L'!AC67+'YBHN GROUP P&amp;L'!AC67+'YBN Group P&amp;L'!AC67+'HAB'!AC67+'Moe2 P&amp;L'!AC67</f>
        <v/>
      </c>
      <c r="AD67" s="38">
        <f>'KNL HO'!AD67+'CCL GROUP P&amp;L'!AD67+'YBHN GROUP P&amp;L'!AD67+'YBN Group P&amp;L'!AD67+'HAB'!AD67+'Moe2 P&amp;L'!AD67</f>
        <v/>
      </c>
      <c r="AE67" s="38">
        <f>'KNL HO'!AE67+'CCL GROUP P&amp;L'!AE67+'YBHN GROUP P&amp;L'!AE67+'YBN Group P&amp;L'!AE67+'HAB'!AE67+'Moe2 P&amp;L'!AE67</f>
        <v/>
      </c>
      <c r="AF67" s="38">
        <f>'KNL HO'!AF67+'CCL GROUP P&amp;L'!AF67+'YBHN GROUP P&amp;L'!AF67+'YBN Group P&amp;L'!AF67+'HAB'!AF67+'Moe2 P&amp;L'!AF67</f>
        <v/>
      </c>
      <c r="AG67" s="38">
        <f>'KNL HO'!AG67+'CCL GROUP P&amp;L'!AG67+'YBHN GROUP P&amp;L'!AG67+'YBN Group P&amp;L'!AG67+'HAB'!AG67+'Moe2 P&amp;L'!AG67</f>
        <v/>
      </c>
      <c r="AH67" s="38">
        <f>'KNL HO'!AH67+'CCL GROUP P&amp;L'!AH67+'YBHN GROUP P&amp;L'!AH67+'YBN Group P&amp;L'!AH67+'HAB'!AH67+'Moe2 P&amp;L'!AH67</f>
        <v/>
      </c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6">
        <f>SUM(N67:Z67)-$N67</f>
        <v/>
      </c>
      <c r="AN67" s="40" t="n"/>
      <c r="AO67" s="92">
        <f>SUM(AC67:AE67)+SUM(R67:Z67)</f>
        <v/>
      </c>
      <c r="AP67" s="92">
        <f>SUM(AC67:AH67)+SUM(U67:Z67)</f>
        <v/>
      </c>
    </row>
    <row r="68" ht="15.75" customHeight="1">
      <c r="A68" s="34" t="inlineStr">
        <is>
          <t>Finance Costs</t>
        </is>
      </c>
      <c r="B68" s="35" t="n">
        <v>355.6</v>
      </c>
      <c r="C68" s="35" t="n">
        <v>382.15</v>
      </c>
      <c r="D68" s="35" t="n">
        <v>494.51</v>
      </c>
      <c r="E68" s="35" t="n">
        <v>424.02</v>
      </c>
      <c r="F68" s="35" t="n">
        <v>451.65</v>
      </c>
      <c r="G68" s="35" t="n">
        <v>545.4</v>
      </c>
      <c r="H68" s="35" t="n">
        <v>1075.45</v>
      </c>
      <c r="I68" s="35" t="n">
        <v>326.4</v>
      </c>
      <c r="J68" s="35" t="n">
        <v>166.53</v>
      </c>
      <c r="K68" s="35" t="n">
        <v>342.5</v>
      </c>
      <c r="L68" s="35" t="n">
        <v>281.9</v>
      </c>
      <c r="M68" s="35" t="n">
        <v>314.79</v>
      </c>
      <c r="N68" s="36">
        <f>SUM(B68:M68)</f>
        <v/>
      </c>
      <c r="O68" s="37">
        <f>'ABA'!O68+'BK'!O68+'BW'!O68+'CED'!O68+'HAB'!O68+'HB'!O68+'OD'!O68+'HDN'!O68+'KIN'!O68+'LE'!O68+'MER'!O68+'NDN'!O68+'SALT'!O68+'SDN'!O68+'SST'!O68+'WH'!O68+'FH'!O68+'KNL HO'!O68+'CCL HO'!O68+'YBHN HO'!O68+'YBN HO'!O68</f>
        <v/>
      </c>
      <c r="P68" s="37">
        <f>'ABA'!P68+'BK'!P68+'BW'!P68+'CED'!P68+'HAB'!P68+'HB'!P68+'OD'!P68+'HDN'!P68+'KIN'!P68+'LE'!P68+'MER'!P68+'NDN'!P68+'SALT'!P68+'SDN'!P68+'SST'!P68+'WH'!P68+'FH'!P68+'KNL HO'!P68+'CCL HO'!P68+'YBHN HO'!P68+'YBN HO'!P68</f>
        <v/>
      </c>
      <c r="Q68" s="37">
        <f>'ABA'!Q68+'BK'!Q68+'BW'!Q68+'CED'!Q68+'HAB'!Q68+'HB'!Q68+'OD'!Q68+'HDN'!Q68+'KIN'!Q68+'LE'!Q68+'MER'!Q68+'NDN'!Q68+'SALT'!Q68+'SDN'!Q68+'SST'!Q68+'WH'!Q68+'FH'!Q68+'KNL HO'!Q68+'CCL HO'!Q68+'YBHN HO'!Q68+'YBN HO'!Q68</f>
        <v/>
      </c>
      <c r="R68" s="37">
        <f>'ABA'!R68+'BK'!R68+'BW'!R68+'CED'!R68+'HAB'!R68+'HB'!R68+'OD'!R68+'HDN'!R68+'KIN'!R68+'LE'!R68+'MER'!R68+'NDN'!R68+'SALT'!R68+'SDN'!R68+'SST'!R68+'WH'!R68+'FH'!R68+'KNL HO'!R68+'CCL HO'!R68+'YBHN HO'!R68+'YBN HO'!R68</f>
        <v/>
      </c>
      <c r="S68" s="37">
        <f>'ABA'!S68+'BK'!S68+'BW'!S68+'CED'!S68+'HAB'!S68+'HB'!S68+'OD'!S68+'HDN'!S68+'KIN'!S68+'LE'!S68+'MER'!S68+'NDN'!S68+'SALT'!S68+'SDN'!S68+'SST'!S68+'WH'!S68+'FH'!S68+'KNL HO'!S68+'CCL HO'!S68+'YBHN HO'!S68+'YBN HO'!S68</f>
        <v/>
      </c>
      <c r="T68" s="37">
        <f>'ABA'!T68+'BK'!T68+'BW'!T68+'CED'!T68+'HAB'!T68+'HB'!T68+'OD'!T68+'HDN'!T68+'KIN'!T68+'LE'!T68+'MER'!T68+'NDN'!T68+'SALT'!T68+'SDN'!T68+'SST'!T68+'WH'!T68+'FH'!T68+'KNL HO'!T68+'CCL HO'!T68+'YBHN HO'!T68+'YBN HO'!T68</f>
        <v/>
      </c>
      <c r="U68" s="37">
        <f>'ABA'!U68+'BK'!U68+'BW'!U68+'CED'!U68+'HAB'!U68+'HB'!U68+'OD'!U68+'HDN'!U68+'KIN'!U68+'LE'!U68+'MER'!U68+'NDN'!U68+'SALT'!U68+'SDN'!U68+'SST'!U68+'WH'!U68+'FH'!U68+'KNL HO'!U68+'CCL HO'!U68+'YBHN HO'!U68+'YBN HO'!U68</f>
        <v/>
      </c>
      <c r="V68" s="38">
        <f>'KNL HO'!V68+'CCL GROUP P&amp;L'!V68+'YBHN GROUP P&amp;L'!V68+'YBN Group P&amp;L'!V68+'HAB'!V68+'Moe2 P&amp;L'!V68</f>
        <v/>
      </c>
      <c r="W68" s="38">
        <f>'KNL HO'!W68+'CCL GROUP P&amp;L'!W68+'YBHN GROUP P&amp;L'!W68+'YBN Group P&amp;L'!W68+'HAB'!W68+'Moe2 P&amp;L'!W68</f>
        <v/>
      </c>
      <c r="X68" s="38">
        <f>'KNL HO'!X68+'CCL GROUP P&amp;L'!X68+'YBHN GROUP P&amp;L'!X68+'YBN Group P&amp;L'!X68+'HAB'!X68+'Moe2 P&amp;L'!X68</f>
        <v/>
      </c>
      <c r="Y68" s="38">
        <f>'KNL HO'!Y68+'CCL GROUP P&amp;L'!Y68+'YBHN GROUP P&amp;L'!Y68+'YBN Group P&amp;L'!Y68+'HAB'!Y68+'Moe2 P&amp;L'!Y68</f>
        <v/>
      </c>
      <c r="Z68" s="38">
        <f>'KNL HO'!Z68+'CCL GROUP P&amp;L'!Z68+'YBHN GROUP P&amp;L'!Z68+'YBN Group P&amp;L'!Z68+'HAB'!Z68+'Moe2 P&amp;L'!Z68</f>
        <v/>
      </c>
      <c r="AA68" s="36">
        <f>SUM(O68:U68)</f>
        <v/>
      </c>
      <c r="AB68" s="104">
        <f>SUM(O68:Z68)</f>
        <v/>
      </c>
      <c r="AC68" s="38">
        <f>'KNL HO'!AC68+'CCL GROUP P&amp;L'!AC68+'YBHN GROUP P&amp;L'!AC68+'YBN Group P&amp;L'!AC68+'HAB'!AC68+'Moe2 P&amp;L'!AC68</f>
        <v/>
      </c>
      <c r="AD68" s="38">
        <f>'KNL HO'!AD68+'CCL GROUP P&amp;L'!AD68+'YBHN GROUP P&amp;L'!AD68+'YBN Group P&amp;L'!AD68+'HAB'!AD68+'Moe2 P&amp;L'!AD68</f>
        <v/>
      </c>
      <c r="AE68" s="38">
        <f>'KNL HO'!AE68+'CCL GROUP P&amp;L'!AE68+'YBHN GROUP P&amp;L'!AE68+'YBN Group P&amp;L'!AE68+'HAB'!AE68+'Moe2 P&amp;L'!AE68</f>
        <v/>
      </c>
      <c r="AF68" s="38">
        <f>'KNL HO'!AF68+'CCL GROUP P&amp;L'!AF68+'YBHN GROUP P&amp;L'!AF68+'YBN Group P&amp;L'!AF68+'HAB'!AF68+'Moe2 P&amp;L'!AF68</f>
        <v/>
      </c>
      <c r="AG68" s="38">
        <f>'KNL HO'!AG68+'CCL GROUP P&amp;L'!AG68+'YBHN GROUP P&amp;L'!AG68+'YBN Group P&amp;L'!AG68+'HAB'!AG68+'Moe2 P&amp;L'!AG68</f>
        <v/>
      </c>
      <c r="AH68" s="38">
        <f>'KNL HO'!AH68+'CCL GROUP P&amp;L'!AH68+'YBHN GROUP P&amp;L'!AH68+'YBN Group P&amp;L'!AH68+'HAB'!AH68+'Moe2 P&amp;L'!AH68</f>
        <v/>
      </c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6">
        <f>SUM(N68:Z68)-$N68</f>
        <v/>
      </c>
      <c r="AN68" s="40" t="n"/>
      <c r="AO68" s="92">
        <f>SUM(AC68:AE68)+SUM(R68:Z68)</f>
        <v/>
      </c>
      <c r="AP68" s="92">
        <f>SUM(AC68:AH68)+SUM(U68:Z68)</f>
        <v/>
      </c>
    </row>
    <row r="69" ht="15.75" customHeight="1">
      <c r="A69" s="41" t="inlineStr">
        <is>
          <t>Total Overheads</t>
        </is>
      </c>
      <c r="B69" s="42" t="n">
        <v>127479.33</v>
      </c>
      <c r="C69" s="42" t="n">
        <v>140605.39</v>
      </c>
      <c r="D69" s="42" t="n">
        <v>165696.69</v>
      </c>
      <c r="E69" s="42" t="n">
        <v>203725.6</v>
      </c>
      <c r="F69" s="42" t="n">
        <v>125065.98</v>
      </c>
      <c r="G69" s="42" t="n">
        <v>142071.87</v>
      </c>
      <c r="H69" s="42" t="n">
        <v>142712.62</v>
      </c>
      <c r="I69" s="42" t="n">
        <v>158334.06</v>
      </c>
      <c r="J69" s="42" t="n">
        <v>215286.34</v>
      </c>
      <c r="K69" s="42" t="n">
        <v>147961.99</v>
      </c>
      <c r="L69" s="42" t="n">
        <v>157533.37</v>
      </c>
      <c r="M69" s="42" t="n">
        <v>488946.03</v>
      </c>
      <c r="N69" s="43">
        <f>SUM(B69:M69)</f>
        <v/>
      </c>
      <c r="O69" s="44">
        <f>SUM(O53:O68)</f>
        <v/>
      </c>
      <c r="P69" s="44">
        <f>SUM(P53:P68)</f>
        <v/>
      </c>
      <c r="Q69" s="44">
        <f>SUM(Q53:Q68)</f>
        <v/>
      </c>
      <c r="R69" s="44">
        <f>SUM(R53:R68)</f>
        <v/>
      </c>
      <c r="S69" s="44">
        <f>SUM(S53:S68)</f>
        <v/>
      </c>
      <c r="T69" s="44">
        <f>SUM(T53:T68)</f>
        <v/>
      </c>
      <c r="U69" s="44">
        <f>SUM(U53:U68)</f>
        <v/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SUM(O69:U69)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93">
        <f>SUM(AO53:AO68)</f>
        <v/>
      </c>
      <c r="AP69" s="93">
        <f>SUM(AP53:AP68)</f>
        <v/>
      </c>
    </row>
    <row r="70" ht="15.75" customHeight="1">
      <c r="A70" s="54" t="inlineStr">
        <is>
          <t>EBITDA</t>
        </is>
      </c>
      <c r="B70" s="55" t="n">
        <v>141740.61</v>
      </c>
      <c r="C70" s="55" t="n">
        <v>161261.61</v>
      </c>
      <c r="D70" s="55" t="n">
        <v>312669.7000000001</v>
      </c>
      <c r="E70" s="55" t="n">
        <v>104412.3299999997</v>
      </c>
      <c r="F70" s="55" t="n">
        <v>72948.60000000011</v>
      </c>
      <c r="G70" s="55" t="n">
        <v>198388.9600000001</v>
      </c>
      <c r="H70" s="55" t="n">
        <v>475618.0999999997</v>
      </c>
      <c r="I70" s="55" t="n">
        <v>-16824.51000000004</v>
      </c>
      <c r="J70" s="55" t="n">
        <v>-96262.10999999993</v>
      </c>
      <c r="K70" s="55" t="n">
        <v>-10399.62</v>
      </c>
      <c r="L70" s="55" t="n">
        <v>166737.3400000001</v>
      </c>
      <c r="M70" s="55" t="n">
        <v>47760.69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56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105" t="inlineStr">
        <is>
          <t>NOT COMPLETED</t>
        </is>
      </c>
      <c r="AP70" s="106" t="n"/>
    </row>
    <row r="71">
      <c r="A71" s="28" t="inlineStr">
        <is>
          <t>Exceptional Add Backs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36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36">
        <f>SUM(O71:U71)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34" t="inlineStr">
        <is>
          <t>Bonus - Attendance</t>
        </is>
      </c>
      <c r="B72" s="35" t="n"/>
      <c r="C72" s="35" t="n"/>
      <c r="D72" s="35" t="n"/>
      <c r="E72" s="35" t="n"/>
      <c r="F72" s="35" t="n"/>
      <c r="G72" s="35" t="n"/>
      <c r="H72" s="35" t="n">
        <v>23662</v>
      </c>
      <c r="I72" s="35" t="n">
        <v>278</v>
      </c>
      <c r="J72" s="35" t="n"/>
      <c r="K72" s="35" t="n"/>
      <c r="L72" s="35" t="n"/>
      <c r="M72" s="35" t="n"/>
      <c r="N72" s="36">
        <f>SUM(B72:M72)</f>
        <v/>
      </c>
      <c r="O72" s="37" t="n"/>
      <c r="P72" s="37" t="n"/>
      <c r="Q72" s="37" t="n"/>
      <c r="R72" s="37" t="n"/>
      <c r="S72" s="37" t="n"/>
      <c r="T72" s="37" t="n"/>
      <c r="U72" s="37" t="n"/>
      <c r="V72" s="38" t="n"/>
      <c r="W72" s="38" t="n"/>
      <c r="X72" s="38" t="n"/>
      <c r="Y72" s="38" t="n"/>
      <c r="Z72" s="38" t="n"/>
      <c r="AA72" s="36">
        <f>SUM(O72:U72)</f>
        <v/>
      </c>
      <c r="AB72" s="56" t="n"/>
      <c r="AC72" s="38" t="n"/>
      <c r="AD72" s="38" t="n"/>
      <c r="AE72" s="38" t="n"/>
      <c r="AF72" s="38" t="n"/>
      <c r="AG72" s="38" t="n"/>
      <c r="AH72" s="3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34" t="inlineStr">
        <is>
          <t>Bonus - General</t>
        </is>
      </c>
      <c r="B73" s="35" t="n">
        <v>300</v>
      </c>
      <c r="C73" s="35" t="n">
        <v>918</v>
      </c>
      <c r="D73" s="35" t="n">
        <v>518</v>
      </c>
      <c r="E73" s="35" t="n">
        <v>1618</v>
      </c>
      <c r="F73" s="35" t="n">
        <v>993</v>
      </c>
      <c r="G73" s="35" t="n">
        <v>1443</v>
      </c>
      <c r="H73" s="35" t="n">
        <v>4593</v>
      </c>
      <c r="I73" s="35" t="n">
        <v>900</v>
      </c>
      <c r="J73" s="35" t="n"/>
      <c r="K73" s="35" t="n"/>
      <c r="L73" s="35" t="n"/>
      <c r="M73" s="35" t="n"/>
      <c r="N73" s="36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6">
        <f>SUM(O73:U73)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34" t="inlineStr">
        <is>
          <t>Bonus - Directors</t>
        </is>
      </c>
      <c r="B74" s="35" t="n">
        <v>24447</v>
      </c>
      <c r="C74" s="35" t="n">
        <v>24447</v>
      </c>
      <c r="D74" s="35" t="n">
        <v>24447</v>
      </c>
      <c r="E74" s="35" t="n">
        <v>24446</v>
      </c>
      <c r="F74" s="35" t="n">
        <v>24446</v>
      </c>
      <c r="G74" s="35" t="n">
        <v>42271</v>
      </c>
      <c r="H74" s="35" t="n">
        <v>33516</v>
      </c>
      <c r="I74" s="35" t="n">
        <v>51026</v>
      </c>
      <c r="J74" s="35" t="n">
        <v>42272</v>
      </c>
      <c r="K74" s="35" t="n">
        <v>42271</v>
      </c>
      <c r="L74" s="35" t="n">
        <v>42271</v>
      </c>
      <c r="M74" s="35" t="n">
        <v>341213</v>
      </c>
      <c r="N74" s="36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6">
        <f>SUM(O74:U74)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Bonus - Performance</t>
        </is>
      </c>
      <c r="B75" s="35" t="n"/>
      <c r="C75" s="35" t="n"/>
      <c r="D75" s="35" t="n"/>
      <c r="E75" s="35" t="n">
        <v>35000</v>
      </c>
      <c r="F75" s="35" t="n"/>
      <c r="G75" s="35" t="n"/>
      <c r="H75" s="35" t="n"/>
      <c r="I75" s="35" t="n"/>
      <c r="J75" s="35" t="n">
        <v>17241</v>
      </c>
      <c r="K75" s="35" t="n"/>
      <c r="L75" s="35" t="n"/>
      <c r="M75" s="35" t="n"/>
      <c r="N75" s="36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6">
        <f>SUM(O75:U75)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34" t="inlineStr">
        <is>
          <t>PILON</t>
        </is>
      </c>
      <c r="B76" s="35" t="n">
        <v>3148</v>
      </c>
      <c r="C76" s="35" t="n"/>
      <c r="D76" s="35" t="n">
        <v>933</v>
      </c>
      <c r="E76" s="35" t="n">
        <v>22819</v>
      </c>
      <c r="F76" s="35" t="n">
        <v>400</v>
      </c>
      <c r="G76" s="35" t="n"/>
      <c r="H76" s="35" t="n"/>
      <c r="I76" s="35" t="n"/>
      <c r="J76" s="35" t="n">
        <v>14086</v>
      </c>
      <c r="K76" s="35" t="n"/>
      <c r="L76" s="35" t="n"/>
      <c r="M76" s="35" t="n"/>
      <c r="N76" s="36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6">
        <f>SUM(O76:U76)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34" t="inlineStr">
        <is>
          <t>All Staff Party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>
        <v>769.91</v>
      </c>
      <c r="J77" s="35" t="n">
        <v>16814</v>
      </c>
      <c r="K77" s="35" t="n"/>
      <c r="L77" s="35" t="n"/>
      <c r="M77" s="35" t="n"/>
      <c r="N77" s="36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6">
        <f>SUM(O77:U77)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34" t="inlineStr">
        <is>
          <t>HS Relaunch</t>
        </is>
      </c>
      <c r="B78" s="35" t="n"/>
      <c r="C78" s="35" t="n"/>
      <c r="D78" s="35" t="n"/>
      <c r="E78" s="35" t="n"/>
      <c r="F78" s="35" t="n"/>
      <c r="G78" s="35" t="n">
        <v>8439.74</v>
      </c>
      <c r="H78" s="35" t="n">
        <v>233.52</v>
      </c>
      <c r="I78" s="35" t="n">
        <v>795.67</v>
      </c>
      <c r="J78" s="35" t="n">
        <v>111.91</v>
      </c>
      <c r="K78" s="35" t="n"/>
      <c r="L78" s="35" t="n"/>
      <c r="M78" s="35" t="n"/>
      <c r="N78" s="36">
        <f>SUM(B78:M78)</f>
        <v/>
      </c>
      <c r="O78" s="37" t="n"/>
      <c r="P78" s="37" t="n"/>
      <c r="Q78" s="37" t="n"/>
      <c r="R78" s="37" t="n"/>
      <c r="S78" s="37" t="n"/>
      <c r="T78" s="37" t="n"/>
      <c r="U78" s="37" t="n"/>
      <c r="V78" s="38" t="n"/>
      <c r="W78" s="38" t="n"/>
      <c r="X78" s="38" t="n"/>
      <c r="Y78" s="38" t="n"/>
      <c r="Z78" s="38" t="n"/>
      <c r="AA78" s="36">
        <f>SUM(O78:U78)</f>
        <v/>
      </c>
      <c r="AB78" s="8" t="n"/>
      <c r="AC78" s="38" t="n"/>
      <c r="AD78" s="38" t="n"/>
      <c r="AE78" s="38" t="n"/>
      <c r="AF78" s="38" t="n"/>
      <c r="AG78" s="38" t="n"/>
      <c r="AH78" s="3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34" t="inlineStr">
        <is>
          <t>Tech refresh - Netteam</t>
        </is>
      </c>
      <c r="B79" s="35" t="n"/>
      <c r="C79" s="35" t="n"/>
      <c r="D79" s="35" t="n"/>
      <c r="E79" s="35" t="n"/>
      <c r="F79" s="35" t="n"/>
      <c r="G79" s="35" t="n"/>
      <c r="H79" s="35" t="n"/>
      <c r="I79" s="35" t="n">
        <v>1662</v>
      </c>
      <c r="J79" s="35" t="n">
        <v>5820</v>
      </c>
      <c r="K79" s="35" t="n"/>
      <c r="L79" s="35" t="n"/>
      <c r="M79" s="35" t="n"/>
      <c r="N79" s="36">
        <f>SUM(B79:M79)</f>
        <v/>
      </c>
      <c r="O79" s="37" t="n"/>
      <c r="P79" s="37" t="n"/>
      <c r="Q79" s="37" t="n"/>
      <c r="R79" s="37" t="n"/>
      <c r="S79" s="37" t="n"/>
      <c r="T79" s="37" t="n"/>
      <c r="U79" s="37" t="n"/>
      <c r="V79" s="38" t="n"/>
      <c r="W79" s="38" t="n"/>
      <c r="X79" s="38" t="n"/>
      <c r="Y79" s="38" t="n"/>
      <c r="Z79" s="38" t="n"/>
      <c r="AA79" s="36">
        <f>SUM(O79:U79)</f>
        <v/>
      </c>
      <c r="AB79" s="8" t="n"/>
      <c r="AC79" s="38" t="n"/>
      <c r="AD79" s="38" t="n"/>
      <c r="AE79" s="38" t="n"/>
      <c r="AF79" s="38" t="n"/>
      <c r="AG79" s="38" t="n"/>
      <c r="AH79" s="3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34" t="n"/>
      <c r="B80" s="35" t="n"/>
      <c r="C80" s="35" t="n"/>
      <c r="D80" s="35" t="n"/>
      <c r="E80" s="35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6">
        <f>SUM(B80:M80)</f>
        <v/>
      </c>
      <c r="O80" s="37" t="n"/>
      <c r="P80" s="37" t="n"/>
      <c r="Q80" s="37" t="n"/>
      <c r="R80" s="37" t="n"/>
      <c r="S80" s="37" t="n"/>
      <c r="T80" s="37" t="n"/>
      <c r="U80" s="37" t="n"/>
      <c r="V80" s="38" t="n"/>
      <c r="W80" s="38" t="n"/>
      <c r="X80" s="38" t="n"/>
      <c r="Y80" s="38" t="n"/>
      <c r="Z80" s="38" t="n"/>
      <c r="AA80" s="36">
        <f>SUM(O80:U80)</f>
        <v/>
      </c>
      <c r="AB80" s="8" t="n"/>
      <c r="AC80" s="38" t="n"/>
      <c r="AD80" s="38" t="n"/>
      <c r="AE80" s="38" t="n"/>
      <c r="AF80" s="38" t="n"/>
      <c r="AG80" s="38" t="n"/>
      <c r="AH80" s="38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 ht="15.75" customHeight="1">
      <c r="A81" s="107" t="n"/>
      <c r="B81" s="108" t="n">
        <v>169635.61</v>
      </c>
      <c r="C81" s="108" t="n">
        <v>186626.61</v>
      </c>
      <c r="D81" s="108" t="n">
        <v>338567.7000000001</v>
      </c>
      <c r="E81" s="108" t="n">
        <v>188295.3299999997</v>
      </c>
      <c r="F81" s="108" t="n">
        <v>98787.60000000011</v>
      </c>
      <c r="G81" s="108" t="n">
        <v>250542.7</v>
      </c>
      <c r="H81" s="108" t="n">
        <v>537622.62</v>
      </c>
      <c r="I81" s="108" t="n">
        <v>38607.06999999996</v>
      </c>
      <c r="J81" s="108" t="n">
        <v>82.80000000007567</v>
      </c>
      <c r="K81" s="108" t="n">
        <v>31871.38</v>
      </c>
      <c r="L81" s="108" t="n">
        <v>209008.3400000001</v>
      </c>
      <c r="M81" s="108" t="n">
        <v>388973.69</v>
      </c>
      <c r="N81" s="108">
        <f>SUM(B81:M81)</f>
        <v/>
      </c>
      <c r="O81" s="108">
        <f>O70+SUM(O72:O80)</f>
        <v/>
      </c>
      <c r="P81" s="108">
        <f>P70+SUM(P72:P80)</f>
        <v/>
      </c>
      <c r="Q81" s="108">
        <f>Q70+SUM(Q72:Q80)</f>
        <v/>
      </c>
      <c r="R81" s="108">
        <f>R70+SUM(R72:R80)</f>
        <v/>
      </c>
      <c r="S81" s="108">
        <f>S70+SUM(S72:S80)</f>
        <v/>
      </c>
      <c r="T81" s="108">
        <f>T70+SUM(T72:T80)</f>
        <v/>
      </c>
      <c r="U81" s="108">
        <f>U70+SUM(U72:U80)</f>
        <v/>
      </c>
      <c r="V81" s="108">
        <f>V70+SUM(V72:V80)</f>
        <v/>
      </c>
      <c r="W81" s="108">
        <f>W70+SUM(W72:W80)</f>
        <v/>
      </c>
      <c r="X81" s="108">
        <f>X70+SUM(X72:X80)</f>
        <v/>
      </c>
      <c r="Y81" s="108">
        <f>Y70+SUM(Y72:Y80)</f>
        <v/>
      </c>
      <c r="Z81" s="108">
        <f>Z70+SUM(Z72:Z80)</f>
        <v/>
      </c>
      <c r="AA81" s="108">
        <f>AA70+SUM(AA72:AA80)</f>
        <v/>
      </c>
      <c r="AB81" s="8" t="n"/>
      <c r="AC81" s="108" t="n"/>
      <c r="AD81" s="108" t="n"/>
      <c r="AE81" s="108" t="n"/>
      <c r="AF81" s="108" t="n"/>
      <c r="AG81" s="108" t="n"/>
      <c r="AH81" s="10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109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22" t="inlineStr">
        <is>
          <t>Memo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34" t="inlineStr">
        <is>
          <t>Direct - Sales</t>
        </is>
      </c>
      <c r="B89" s="18" t="n">
        <v>862528.02</v>
      </c>
      <c r="C89" s="18" t="n">
        <v>903324.04</v>
      </c>
      <c r="D89" s="18" t="n">
        <v>1073545.98</v>
      </c>
      <c r="E89" s="18" t="n">
        <v>965821.7599999998</v>
      </c>
      <c r="F89" s="18" t="n">
        <v>855896.3400000001</v>
      </c>
      <c r="G89" s="18" t="n">
        <v>981911.0700000001</v>
      </c>
      <c r="H89" s="18" t="n">
        <v>1289179.55</v>
      </c>
      <c r="I89" s="18" t="n">
        <v>764775.12</v>
      </c>
      <c r="J89" s="18" t="n">
        <v>762931.3199999999</v>
      </c>
      <c r="K89" s="18" t="n">
        <v>796366.03</v>
      </c>
      <c r="L89" s="18" t="n">
        <v>947551</v>
      </c>
      <c r="M89" s="18" t="n">
        <v>1168237.96</v>
      </c>
      <c r="N89" s="8" t="n"/>
      <c r="O89" s="60">
        <f>'ABA'!O89+'BK'!O89+'BW'!O89+'CED'!O89+'HAB'!O89+'HB'!O89+'OD'!O89+'HDN'!O89+'KIN'!O89+'LE'!O89+'MER'!O89+'NDN'!O89+'SALT'!O89+'SDN'!O89+'SST'!O89+'WH'!O89+'FH'!O89+'KNL HO'!O89+'CCL HO'!O89+'YBHN HO'!O89+'YBN HO'!O89</f>
        <v/>
      </c>
      <c r="P89" s="60">
        <f>'ABA'!P89+'BK'!P89+'BW'!P89+'CED'!P89+'HAB'!P89+'HB'!P89+'OD'!P89+'HDN'!P89+'KIN'!P89+'LE'!P89+'MER'!P89+'NDN'!P89+'SALT'!P89+'SDN'!P89+'SST'!P89+'WH'!P89+'FH'!P89+'KNL HO'!P89+'CCL HO'!P89+'YBHN HO'!P89+'YBN HO'!P89</f>
        <v/>
      </c>
      <c r="Q89" s="60">
        <f>'ABA'!Q89+'BK'!Q89+'BW'!Q89+'CED'!Q89+'HAB'!Q89+'HB'!Q89+'OD'!Q89+'HDN'!Q89+'KIN'!Q89+'LE'!Q89+'MER'!Q89+'NDN'!Q89+'SALT'!Q89+'SDN'!Q89+'SST'!Q89+'WH'!Q89+'FH'!Q89+'KNL HO'!Q89+'CCL HO'!Q89+'YBHN HO'!Q89+'YBN HO'!Q89</f>
        <v/>
      </c>
      <c r="R89" s="60">
        <f>'ABA'!R89+'BK'!R89+'BW'!R89+'CED'!R89+'HAB'!R89+'HB'!R89+'OD'!R89+'HDN'!R89+'KIN'!R89+'LE'!R89+'MER'!R89+'NDN'!R89+'SALT'!R89+'SDN'!R89+'SST'!R89+'WH'!R89+'FH'!R89+'KNL HO'!R89+'CCL HO'!R89+'YBHN HO'!R89+'YBN HO'!R89</f>
        <v/>
      </c>
      <c r="S89" s="60">
        <f>'ABA'!S89+'BK'!S89+'BW'!S89+'CED'!S89+'HAB'!S89+'HB'!S89+'OD'!S89+'HDN'!S89+'KIN'!S89+'LE'!S89+'MER'!S89+'NDN'!S89+'SALT'!S89+'SDN'!S89+'SST'!S89+'WH'!S89+'FH'!S89+'KNL HO'!S89+'CCL HO'!S89+'YBHN HO'!S89+'YBN HO'!S89</f>
        <v/>
      </c>
      <c r="T89" s="60">
        <f>'ABA'!T89+'BK'!T89+'BW'!T89+'CED'!T89+'HAB'!T89+'HB'!T89+'OD'!T89+'HDN'!T89+'KIN'!T89+'LE'!T89+'MER'!T89+'NDN'!T89+'SALT'!T89+'SDN'!T89+'SST'!T89+'WH'!T89+'FH'!T89+'KNL HO'!T89+'CCL HO'!T89+'YBHN HO'!T89+'YBN HO'!T89</f>
        <v/>
      </c>
      <c r="U89" s="60">
        <f>'ABA'!U89+'BK'!U89+'BW'!U89+'CED'!U89+'HAB'!U89+'HB'!U89+'OD'!U89+'HDN'!U89+'KIN'!U89+'LE'!U89+'MER'!U89+'NDN'!U89+'SALT'!U89+'SDN'!U89+'SST'!U89+'WH'!U89+'FH'!U89+'KNL HO'!U89+'CCL HO'!U89+'YBHN HO'!U89+'YBN HO'!U89</f>
        <v/>
      </c>
      <c r="V89" s="60">
        <f>-SUMIF('Group TB '!$T:$T,'GROUP TOTALS MONTHLY P&amp;L'!$A89,'Group TB '!J:J)</f>
        <v/>
      </c>
      <c r="W89" s="60">
        <f>-SUMIF('Group TB '!$T:$T,'GROUP TOTALS MONTHLY P&amp;L'!$A89,'Group TB '!K:K)</f>
        <v/>
      </c>
      <c r="X89" s="60">
        <f>-SUMIF('Group TB '!$T:$T,'GROUP TOTALS MONTHLY P&amp;L'!$A89,'Group TB '!L:L)</f>
        <v/>
      </c>
      <c r="Y89" s="60">
        <f>-SUMIF('Group TB '!$T:$T,'GROUP TOTALS MONTHLY P&amp;L'!$A89,'Group TB '!M:M)</f>
        <v/>
      </c>
      <c r="Z89" s="60">
        <f>-SUMIF('Group TB '!$T:$T,'GROUP TOTALS MONTHLY P&amp;L'!$A89,'Group TB 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34" t="inlineStr">
        <is>
          <t>Direct - Staff Cost</t>
        </is>
      </c>
      <c r="B90" s="18" t="n">
        <v>-453315.68</v>
      </c>
      <c r="C90" s="18" t="n">
        <v>-457131.66</v>
      </c>
      <c r="D90" s="18" t="n">
        <v>-450046.64</v>
      </c>
      <c r="E90" s="18" t="n">
        <v>-513439.7500000001</v>
      </c>
      <c r="F90" s="18" t="n">
        <v>-520315.8300000001</v>
      </c>
      <c r="G90" s="18" t="n">
        <v>-500062.94</v>
      </c>
      <c r="H90" s="18" t="n">
        <v>-540450.8400000001</v>
      </c>
      <c r="I90" s="18" t="n">
        <v>-494870.5800000001</v>
      </c>
      <c r="J90" s="18" t="n">
        <v>-523267.4399999999</v>
      </c>
      <c r="K90" s="18" t="n">
        <v>-528710.3</v>
      </c>
      <c r="L90" s="18" t="n">
        <v>-502447.01</v>
      </c>
      <c r="M90" s="18" t="n">
        <v>-516214.69</v>
      </c>
      <c r="N90" s="8" t="n"/>
      <c r="O90" s="60">
        <f>'ABA'!O90+'BK'!O90+'BW'!O90+'CED'!O90+'HAB'!O90+'HB'!O90+'OD'!O90+'HDN'!O90+'KIN'!O90+'LE'!O90+'MER'!O90+'NDN'!O90+'SALT'!O90+'SDN'!O90+'SST'!O90+'WH'!O90+'FH'!O90+'KNL HO'!O90+'CCL HO'!O90+'YBHN HO'!O90+'YBN HO'!O90</f>
        <v/>
      </c>
      <c r="P90" s="60">
        <f>'ABA'!P90+'BK'!P90+'BW'!P90+'CED'!P90+'HAB'!P90+'HB'!P90+'OD'!P90+'HDN'!P90+'KIN'!P90+'LE'!P90+'MER'!P90+'NDN'!P90+'SALT'!P90+'SDN'!P90+'SST'!P90+'WH'!P90+'FH'!P90+'KNL HO'!P90+'CCL HO'!P90+'YBHN HO'!P90+'YBN HO'!P90</f>
        <v/>
      </c>
      <c r="Q90" s="60">
        <f>'ABA'!Q90+'BK'!Q90+'BW'!Q90+'CED'!Q90+'HAB'!Q90+'HB'!Q90+'OD'!Q90+'HDN'!Q90+'KIN'!Q90+'LE'!Q90+'MER'!Q90+'NDN'!Q90+'SALT'!Q90+'SDN'!Q90+'SST'!Q90+'WH'!Q90+'FH'!Q90+'KNL HO'!Q90+'CCL HO'!Q90+'YBHN HO'!Q90+'YBN HO'!Q90</f>
        <v/>
      </c>
      <c r="R90" s="60">
        <f>'ABA'!R90+'BK'!R90+'BW'!R90+'CED'!R90+'HAB'!R90+'HB'!R90+'OD'!R90+'HDN'!R90+'KIN'!R90+'LE'!R90+'MER'!R90+'NDN'!R90+'SALT'!R90+'SDN'!R90+'SST'!R90+'WH'!R90+'FH'!R90+'KNL HO'!R90+'CCL HO'!R90+'YBHN HO'!R90+'YBN HO'!R90</f>
        <v/>
      </c>
      <c r="S90" s="60">
        <f>'ABA'!S90+'BK'!S90+'BW'!S90+'CED'!S90+'HAB'!S90+'HB'!S90+'OD'!S90+'HDN'!S90+'KIN'!S90+'LE'!S90+'MER'!S90+'NDN'!S90+'SALT'!S90+'SDN'!S90+'SST'!S90+'WH'!S90+'FH'!S90+'KNL HO'!S90+'CCL HO'!S90+'YBHN HO'!S90+'YBN HO'!S90</f>
        <v/>
      </c>
      <c r="T90" s="60">
        <f>'ABA'!T90+'BK'!T90+'BW'!T90+'CED'!T90+'HAB'!T90+'HB'!T90+'OD'!T90+'HDN'!T90+'KIN'!T90+'LE'!T90+'MER'!T90+'NDN'!T90+'SALT'!T90+'SDN'!T90+'SST'!T90+'WH'!T90+'FH'!T90+'KNL HO'!T90+'CCL HO'!T90+'YBHN HO'!T90+'YBN HO'!T90</f>
        <v/>
      </c>
      <c r="U90" s="60">
        <f>'ABA'!U90+'BK'!U90+'BW'!U90+'CED'!U90+'HAB'!U90+'HB'!U90+'OD'!U90+'HDN'!U90+'KIN'!U90+'LE'!U90+'MER'!U90+'NDN'!U90+'SALT'!U90+'SDN'!U90+'SST'!U90+'WH'!U90+'FH'!U90+'KNL HO'!U90+'CCL HO'!U90+'YBHN HO'!U90+'YBN HO'!U90</f>
        <v/>
      </c>
      <c r="V90" s="60">
        <f>-SUMIF('Group TB '!$T:$T,'GROUP TOTALS MONTHLY P&amp;L'!$A90,'Group TB '!J:J)</f>
        <v/>
      </c>
      <c r="W90" s="60">
        <f>-SUMIF('Group TB '!$T:$T,'GROUP TOTALS MONTHLY P&amp;L'!$A90,'Group TB '!K:K)</f>
        <v/>
      </c>
      <c r="X90" s="60">
        <f>-SUMIF('Group TB '!$T:$T,'GROUP TOTALS MONTHLY P&amp;L'!$A90,'Group TB '!L:L)</f>
        <v/>
      </c>
      <c r="Y90" s="60">
        <f>-SUMIF('Group TB '!$T:$T,'GROUP TOTALS MONTHLY P&amp;L'!$A90,'Group TB '!M:M)</f>
        <v/>
      </c>
      <c r="Z90" s="60">
        <f>-SUMIF('Group TB '!$T:$T,'GROUP TOTALS MONTHLY P&amp;L'!$A90,'Group TB 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Direct - Childcare Cost</t>
        </is>
      </c>
      <c r="B91" s="18" t="n">
        <v>-35205.68</v>
      </c>
      <c r="C91" s="18" t="n">
        <v>-41585.37</v>
      </c>
      <c r="D91" s="18" t="n">
        <v>-35688.76</v>
      </c>
      <c r="E91" s="18" t="n">
        <v>-30859.64</v>
      </c>
      <c r="F91" s="18" t="n">
        <v>-40642.69000000001</v>
      </c>
      <c r="G91" s="18" t="n">
        <v>-40290.33000000001</v>
      </c>
      <c r="H91" s="18" t="n">
        <v>-38526.12</v>
      </c>
      <c r="I91" s="18" t="n">
        <v>-37931.38</v>
      </c>
      <c r="J91" s="18" t="n">
        <v>-36694.59000000001</v>
      </c>
      <c r="K91" s="18" t="n">
        <v>-39332.78</v>
      </c>
      <c r="L91" s="18" t="n">
        <v>-36711.58</v>
      </c>
      <c r="M91" s="18" t="n">
        <v>-28826.44</v>
      </c>
      <c r="N91" s="8" t="n"/>
      <c r="O91" s="60">
        <f>'ABA'!O91+'BK'!O91+'BW'!O91+'CED'!O91+'HAB'!O91+'HB'!O91+'OD'!O91+'HDN'!O91+'KIN'!O91+'LE'!O91+'MER'!O91+'NDN'!O91+'SALT'!O91+'SDN'!O91+'SST'!O91+'WH'!O91+'FH'!O91+'KNL HO'!O91+'CCL HO'!O91+'YBHN HO'!O91+'YBN HO'!O91</f>
        <v/>
      </c>
      <c r="P91" s="60">
        <f>'ABA'!P91+'BK'!P91+'BW'!P91+'CED'!P91+'HAB'!P91+'HB'!P91+'OD'!P91+'HDN'!P91+'KIN'!P91+'LE'!P91+'MER'!P91+'NDN'!P91+'SALT'!P91+'SDN'!P91+'SST'!P91+'WH'!P91+'FH'!P91+'KNL HO'!P91+'CCL HO'!P91+'YBHN HO'!P91+'YBN HO'!P91</f>
        <v/>
      </c>
      <c r="Q91" s="60">
        <f>'ABA'!Q91+'BK'!Q91+'BW'!Q91+'CED'!Q91+'HAB'!Q91+'HB'!Q91+'OD'!Q91+'HDN'!Q91+'KIN'!Q91+'LE'!Q91+'MER'!Q91+'NDN'!Q91+'SALT'!Q91+'SDN'!Q91+'SST'!Q91+'WH'!Q91+'FH'!Q91+'KNL HO'!Q91+'CCL HO'!Q91+'YBHN HO'!Q91+'YBN HO'!Q91</f>
        <v/>
      </c>
      <c r="R91" s="60">
        <f>'ABA'!R91+'BK'!R91+'BW'!R91+'CED'!R91+'HAB'!R91+'HB'!R91+'OD'!R91+'HDN'!R91+'KIN'!R91+'LE'!R91+'MER'!R91+'NDN'!R91+'SALT'!R91+'SDN'!R91+'SST'!R91+'WH'!R91+'FH'!R91+'KNL HO'!R91+'CCL HO'!R91+'YBHN HO'!R91+'YBN HO'!R91</f>
        <v/>
      </c>
      <c r="S91" s="60">
        <f>'ABA'!S91+'BK'!S91+'BW'!S91+'CED'!S91+'HAB'!S91+'HB'!S91+'OD'!S91+'HDN'!S91+'KIN'!S91+'LE'!S91+'MER'!S91+'NDN'!S91+'SALT'!S91+'SDN'!S91+'SST'!S91+'WH'!S91+'FH'!S91+'KNL HO'!S91+'CCL HO'!S91+'YBHN HO'!S91+'YBN HO'!S91</f>
        <v/>
      </c>
      <c r="T91" s="60">
        <f>'ABA'!T91+'BK'!T91+'BW'!T91+'CED'!T91+'HAB'!T91+'HB'!T91+'OD'!T91+'HDN'!T91+'KIN'!T91+'LE'!T91+'MER'!T91+'NDN'!T91+'SALT'!T91+'SDN'!T91+'SST'!T91+'WH'!T91+'FH'!T91+'KNL HO'!T91+'CCL HO'!T91+'YBHN HO'!T91+'YBN HO'!T91</f>
        <v/>
      </c>
      <c r="U91" s="60">
        <f>'ABA'!U91+'BK'!U91+'BW'!U91+'CED'!U91+'HAB'!U91+'HB'!U91+'OD'!U91+'HDN'!U91+'KIN'!U91+'LE'!U91+'MER'!U91+'NDN'!U91+'SALT'!U91+'SDN'!U91+'SST'!U91+'WH'!U91+'FH'!U91+'KNL HO'!U91+'CCL HO'!U91+'YBHN HO'!U91+'YBN HO'!U91</f>
        <v/>
      </c>
      <c r="V91" s="60">
        <f>-SUMIF('Group TB '!$T:$T,'GROUP TOTALS MONTHLY P&amp;L'!$A91,'Group TB '!J:J)</f>
        <v/>
      </c>
      <c r="W91" s="60">
        <f>-SUMIF('Group TB '!$T:$T,'GROUP TOTALS MONTHLY P&amp;L'!$A91,'Group TB '!K:K)</f>
        <v/>
      </c>
      <c r="X91" s="60">
        <f>-SUMIF('Group TB '!$T:$T,'GROUP TOTALS MONTHLY P&amp;L'!$A91,'Group TB '!L:L)</f>
        <v/>
      </c>
      <c r="Y91" s="60">
        <f>-SUMIF('Group TB '!$T:$T,'GROUP TOTALS MONTHLY P&amp;L'!$A91,'Group TB '!M:M)</f>
        <v/>
      </c>
      <c r="Z91" s="60">
        <f>-SUMIF('Group TB '!$T:$T,'GROUP TOTALS MONTHLY P&amp;L'!$A91,'Group TB 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60" t="inlineStr">
        <is>
          <t>Direct - Premises &amp; Admin</t>
        </is>
      </c>
      <c r="B92" s="18" t="n">
        <v>-104786.72</v>
      </c>
      <c r="C92" s="18" t="n">
        <v>-102740.01</v>
      </c>
      <c r="D92" s="18" t="n">
        <v>-109444.19</v>
      </c>
      <c r="E92" s="18" t="n">
        <v>-113384.44</v>
      </c>
      <c r="F92" s="18" t="n">
        <v>-96923.24000000001</v>
      </c>
      <c r="G92" s="18" t="n">
        <v>-101096.97</v>
      </c>
      <c r="H92" s="18" t="n">
        <v>-91871.87000000002</v>
      </c>
      <c r="I92" s="18" t="n">
        <v>-90463.61</v>
      </c>
      <c r="J92" s="18" t="n">
        <v>-83945.06</v>
      </c>
      <c r="K92" s="18" t="n">
        <v>-90760.58000000002</v>
      </c>
      <c r="L92" s="18" t="n">
        <v>-84121.70000000001</v>
      </c>
      <c r="M92" s="18" t="n">
        <v>-86490.11</v>
      </c>
      <c r="N92" s="8" t="n"/>
      <c r="O92" s="60">
        <f>'ABA'!O92+'BK'!O92+'BW'!O92+'CED'!O92+'HAB'!O92+'HB'!O92+'OD'!O92+'HDN'!O92+'KIN'!O92+'LE'!O92+'MER'!O92+'NDN'!O92+'SALT'!O92+'SDN'!O92+'SST'!O92+'WH'!O92+'FH'!O92+'KNL HO'!O92+'CCL HO'!O92+'YBHN HO'!O92+'YBN HO'!O92</f>
        <v/>
      </c>
      <c r="P92" s="60">
        <f>'ABA'!P92+'BK'!P92+'BW'!P92+'CED'!P92+'HAB'!P92+'HB'!P92+'OD'!P92+'HDN'!P92+'KIN'!P92+'LE'!P92+'MER'!P92+'NDN'!P92+'SALT'!P92+'SDN'!P92+'SST'!P92+'WH'!P92+'FH'!P92+'KNL HO'!P92+'CCL HO'!P92+'YBHN HO'!P92+'YBN HO'!P92</f>
        <v/>
      </c>
      <c r="Q92" s="60">
        <f>'ABA'!Q92+'BK'!Q92+'BW'!Q92+'CED'!Q92+'HAB'!Q92+'HB'!Q92+'OD'!Q92+'HDN'!Q92+'KIN'!Q92+'LE'!Q92+'MER'!Q92+'NDN'!Q92+'SALT'!Q92+'SDN'!Q92+'SST'!Q92+'WH'!Q92+'FH'!Q92+'KNL HO'!Q92+'CCL HO'!Q92+'YBHN HO'!Q92+'YBN HO'!Q92</f>
        <v/>
      </c>
      <c r="R92" s="60">
        <f>'ABA'!R92+'BK'!R92+'BW'!R92+'CED'!R92+'HAB'!R92+'HB'!R92+'OD'!R92+'HDN'!R92+'KIN'!R92+'LE'!R92+'MER'!R92+'NDN'!R92+'SALT'!R92+'SDN'!R92+'SST'!R92+'WH'!R92+'FH'!R92+'KNL HO'!R92+'CCL HO'!R92+'YBHN HO'!R92+'YBN HO'!R92</f>
        <v/>
      </c>
      <c r="S92" s="60">
        <f>'ABA'!S92+'BK'!S92+'BW'!S92+'CED'!S92+'HAB'!S92+'HB'!S92+'OD'!S92+'HDN'!S92+'KIN'!S92+'LE'!S92+'MER'!S92+'NDN'!S92+'SALT'!S92+'SDN'!S92+'SST'!S92+'WH'!S92+'FH'!S92+'KNL HO'!S92+'CCL HO'!S92+'YBHN HO'!S92+'YBN HO'!S92</f>
        <v/>
      </c>
      <c r="T92" s="60">
        <f>'ABA'!T92+'BK'!T92+'BW'!T92+'CED'!T92+'HAB'!T92+'HB'!T92+'OD'!T92+'HDN'!T92+'KIN'!T92+'LE'!T92+'MER'!T92+'NDN'!T92+'SALT'!T92+'SDN'!T92+'SST'!T92+'WH'!T92+'FH'!T92+'KNL HO'!T92+'CCL HO'!T92+'YBHN HO'!T92+'YBN HO'!T92</f>
        <v/>
      </c>
      <c r="U92" s="60">
        <f>'ABA'!U92+'BK'!U92+'BW'!U92+'CED'!U92+'HAB'!U92+'HB'!U92+'OD'!U92+'HDN'!U92+'KIN'!U92+'LE'!U92+'MER'!U92+'NDN'!U92+'SALT'!U92+'SDN'!U92+'SST'!U92+'WH'!U92+'FH'!U92+'KNL HO'!U92+'CCL HO'!U92+'YBHN HO'!U92+'YBN HO'!U92</f>
        <v/>
      </c>
      <c r="V92" s="60">
        <f>-SUMIF('Group TB '!$T:$T,'GROUP TOTALS MONTHLY P&amp;L'!$A92,'Group TB '!J:J)</f>
        <v/>
      </c>
      <c r="W92" s="60">
        <f>-SUMIF('Group TB '!$T:$T,'GROUP TOTALS MONTHLY P&amp;L'!$A92,'Group TB '!K:K)</f>
        <v/>
      </c>
      <c r="X92" s="60">
        <f>-SUMIF('Group TB '!$T:$T,'GROUP TOTALS MONTHLY P&amp;L'!$A92,'Group TB '!L:L)</f>
        <v/>
      </c>
      <c r="Y92" s="60">
        <f>-SUMIF('Group TB '!$T:$T,'GROUP TOTALS MONTHLY P&amp;L'!$A92,'Group TB '!M:M)</f>
        <v/>
      </c>
      <c r="Z92" s="60">
        <f>-SUMIF('Group TB '!$T:$T,'GROUP TOTALS MONTHLY P&amp;L'!$A92,'Group TB 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60" t="inlineStr">
        <is>
          <t>In-Direct - Staff Cost</t>
        </is>
      </c>
      <c r="B93" s="18" t="n">
        <v>-93611.44</v>
      </c>
      <c r="C93" s="18" t="n">
        <v>-96112.63999999998</v>
      </c>
      <c r="D93" s="18" t="n">
        <v>-95857.95999999999</v>
      </c>
      <c r="E93" s="18" t="n">
        <v>-156700.39</v>
      </c>
      <c r="F93" s="18" t="n">
        <v>-95895.40999999999</v>
      </c>
      <c r="G93" s="18" t="n">
        <v>-114717.56</v>
      </c>
      <c r="H93" s="18" t="n">
        <v>-114931.94</v>
      </c>
      <c r="I93" s="18" t="n">
        <v>-131353.52</v>
      </c>
      <c r="J93" s="18" t="n">
        <v>-154543.8</v>
      </c>
      <c r="K93" s="18" t="n">
        <v>-118297.07</v>
      </c>
      <c r="L93" s="18" t="n">
        <v>-125174.38</v>
      </c>
      <c r="M93" s="18" t="n">
        <v>-443091.7</v>
      </c>
      <c r="N93" s="8" t="n"/>
      <c r="O93" s="60">
        <f>'ABA'!O93+'BK'!O93+'BW'!O93+'CED'!O93+'HAB'!O93+'HB'!O93+'OD'!O93+'HDN'!O93+'KIN'!O93+'LE'!O93+'MER'!O93+'NDN'!O93+'SALT'!O93+'SDN'!O93+'SST'!O93+'WH'!O93+'FH'!O93+'KNL HO'!O93+'CCL HO'!O93+'YBHN HO'!O93+'YBN HO'!O93</f>
        <v/>
      </c>
      <c r="P93" s="60">
        <f>'ABA'!P93+'BK'!P93+'BW'!P93+'CED'!P93+'HAB'!P93+'HB'!P93+'OD'!P93+'HDN'!P93+'KIN'!P93+'LE'!P93+'MER'!P93+'NDN'!P93+'SALT'!P93+'SDN'!P93+'SST'!P93+'WH'!P93+'FH'!P93+'KNL HO'!P93+'CCL HO'!P93+'YBHN HO'!P93+'YBN HO'!P93</f>
        <v/>
      </c>
      <c r="Q93" s="60">
        <f>'ABA'!Q93+'BK'!Q93+'BW'!Q93+'CED'!Q93+'HAB'!Q93+'HB'!Q93+'OD'!Q93+'HDN'!Q93+'KIN'!Q93+'LE'!Q93+'MER'!Q93+'NDN'!Q93+'SALT'!Q93+'SDN'!Q93+'SST'!Q93+'WH'!Q93+'FH'!Q93+'KNL HO'!Q93+'CCL HO'!Q93+'YBHN HO'!Q93+'YBN HO'!Q93</f>
        <v/>
      </c>
      <c r="R93" s="60">
        <f>'ABA'!R93+'BK'!R93+'BW'!R93+'CED'!R93+'HAB'!R93+'HB'!R93+'OD'!R93+'HDN'!R93+'KIN'!R93+'LE'!R93+'MER'!R93+'NDN'!R93+'SALT'!R93+'SDN'!R93+'SST'!R93+'WH'!R93+'FH'!R93+'KNL HO'!R93+'CCL HO'!R93+'YBHN HO'!R93+'YBN HO'!R93</f>
        <v/>
      </c>
      <c r="S93" s="60">
        <f>'ABA'!S93+'BK'!S93+'BW'!S93+'CED'!S93+'HAB'!S93+'HB'!S93+'OD'!S93+'HDN'!S93+'KIN'!S93+'LE'!S93+'MER'!S93+'NDN'!S93+'SALT'!S93+'SDN'!S93+'SST'!S93+'WH'!S93+'FH'!S93+'KNL HO'!S93+'CCL HO'!S93+'YBHN HO'!S93+'YBN HO'!S93</f>
        <v/>
      </c>
      <c r="T93" s="60">
        <f>'ABA'!T93+'BK'!T93+'BW'!T93+'CED'!T93+'HAB'!T93+'HB'!T93+'OD'!T93+'HDN'!T93+'KIN'!T93+'LE'!T93+'MER'!T93+'NDN'!T93+'SALT'!T93+'SDN'!T93+'SST'!T93+'WH'!T93+'FH'!T93+'KNL HO'!T93+'CCL HO'!T93+'YBHN HO'!T93+'YBN HO'!T93</f>
        <v/>
      </c>
      <c r="U93" s="60">
        <f>'ABA'!U93+'BK'!U93+'BW'!U93+'CED'!U93+'HAB'!U93+'HB'!U93+'OD'!U93+'HDN'!U93+'KIN'!U93+'LE'!U93+'MER'!U93+'NDN'!U93+'SALT'!U93+'SDN'!U93+'SST'!U93+'WH'!U93+'FH'!U93+'KNL HO'!U93+'CCL HO'!U93+'YBHN HO'!U93+'YBN HO'!U93</f>
        <v/>
      </c>
      <c r="V93" s="60">
        <f>-SUMIF('Group TB '!$T:$T,'GROUP TOTALS MONTHLY P&amp;L'!$A93,'Group TB '!J:J)</f>
        <v/>
      </c>
      <c r="W93" s="60">
        <f>-SUMIF('Group TB '!$T:$T,'GROUP TOTALS MONTHLY P&amp;L'!$A93,'Group TB '!K:K)</f>
        <v/>
      </c>
      <c r="X93" s="60">
        <f>-SUMIF('Group TB '!$T:$T,'GROUP TOTALS MONTHLY P&amp;L'!$A93,'Group TB '!L:L)</f>
        <v/>
      </c>
      <c r="Y93" s="60">
        <f>-SUMIF('Group TB '!$T:$T,'GROUP TOTALS MONTHLY P&amp;L'!$A93,'Group TB '!M:M)</f>
        <v/>
      </c>
      <c r="Z93" s="60">
        <f>-SUMIF('Group TB '!$T:$T,'GROUP TOTALS MONTHLY P&amp;L'!$A93,'Group TB '!N:N)</f>
        <v/>
      </c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60" t="inlineStr">
        <is>
          <t>In-Direct - Overheads</t>
        </is>
      </c>
      <c r="B94" s="18" t="n">
        <v>-33867.89</v>
      </c>
      <c r="C94" s="18" t="n">
        <v>-44492.75</v>
      </c>
      <c r="D94" s="18" t="n">
        <v>-69838.73</v>
      </c>
      <c r="E94" s="18" t="n">
        <v>-47025.21</v>
      </c>
      <c r="F94" s="18" t="n">
        <v>-29170.57</v>
      </c>
      <c r="G94" s="18" t="n">
        <v>-27354.31</v>
      </c>
      <c r="H94" s="18" t="n">
        <v>-27780.68</v>
      </c>
      <c r="I94" s="18" t="n">
        <v>-26980.54</v>
      </c>
      <c r="J94" s="18" t="n">
        <v>-60742.53999999999</v>
      </c>
      <c r="K94" s="18" t="n">
        <v>-29664.92</v>
      </c>
      <c r="L94" s="18" t="n">
        <v>-32358.99000000001</v>
      </c>
      <c r="M94" s="18" t="n">
        <v>-45854.33</v>
      </c>
      <c r="N94" s="8" t="n"/>
      <c r="O94" s="60">
        <f>'ABA'!O94+'BK'!O94+'BW'!O94+'CED'!O94+'HAB'!O94+'HB'!O94+'OD'!O94+'HDN'!O94+'KIN'!O94+'LE'!O94+'MER'!O94+'NDN'!O94+'SALT'!O94+'SDN'!O94+'SST'!O94+'WH'!O94+'FH'!O94+'KNL HO'!O94+'CCL HO'!O94+'YBHN HO'!O94+'YBN HO'!O94</f>
        <v/>
      </c>
      <c r="P94" s="60">
        <f>'ABA'!P94+'BK'!P94+'BW'!P94+'CED'!P94+'HAB'!P94+'HB'!P94+'OD'!P94+'HDN'!P94+'KIN'!P94+'LE'!P94+'MER'!P94+'NDN'!P94+'SALT'!P94+'SDN'!P94+'SST'!P94+'WH'!P94+'FH'!P94+'KNL HO'!P94+'CCL HO'!P94+'YBHN HO'!P94+'YBN HO'!P94</f>
        <v/>
      </c>
      <c r="Q94" s="60">
        <f>'ABA'!Q94+'BK'!Q94+'BW'!Q94+'CED'!Q94+'HAB'!Q94+'HB'!Q94+'OD'!Q94+'HDN'!Q94+'KIN'!Q94+'LE'!Q94+'MER'!Q94+'NDN'!Q94+'SALT'!Q94+'SDN'!Q94+'SST'!Q94+'WH'!Q94+'FH'!Q94+'KNL HO'!Q94+'CCL HO'!Q94+'YBHN HO'!Q94+'YBN HO'!Q94</f>
        <v/>
      </c>
      <c r="R94" s="60">
        <f>'ABA'!R94+'BK'!R94+'BW'!R94+'CED'!R94+'HAB'!R94+'HB'!R94+'OD'!R94+'HDN'!R94+'KIN'!R94+'LE'!R94+'MER'!R94+'NDN'!R94+'SALT'!R94+'SDN'!R94+'SST'!R94+'WH'!R94+'FH'!R94+'KNL HO'!R94+'CCL HO'!R94+'YBHN HO'!R94+'YBN HO'!R94</f>
        <v/>
      </c>
      <c r="S94" s="60">
        <f>'ABA'!S94+'BK'!S94+'BW'!S94+'CED'!S94+'HAB'!S94+'HB'!S94+'OD'!S94+'HDN'!S94+'KIN'!S94+'LE'!S94+'MER'!S94+'NDN'!S94+'SALT'!S94+'SDN'!S94+'SST'!S94+'WH'!S94+'FH'!S94+'KNL HO'!S94+'CCL HO'!S94+'YBHN HO'!S94+'YBN HO'!S94</f>
        <v/>
      </c>
      <c r="T94" s="60">
        <f>'ABA'!T94+'BK'!T94+'BW'!T94+'CED'!T94+'HAB'!T94+'HB'!T94+'OD'!T94+'HDN'!T94+'KIN'!T94+'LE'!T94+'MER'!T94+'NDN'!T94+'SALT'!T94+'SDN'!T94+'SST'!T94+'WH'!T94+'FH'!T94+'KNL HO'!T94+'CCL HO'!T94+'YBHN HO'!T94+'YBN HO'!T94</f>
        <v/>
      </c>
      <c r="U94" s="60">
        <f>'ABA'!U94+'BK'!U94+'BW'!U94+'CED'!U94+'HAB'!U94+'HB'!U94+'OD'!U94+'HDN'!U94+'KIN'!U94+'LE'!U94+'MER'!U94+'NDN'!U94+'SALT'!U94+'SDN'!U94+'SST'!U94+'WH'!U94+'FH'!U94+'KNL HO'!U94+'CCL HO'!U94+'YBHN HO'!U94+'YBN HO'!U94</f>
        <v/>
      </c>
      <c r="V94" s="60">
        <f>-SUMIF('Group TB '!$T:$T,'GROUP TOTALS MONTHLY P&amp;L'!$A94,'Group TB '!J:J)</f>
        <v/>
      </c>
      <c r="W94" s="60">
        <f>-SUMIF('Group TB '!$T:$T,'GROUP TOTALS MONTHLY P&amp;L'!$A94,'Group TB '!K:K)</f>
        <v/>
      </c>
      <c r="X94" s="60">
        <f>-SUMIF('Group TB '!$T:$T,'GROUP TOTALS MONTHLY P&amp;L'!$A94,'Group TB '!L:L)</f>
        <v/>
      </c>
      <c r="Y94" s="60">
        <f>-SUMIF('Group TB '!$T:$T,'GROUP TOTALS MONTHLY P&amp;L'!$A94,'Group TB '!M:M)</f>
        <v/>
      </c>
      <c r="Z94" s="60">
        <f>-SUMIF('Group TB '!$T:$T,'GROUP TOTALS MONTHLY P&amp;L'!$A94,'Group TB '!N:N)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 ht="15.75" customHeight="1">
      <c r="A95" s="8" t="n"/>
      <c r="B95" s="67" t="n">
        <v>141740.61</v>
      </c>
      <c r="C95" s="67" t="n">
        <v>161261.6100000001</v>
      </c>
      <c r="D95" s="67" t="n">
        <v>312669.7000000001</v>
      </c>
      <c r="E95" s="67" t="n">
        <v>104412.3299999997</v>
      </c>
      <c r="F95" s="67" t="n">
        <v>72948.60000000003</v>
      </c>
      <c r="G95" s="67" t="n">
        <v>198388.9600000001</v>
      </c>
      <c r="H95" s="67" t="n">
        <v>475618.0999999997</v>
      </c>
      <c r="I95" s="67" t="n">
        <v>-16824.51000000006</v>
      </c>
      <c r="J95" s="67" t="n">
        <v>-96262.11000000003</v>
      </c>
      <c r="K95" s="67" t="n">
        <v>-10399.62000000004</v>
      </c>
      <c r="L95" s="67" t="n">
        <v>166737.34</v>
      </c>
      <c r="M95" s="67" t="n">
        <v>47760.69000000013</v>
      </c>
      <c r="N95" s="8" t="n"/>
      <c r="O95" s="64">
        <f>SUM(O89:O94)</f>
        <v/>
      </c>
      <c r="P95" s="64">
        <f>SUM(P89:P94)</f>
        <v/>
      </c>
      <c r="Q95" s="64">
        <f>SUM(Q89:Q94)</f>
        <v/>
      </c>
      <c r="R95" s="64">
        <f>SUM(R89:R94)</f>
        <v/>
      </c>
      <c r="S95" s="64">
        <f>SUM(S89:S94)</f>
        <v/>
      </c>
      <c r="T95" s="64">
        <f>SUM(T89:T94)</f>
        <v/>
      </c>
      <c r="U95" s="64">
        <f>SUM(U89:U94)</f>
        <v/>
      </c>
      <c r="V95" s="64">
        <f>SUM(V89:V94)</f>
        <v/>
      </c>
      <c r="W95" s="64">
        <f>SUM(W89:W94)</f>
        <v/>
      </c>
      <c r="X95" s="64">
        <f>SUM(X89:X94)</f>
        <v/>
      </c>
      <c r="Y95" s="64">
        <f>SUM(Y89:Y94)</f>
        <v/>
      </c>
      <c r="Z95" s="64">
        <f>SUM(Z89:Z94)</f>
        <v/>
      </c>
      <c r="AA95" s="8" t="n"/>
      <c r="AB95" s="8" t="n"/>
      <c r="AC95" s="64" t="n"/>
      <c r="AD95" s="64" t="n"/>
      <c r="AE95" s="64" t="n"/>
      <c r="AF95" s="64" t="n"/>
      <c r="AG95" s="64" t="n"/>
      <c r="AH95" s="64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 ht="15.75" customHeight="1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4.365574568510056e-11</v>
      </c>
      <c r="L96" s="18" t="n">
        <v>0</v>
      </c>
      <c r="M96" s="18" t="n">
        <v>-1.309672370553017e-10</v>
      </c>
      <c r="N96" s="8" t="n"/>
      <c r="O96" s="60">
        <f>+O70-O95</f>
        <v/>
      </c>
      <c r="P96" s="60">
        <f>+P70-P95</f>
        <v/>
      </c>
      <c r="Q96" s="60">
        <f>+Q70-Q95</f>
        <v/>
      </c>
      <c r="R96" s="60">
        <f>+R70-R95</f>
        <v/>
      </c>
      <c r="S96" s="60">
        <f>+S70-S95</f>
        <v/>
      </c>
      <c r="T96" s="60">
        <f>+T70-T95</f>
        <v/>
      </c>
      <c r="U96" s="60">
        <f>+U70-U95</f>
        <v/>
      </c>
      <c r="V96" s="60">
        <f>+V70-V95</f>
        <v/>
      </c>
      <c r="W96" s="60">
        <f>+W70-W95</f>
        <v/>
      </c>
      <c r="X96" s="60">
        <f>+X70-X95</f>
        <v/>
      </c>
      <c r="Y96" s="60">
        <f>+Y70-Y95</f>
        <v/>
      </c>
      <c r="Z96" s="60">
        <f>+Z70-Z95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34" t="inlineStr">
        <is>
          <t>CHECK TO TB</t>
        </is>
      </c>
      <c r="B98" s="18" t="n">
        <v>0</v>
      </c>
      <c r="C98" s="18" t="n">
        <v>0</v>
      </c>
      <c r="D98" s="18" t="n">
        <v>0</v>
      </c>
      <c r="E98" s="18" t="n">
        <v>0</v>
      </c>
      <c r="F98" s="18" t="n">
        <v>0</v>
      </c>
      <c r="G98" s="18" t="n">
        <v>0</v>
      </c>
      <c r="H98" s="18" t="n">
        <v>0</v>
      </c>
      <c r="I98" s="18" t="n">
        <v>-7.639755494892597e-11</v>
      </c>
      <c r="J98" s="18" t="n">
        <v>0</v>
      </c>
      <c r="K98" s="18" t="n">
        <v>-2.364686224609613e-11</v>
      </c>
      <c r="L98" s="18" t="n">
        <v>0</v>
      </c>
      <c r="M98" s="18" t="n">
        <v>717.000000000131</v>
      </c>
      <c r="N98" s="8" t="n"/>
      <c r="O98" s="60">
        <f>O95+O99</f>
        <v/>
      </c>
      <c r="P98" s="60">
        <f>P95+P99</f>
        <v/>
      </c>
      <c r="Q98" s="60">
        <f>Q95+Q99</f>
        <v/>
      </c>
      <c r="R98" s="60">
        <f>R95+R99</f>
        <v/>
      </c>
      <c r="S98" s="60">
        <f>S95+S99</f>
        <v/>
      </c>
      <c r="T98" s="60">
        <f>T95+T99</f>
        <v/>
      </c>
      <c r="U98" s="60">
        <f>U95+U99</f>
        <v/>
      </c>
      <c r="V98" s="60">
        <f>V95+V99</f>
        <v/>
      </c>
      <c r="W98" s="60">
        <f>W95+W99</f>
        <v/>
      </c>
      <c r="X98" s="60">
        <f>X95+X99</f>
        <v/>
      </c>
      <c r="Y98" s="60">
        <f>Y95+Y99</f>
        <v/>
      </c>
      <c r="Z98" s="60">
        <f>Z95+Z99</f>
        <v/>
      </c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>
        <v>-141740.61</v>
      </c>
      <c r="C99" s="18" t="n">
        <v>-161261.61</v>
      </c>
      <c r="D99" s="18" t="n">
        <v>-312669.6999999999</v>
      </c>
      <c r="E99" s="18" t="n">
        <v>-104412.3299999997</v>
      </c>
      <c r="F99" s="18" t="n">
        <v>-72948.60000000002</v>
      </c>
      <c r="G99" s="18" t="n">
        <v>-198388.9599999999</v>
      </c>
      <c r="H99" s="18" t="n">
        <v>-475618.0999999997</v>
      </c>
      <c r="I99" s="18" t="n">
        <v>16824.50999999998</v>
      </c>
      <c r="J99" s="18" t="n">
        <v>96262.11000000007</v>
      </c>
      <c r="K99" s="18" t="n">
        <v>10399.62000000002</v>
      </c>
      <c r="L99" s="18" t="n">
        <v>-166737.34</v>
      </c>
      <c r="M99" s="18" t="n">
        <v>-47043.69</v>
      </c>
      <c r="N99" s="8" t="n"/>
      <c r="O99" s="60">
        <f>'ABA'!O99+'BK'!O99+'BW'!O99+'CED'!O99+'HAB'!O99+'HB'!O99+'OD'!O99+'HDN'!O99+'KIN'!O99+'LE'!O99+'MER'!O99+'NDN'!O99+'SALT'!O99+'SDN'!O99+'SST'!O99+'WH'!O99+'FH'!O99+'KNL HO'!O99+'CCL HO'!O99+'YBHN HO'!O99+'YBN HO'!O99</f>
        <v/>
      </c>
      <c r="P99" s="60">
        <f>'ABA'!P99+'BK'!P99+'BW'!P99+'CED'!P99+'HAB'!P99+'HB'!P99+'OD'!P99+'HDN'!P99+'KIN'!P99+'LE'!P99+'MER'!P99+'NDN'!P99+'SALT'!P99+'SDN'!P99+'SST'!P99+'WH'!P99+'FH'!P99+'KNL HO'!P99+'CCL HO'!P99+'YBHN HO'!P99+'YBN HO'!P99</f>
        <v/>
      </c>
      <c r="Q99" s="60">
        <f>'ABA'!Q99+'BK'!Q99+'BW'!Q99+'CED'!Q99+'HAB'!Q99+'HB'!Q99+'OD'!Q99+'HDN'!Q99+'KIN'!Q99+'LE'!Q99+'MER'!Q99+'NDN'!Q99+'SALT'!Q99+'SDN'!Q99+'SST'!Q99+'WH'!Q99+'FH'!Q99+'KNL HO'!Q99+'CCL HO'!Q99+'YBHN HO'!Q99+'YBN HO'!Q99</f>
        <v/>
      </c>
      <c r="R99" s="60">
        <f>'ABA'!R99+'BK'!R99+'BW'!R99+'CED'!R99+'HAB'!R99+'HB'!R99+'OD'!R99+'HDN'!R99+'KIN'!R99+'LE'!R99+'MER'!R99+'NDN'!R99+'SALT'!R99+'SDN'!R99+'SST'!R99+'WH'!R99+'FH'!R99+'KNL HO'!R99+'CCL HO'!R99+'YBHN HO'!R99+'YBN HO'!R99</f>
        <v/>
      </c>
      <c r="S99" s="60">
        <f>'ABA'!S99+'BK'!S99+'BW'!S99+'CED'!S99+'HAB'!S99+'HB'!S99+'OD'!S99+'HDN'!S99+'KIN'!S99+'LE'!S99+'MER'!S99+'NDN'!S99+'SALT'!S99+'SDN'!S99+'SST'!S99+'WH'!S99+'FH'!S99+'KNL HO'!S99+'CCL HO'!S99+'YBHN HO'!S99+'YBN HO'!S99</f>
        <v/>
      </c>
      <c r="T99" s="60">
        <f>'ABA'!T99+'BK'!T99+'BW'!T99+'CED'!T99+'HAB'!T99+'HB'!T99+'OD'!T99+'HDN'!T99+'KIN'!T99+'LE'!T99+'MER'!T99+'NDN'!T99+'SALT'!T99+'SDN'!T99+'SST'!T99+'WH'!T99+'FH'!T99+'KNL HO'!T99+'CCL HO'!T99+'YBHN HO'!T99+'YBN HO'!T99</f>
        <v/>
      </c>
      <c r="U99" s="60">
        <f>'ABA'!U99+'BK'!U99+'BW'!U99+'CED'!U99+'HAB'!U99+'HB'!U99+'OD'!U99+'HDN'!U99+'KIN'!U99+'LE'!U99+'MER'!U99+'NDN'!U99+'SALT'!U99+'SDN'!U99+'SST'!U99+'WH'!U99+'FH'!U99+'KNL HO'!U99+'CCL HO'!U99+'YBHN HO'!U99+'YBN HO'!U99</f>
        <v/>
      </c>
      <c r="V99" s="60">
        <f>SUM('Group TB '!J2:J67)</f>
        <v/>
      </c>
      <c r="W99" s="60">
        <f>SUM('Group TB '!K2:K67)</f>
        <v/>
      </c>
      <c r="X99" s="60">
        <f>SUM('Group TB '!L2:L67)</f>
        <v/>
      </c>
      <c r="Y99" s="60">
        <f>SUM('Group TB '!M2:M67)</f>
        <v/>
      </c>
      <c r="Z99" s="60">
        <f>SUM('Group TB '!N2:N67)</f>
        <v/>
      </c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Abacus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5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45121.08</v>
      </c>
      <c r="C8" s="35" t="n">
        <v>48317.09</v>
      </c>
      <c r="D8" s="35" t="n">
        <v>59604</v>
      </c>
      <c r="E8" s="35" t="n">
        <v>58999.57</v>
      </c>
      <c r="F8" s="35" t="n">
        <v>54973.4</v>
      </c>
      <c r="G8" s="35" t="n">
        <v>54200.75</v>
      </c>
      <c r="H8" s="35" t="n">
        <v>68470.83</v>
      </c>
      <c r="I8" s="35" t="n">
        <v>57893.73</v>
      </c>
      <c r="J8" s="35" t="n">
        <v>46302.96</v>
      </c>
      <c r="K8" s="35" t="n">
        <v>47210.81</v>
      </c>
      <c r="L8" s="35" t="n">
        <v>44551.63</v>
      </c>
      <c r="M8" s="35" t="n">
        <v>58823.32</v>
      </c>
      <c r="N8" s="36">
        <f>SUM(B8:M8)</f>
        <v/>
      </c>
      <c r="O8" s="37" t="n">
        <v>51261.86000000002</v>
      </c>
      <c r="P8" s="37" t="n">
        <v>47040.00000000002</v>
      </c>
      <c r="Q8" s="37" t="n">
        <v>62383.19999999999</v>
      </c>
      <c r="R8" s="37" t="n">
        <v>65608.48999999999</v>
      </c>
      <c r="S8" s="37" t="n">
        <v>54732.77</v>
      </c>
      <c r="T8" s="37" t="n">
        <v>63533.83999999999</v>
      </c>
      <c r="U8" s="37" t="n">
        <v>77254.31999999998</v>
      </c>
      <c r="V8" s="38" t="n">
        <v>69966.50999999999</v>
      </c>
      <c r="W8" s="38" t="n">
        <v>57880</v>
      </c>
      <c r="X8" s="38" t="n">
        <v>57383</v>
      </c>
      <c r="Y8" s="38" t="n">
        <v>63262</v>
      </c>
      <c r="Z8" s="38" t="n">
        <v>82845</v>
      </c>
      <c r="AA8" s="36">
        <f>SUM(O8:U8)</f>
        <v/>
      </c>
      <c r="AB8" s="36">
        <f>SUM(O8:Z8)</f>
        <v/>
      </c>
      <c r="AC8" s="38" t="n">
        <v>105589.88</v>
      </c>
      <c r="AD8" s="38" t="n">
        <v>122011.99</v>
      </c>
      <c r="AE8" s="38" t="n">
        <v>95286.97</v>
      </c>
      <c r="AF8" s="38" t="n">
        <v>109311.06</v>
      </c>
      <c r="AG8" s="38" t="n">
        <v>116010.76</v>
      </c>
      <c r="AH8" s="38" t="n">
        <v>110257.62</v>
      </c>
      <c r="AI8" s="117" t="n">
        <v>110257.62</v>
      </c>
      <c r="AJ8" s="118" t="n">
        <v>110257.62</v>
      </c>
      <c r="AK8" s="118" t="n">
        <v>110257.62</v>
      </c>
      <c r="AL8" s="118" t="n">
        <v>110257.62</v>
      </c>
      <c r="AM8" s="119" t="n">
        <v>110257.62</v>
      </c>
      <c r="AN8" s="117" t="n">
        <v>110257.62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11395.45</v>
      </c>
      <c r="C9" s="35" t="n">
        <v>30240.26</v>
      </c>
      <c r="D9" s="35" t="n">
        <v>33852.92</v>
      </c>
      <c r="E9" s="35" t="n">
        <v>11973.37</v>
      </c>
      <c r="F9" s="35" t="n">
        <v>11973.37</v>
      </c>
      <c r="G9" s="35" t="n">
        <v>44731.22</v>
      </c>
      <c r="H9" s="35" t="n">
        <v>40794.17</v>
      </c>
      <c r="I9" s="35" t="n">
        <v>0</v>
      </c>
      <c r="J9" s="35" t="n">
        <v>12746.69</v>
      </c>
      <c r="K9" s="35" t="n">
        <v>34548.74</v>
      </c>
      <c r="L9" s="35" t="n">
        <v>34548.75</v>
      </c>
      <c r="M9" s="35" t="n">
        <v>37093.27</v>
      </c>
      <c r="N9" s="36">
        <f>SUM(B9:M9)</f>
        <v/>
      </c>
      <c r="O9" s="37" t="n">
        <v>16246.68</v>
      </c>
      <c r="P9" s="37" t="n">
        <v>45919.86</v>
      </c>
      <c r="Q9" s="37" t="n">
        <v>45919.86</v>
      </c>
      <c r="R9" s="37" t="n">
        <v>36357.78</v>
      </c>
      <c r="S9" s="37" t="n">
        <v>36357.78</v>
      </c>
      <c r="T9" s="37" t="n">
        <v>37136.04</v>
      </c>
      <c r="U9" s="37" t="n">
        <v>39324.86</v>
      </c>
      <c r="V9" s="38" t="n"/>
      <c r="W9" s="38" t="n">
        <v>36619</v>
      </c>
      <c r="X9" s="38" t="n">
        <v>44154</v>
      </c>
      <c r="Y9" s="38" t="n">
        <v>43245</v>
      </c>
      <c r="Z9" s="38" t="n">
        <v>20548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1000</v>
      </c>
      <c r="C10" s="35" t="n">
        <v>0</v>
      </c>
      <c r="D10" s="35" t="n">
        <v>0</v>
      </c>
      <c r="E10" s="35" t="n">
        <v>240</v>
      </c>
      <c r="F10" s="35" t="n">
        <v>150</v>
      </c>
      <c r="G10" s="35" t="n">
        <v>150</v>
      </c>
      <c r="H10" s="35" t="n">
        <v>150</v>
      </c>
      <c r="I10" s="35" t="n">
        <v>150</v>
      </c>
      <c r="J10" s="35" t="n">
        <v>150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 t="n">
        <v>650</v>
      </c>
      <c r="P10" s="37" t="n">
        <v>150</v>
      </c>
      <c r="Q10" s="37" t="n">
        <v>150</v>
      </c>
      <c r="R10" s="37" t="n">
        <v>150</v>
      </c>
      <c r="S10" s="37" t="n">
        <v>150</v>
      </c>
      <c r="T10" s="37" t="n">
        <v>150</v>
      </c>
      <c r="U10" s="37" t="n">
        <v>150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57516.53</v>
      </c>
      <c r="C11" s="42" t="n">
        <v>78557.34999999999</v>
      </c>
      <c r="D11" s="42" t="n">
        <v>93456.92</v>
      </c>
      <c r="E11" s="42" t="n">
        <v>71212.94</v>
      </c>
      <c r="F11" s="42" t="n">
        <v>67096.77</v>
      </c>
      <c r="G11" s="42" t="n">
        <v>99081.97</v>
      </c>
      <c r="H11" s="42" t="n">
        <v>109415</v>
      </c>
      <c r="I11" s="42" t="n">
        <v>58043.73</v>
      </c>
      <c r="J11" s="42" t="n">
        <v>59199.65</v>
      </c>
      <c r="K11" s="42" t="n">
        <v>81909.55</v>
      </c>
      <c r="L11" s="42" t="n">
        <v>79250.38</v>
      </c>
      <c r="M11" s="42" t="n">
        <v>96066.59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31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31316.14</v>
      </c>
      <c r="C16" s="35" t="n">
        <v>32272.71</v>
      </c>
      <c r="D16" s="35" t="n">
        <v>33507.52</v>
      </c>
      <c r="E16" s="35" t="n">
        <v>35857.02</v>
      </c>
      <c r="F16" s="35" t="n">
        <v>36300.07</v>
      </c>
      <c r="G16" s="35" t="n">
        <v>37005.6</v>
      </c>
      <c r="H16" s="35" t="n">
        <v>38811.34</v>
      </c>
      <c r="I16" s="35" t="n">
        <v>36024.66</v>
      </c>
      <c r="J16" s="35" t="n">
        <v>35973.55</v>
      </c>
      <c r="K16" s="35" t="n">
        <v>34210.75</v>
      </c>
      <c r="L16" s="35" t="n">
        <v>33941.4</v>
      </c>
      <c r="M16" s="35" t="n">
        <v>34611.41</v>
      </c>
      <c r="N16" s="36">
        <f>SUM(B16:M16)</f>
        <v/>
      </c>
      <c r="O16" s="37" t="n">
        <v>33098.55</v>
      </c>
      <c r="P16" s="37" t="n">
        <v>37530.83</v>
      </c>
      <c r="Q16" s="37" t="n">
        <v>38072.4</v>
      </c>
      <c r="R16" s="37" t="n">
        <v>42905.75</v>
      </c>
      <c r="S16" s="37" t="n">
        <v>44862.47</v>
      </c>
      <c r="T16" s="37" t="n">
        <v>42474.52</v>
      </c>
      <c r="U16" s="37" t="n">
        <v>44079.43</v>
      </c>
      <c r="V16" s="38" t="n">
        <v>44079.43</v>
      </c>
      <c r="W16" s="38" t="n">
        <v>44079.43</v>
      </c>
      <c r="X16" s="38" t="n">
        <v>44079.43</v>
      </c>
      <c r="Y16" s="38" t="n">
        <v>44079.43</v>
      </c>
      <c r="Z16" s="38" t="n">
        <v>44079.43</v>
      </c>
      <c r="AA16" s="36">
        <f>SUM(O16:U16)</f>
        <v/>
      </c>
      <c r="AB16" s="36">
        <f>SUM(O16:Z16)</f>
        <v/>
      </c>
      <c r="AC16" s="38" t="n">
        <v>44079.43</v>
      </c>
      <c r="AD16" s="38" t="n">
        <v>44079.43</v>
      </c>
      <c r="AE16" s="38" t="n">
        <v>44079.43</v>
      </c>
      <c r="AF16" s="38" t="n">
        <v>44079.43</v>
      </c>
      <c r="AG16" s="38" t="n">
        <v>44079.43</v>
      </c>
      <c r="AH16" s="38" t="n">
        <v>44079.43</v>
      </c>
      <c r="AI16" s="117" t="n">
        <v>44079.43</v>
      </c>
      <c r="AJ16" s="118" t="n">
        <v>44079.43</v>
      </c>
      <c r="AK16" s="118" t="n">
        <v>44079.43</v>
      </c>
      <c r="AL16" s="118" t="n">
        <v>44079.43</v>
      </c>
      <c r="AM16" s="119" t="n">
        <v>44079.43</v>
      </c>
      <c r="AN16" s="117" t="n">
        <v>44079.43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2200.8</v>
      </c>
      <c r="C17" s="35" t="n">
        <v>2181.6</v>
      </c>
      <c r="D17" s="35" t="n">
        <v>2265.66</v>
      </c>
      <c r="E17" s="35" t="n">
        <v>3434.81</v>
      </c>
      <c r="F17" s="35" t="n">
        <v>3452.56</v>
      </c>
      <c r="G17" s="35" t="n">
        <v>3639.83</v>
      </c>
      <c r="H17" s="35" t="n">
        <v>4034.6</v>
      </c>
      <c r="I17" s="35" t="n">
        <v>3525.03</v>
      </c>
      <c r="J17" s="35" t="n">
        <v>3409.27</v>
      </c>
      <c r="K17" s="35" t="n">
        <v>3148</v>
      </c>
      <c r="L17" s="35" t="n">
        <v>3079.55</v>
      </c>
      <c r="M17" s="35" t="n">
        <v>3438.39</v>
      </c>
      <c r="N17" s="36">
        <f>SUM(B17:M17)</f>
        <v/>
      </c>
      <c r="O17" s="37" t="n">
        <v>3146.95</v>
      </c>
      <c r="P17" s="37" t="n">
        <v>3574.88</v>
      </c>
      <c r="Q17" s="37" t="n">
        <v>3481.84</v>
      </c>
      <c r="R17" s="37" t="n">
        <v>3882.54</v>
      </c>
      <c r="S17" s="37" t="n">
        <v>4221.13</v>
      </c>
      <c r="T17" s="37" t="n">
        <v>4123.59</v>
      </c>
      <c r="U17" s="37" t="n">
        <v>4289.92</v>
      </c>
      <c r="V17" s="38" t="n">
        <v>4289.92</v>
      </c>
      <c r="W17" s="38" t="n">
        <v>4289.92</v>
      </c>
      <c r="X17" s="38" t="n">
        <v>4289.92</v>
      </c>
      <c r="Y17" s="38" t="n">
        <v>4289.92</v>
      </c>
      <c r="Z17" s="38" t="n">
        <v>4289.92</v>
      </c>
      <c r="AA17" s="36">
        <f>SUM(O17:U17)</f>
        <v/>
      </c>
      <c r="AB17" s="36">
        <f>SUM(O17:Z17)</f>
        <v/>
      </c>
      <c r="AC17" s="38" t="n">
        <v>4289.92</v>
      </c>
      <c r="AD17" s="38" t="n">
        <v>4289.92</v>
      </c>
      <c r="AE17" s="38" t="n">
        <v>4289.92</v>
      </c>
      <c r="AF17" s="38" t="n">
        <v>4289.92</v>
      </c>
      <c r="AG17" s="38" t="n">
        <v>4289.92</v>
      </c>
      <c r="AH17" s="38" t="n">
        <v>4289.92</v>
      </c>
      <c r="AI17" s="117" t="n">
        <v>4289.92</v>
      </c>
      <c r="AJ17" s="118" t="n">
        <v>4289.92</v>
      </c>
      <c r="AK17" s="118" t="n">
        <v>4289.92</v>
      </c>
      <c r="AL17" s="118" t="n">
        <v>4289.92</v>
      </c>
      <c r="AM17" s="119" t="n">
        <v>4289.92</v>
      </c>
      <c r="AN17" s="117" t="n">
        <v>4289.92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609.12</v>
      </c>
      <c r="C18" s="35" t="n">
        <v>604.7</v>
      </c>
      <c r="D18" s="35" t="n">
        <v>593.33</v>
      </c>
      <c r="E18" s="35" t="n">
        <v>633.2</v>
      </c>
      <c r="F18" s="35" t="n">
        <v>631.9</v>
      </c>
      <c r="G18" s="35" t="n">
        <v>716.47</v>
      </c>
      <c r="H18" s="35" t="n">
        <v>746.36</v>
      </c>
      <c r="I18" s="35" t="n">
        <v>648.61</v>
      </c>
      <c r="J18" s="35" t="n">
        <v>678.39</v>
      </c>
      <c r="K18" s="35" t="n">
        <v>624.58</v>
      </c>
      <c r="L18" s="35" t="n">
        <v>612.97</v>
      </c>
      <c r="M18" s="35" t="n">
        <v>624.6900000000001</v>
      </c>
      <c r="N18" s="36">
        <f>SUM(B18:M18)</f>
        <v/>
      </c>
      <c r="O18" s="37" t="n">
        <v>571.62</v>
      </c>
      <c r="P18" s="37" t="n">
        <v>534.23</v>
      </c>
      <c r="Q18" s="37" t="n">
        <v>534.37</v>
      </c>
      <c r="R18" s="37" t="n">
        <v>564.58</v>
      </c>
      <c r="S18" s="37" t="n">
        <v>653.95</v>
      </c>
      <c r="T18" s="37" t="n">
        <v>674.11</v>
      </c>
      <c r="U18" s="37" t="n">
        <v>706.29</v>
      </c>
      <c r="V18" s="38" t="n">
        <v>706.29</v>
      </c>
      <c r="W18" s="38" t="n">
        <v>706.29</v>
      </c>
      <c r="X18" s="38" t="n">
        <v>706.29</v>
      </c>
      <c r="Y18" s="38" t="n">
        <v>706.29</v>
      </c>
      <c r="Z18" s="38" t="n">
        <v>706.29</v>
      </c>
      <c r="AA18" s="36">
        <f>SUM(O18:U18)</f>
        <v/>
      </c>
      <c r="AB18" s="36">
        <f>SUM(O18:Z18)</f>
        <v/>
      </c>
      <c r="AC18" s="38" t="n">
        <v>706.29</v>
      </c>
      <c r="AD18" s="38" t="n">
        <v>706.29</v>
      </c>
      <c r="AE18" s="38" t="n">
        <v>706.29</v>
      </c>
      <c r="AF18" s="38" t="n">
        <v>706.29</v>
      </c>
      <c r="AG18" s="38" t="n">
        <v>706.29</v>
      </c>
      <c r="AH18" s="38" t="n">
        <v>706.29</v>
      </c>
      <c r="AI18" s="117" t="n">
        <v>706.29</v>
      </c>
      <c r="AJ18" s="118" t="n">
        <v>706.29</v>
      </c>
      <c r="AK18" s="118" t="n">
        <v>706.29</v>
      </c>
      <c r="AL18" s="118" t="n">
        <v>706.29</v>
      </c>
      <c r="AM18" s="119" t="n">
        <v>706.29</v>
      </c>
      <c r="AN18" s="117" t="n">
        <v>706.29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86.04000000000001</v>
      </c>
      <c r="C19" s="35" t="n">
        <v>0</v>
      </c>
      <c r="D19" s="35" t="n">
        <v>181.94</v>
      </c>
      <c r="E19" s="35" t="n">
        <v>0</v>
      </c>
      <c r="F19" s="35" t="n">
        <v>251.04</v>
      </c>
      <c r="G19" s="35" t="n">
        <v>85.92</v>
      </c>
      <c r="H19" s="35" t="n">
        <v>0</v>
      </c>
      <c r="I19" s="35" t="n">
        <v>0</v>
      </c>
      <c r="J19" s="35" t="n">
        <v>105.66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371.7</v>
      </c>
      <c r="P19" s="37" t="n">
        <v>98.81999999999999</v>
      </c>
      <c r="Q19" s="37" t="n">
        <v>0</v>
      </c>
      <c r="R19" s="37" t="n">
        <v>203.82</v>
      </c>
      <c r="S19" s="37" t="n">
        <v>98.81999999999999</v>
      </c>
      <c r="T19" s="37" t="n">
        <v>263.64</v>
      </c>
      <c r="U19" s="37" t="n">
        <v>100.81</v>
      </c>
      <c r="V19" s="38" t="n">
        <v>173</v>
      </c>
      <c r="W19" s="38" t="n">
        <v>173</v>
      </c>
      <c r="X19" s="38" t="n">
        <v>173</v>
      </c>
      <c r="Y19" s="38" t="n">
        <v>173</v>
      </c>
      <c r="Z19" s="38" t="n">
        <v>173</v>
      </c>
      <c r="AA19" s="36">
        <f>SUM(O19:U19)</f>
        <v/>
      </c>
      <c r="AB19" s="36">
        <f>SUM(O19:Z19)</f>
        <v/>
      </c>
      <c r="AC19" s="38" t="n">
        <v>173</v>
      </c>
      <c r="AD19" s="38" t="n">
        <v>173</v>
      </c>
      <c r="AE19" s="38" t="n">
        <v>173</v>
      </c>
      <c r="AF19" s="38" t="n">
        <v>173</v>
      </c>
      <c r="AG19" s="38" t="n">
        <v>173</v>
      </c>
      <c r="AH19" s="38" t="n">
        <v>173</v>
      </c>
      <c r="AI19" s="117" t="n">
        <v>173</v>
      </c>
      <c r="AJ19" s="118" t="n">
        <v>173</v>
      </c>
      <c r="AK19" s="118" t="n">
        <v>173</v>
      </c>
      <c r="AL19" s="118" t="n">
        <v>173</v>
      </c>
      <c r="AM19" s="119" t="n">
        <v>173</v>
      </c>
      <c r="AN19" s="117" t="n">
        <v>173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270</v>
      </c>
      <c r="C20" s="35" t="n">
        <v>66</v>
      </c>
      <c r="D20" s="35" t="n">
        <v>145</v>
      </c>
      <c r="E20" s="35" t="n">
        <v>29.43</v>
      </c>
      <c r="F20" s="35" t="n">
        <v>291.7</v>
      </c>
      <c r="G20" s="35" t="n">
        <v>0</v>
      </c>
      <c r="H20" s="35" t="n">
        <v>298.2</v>
      </c>
      <c r="I20" s="35" t="n">
        <v>0</v>
      </c>
      <c r="J20" s="35" t="n">
        <v>0</v>
      </c>
      <c r="K20" s="35" t="n">
        <v>123.5</v>
      </c>
      <c r="L20" s="35" t="n">
        <v>247.5</v>
      </c>
      <c r="M20" s="35" t="n">
        <v>176.67</v>
      </c>
      <c r="N20" s="36">
        <f>SUM(B20:M20)</f>
        <v/>
      </c>
      <c r="O20" s="37" t="n">
        <v>295.67</v>
      </c>
      <c r="P20" s="37" t="n">
        <v>29.94</v>
      </c>
      <c r="Q20" s="37" t="n">
        <v>177.97</v>
      </c>
      <c r="R20" s="37" t="n">
        <v>857.74</v>
      </c>
      <c r="S20" s="37" t="n">
        <v>106</v>
      </c>
      <c r="T20" s="37" t="n">
        <v>468.5</v>
      </c>
      <c r="U20" s="37" t="n">
        <v>579.1</v>
      </c>
      <c r="V20" s="38" t="n">
        <v>323</v>
      </c>
      <c r="W20" s="38" t="n">
        <v>323</v>
      </c>
      <c r="X20" s="38" t="n">
        <v>323</v>
      </c>
      <c r="Y20" s="38" t="n">
        <v>323</v>
      </c>
      <c r="Z20" s="38" t="n">
        <v>323</v>
      </c>
      <c r="AA20" s="36">
        <f>SUM(O20:U20)</f>
        <v/>
      </c>
      <c r="AB20" s="36">
        <f>SUM(O20:Z20)</f>
        <v/>
      </c>
      <c r="AC20" s="38" t="n">
        <v>323</v>
      </c>
      <c r="AD20" s="38" t="n">
        <v>323</v>
      </c>
      <c r="AE20" s="38" t="n">
        <v>323</v>
      </c>
      <c r="AF20" s="38" t="n">
        <v>323</v>
      </c>
      <c r="AG20" s="38" t="n">
        <v>323</v>
      </c>
      <c r="AH20" s="38" t="n">
        <v>323</v>
      </c>
      <c r="AI20" s="117" t="n">
        <v>323</v>
      </c>
      <c r="AJ20" s="118" t="n">
        <v>323</v>
      </c>
      <c r="AK20" s="118" t="n">
        <v>323</v>
      </c>
      <c r="AL20" s="118" t="n">
        <v>323</v>
      </c>
      <c r="AM20" s="119" t="n">
        <v>323</v>
      </c>
      <c r="AN20" s="117" t="n">
        <v>323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92.7</v>
      </c>
      <c r="C21" s="35" t="n">
        <v>249.13</v>
      </c>
      <c r="D21" s="35" t="n">
        <v>279.46</v>
      </c>
      <c r="E21" s="35" t="n">
        <v>346.01</v>
      </c>
      <c r="F21" s="35" t="n">
        <v>289.41</v>
      </c>
      <c r="G21" s="35" t="n">
        <v>78.06999999999999</v>
      </c>
      <c r="H21" s="35" t="n">
        <v>604.4200000000001</v>
      </c>
      <c r="I21" s="35" t="n">
        <v>209.95</v>
      </c>
      <c r="J21" s="35" t="n">
        <v>136.72</v>
      </c>
      <c r="K21" s="35" t="n">
        <v>248.7</v>
      </c>
      <c r="L21" s="35" t="n">
        <v>246.42</v>
      </c>
      <c r="M21" s="35" t="n">
        <v>79.21000000000001</v>
      </c>
      <c r="N21" s="36">
        <f>SUM(B21:M21)</f>
        <v/>
      </c>
      <c r="O21" s="37" t="n">
        <v>150.67</v>
      </c>
      <c r="P21" s="37" t="n">
        <v>252.42</v>
      </c>
      <c r="Q21" s="37" t="n">
        <v>238.57</v>
      </c>
      <c r="R21" s="37" t="n">
        <v>211.38</v>
      </c>
      <c r="S21" s="37" t="n">
        <v>213.69</v>
      </c>
      <c r="T21" s="37" t="n">
        <v>198.14</v>
      </c>
      <c r="U21" s="37" t="n">
        <v>358.37</v>
      </c>
      <c r="V21" s="38" t="n">
        <v>211</v>
      </c>
      <c r="W21" s="38" t="n">
        <v>211</v>
      </c>
      <c r="X21" s="38" t="n">
        <v>211</v>
      </c>
      <c r="Y21" s="38" t="n">
        <v>211</v>
      </c>
      <c r="Z21" s="38" t="n">
        <v>211</v>
      </c>
      <c r="AA21" s="36">
        <f>SUM(O21:U21)</f>
        <v/>
      </c>
      <c r="AB21" s="36">
        <f>SUM(O21:Z21)</f>
        <v/>
      </c>
      <c r="AC21" s="38" t="n">
        <v>211</v>
      </c>
      <c r="AD21" s="38" t="n">
        <v>211</v>
      </c>
      <c r="AE21" s="38" t="n">
        <v>211</v>
      </c>
      <c r="AF21" s="38" t="n">
        <v>211</v>
      </c>
      <c r="AG21" s="38" t="n">
        <v>211</v>
      </c>
      <c r="AH21" s="38" t="n">
        <v>211</v>
      </c>
      <c r="AI21" s="117" t="n">
        <v>211</v>
      </c>
      <c r="AJ21" s="118" t="n">
        <v>211</v>
      </c>
      <c r="AK21" s="118" t="n">
        <v>211</v>
      </c>
      <c r="AL21" s="118" t="n">
        <v>211</v>
      </c>
      <c r="AM21" s="119" t="n">
        <v>211</v>
      </c>
      <c r="AN21" s="117" t="n">
        <v>211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SUMIF('ABA TB'!$R:$R,'ABA P&amp;L'!$A22,'ABA TB'!C:C)</f>
        <v/>
      </c>
      <c r="P22" s="37">
        <f>SUMIF('ABA TB'!$R:$R,'ABA P&amp;L'!$A22,'ABA TB'!D:D)</f>
        <v/>
      </c>
      <c r="Q22" s="37">
        <f>SUMIF('ABA TB'!$R:$R,'ABA P&amp;L'!$A22,'ABA TB'!E:E)</f>
        <v/>
      </c>
      <c r="R22" s="37">
        <f>SUMIF('ABA TB'!$R:$R,'ABA P&amp;L'!$A22,'ABA TB'!F:F)</f>
        <v/>
      </c>
      <c r="S22" s="37">
        <f>SUMIF('ABA TB'!$R:$R,'ABA P&amp;L'!$A22,'ABA TB'!G:G)</f>
        <v/>
      </c>
      <c r="T22" s="37">
        <f>SUMIF('ABA TB'!$R:$R,'ABA P&amp;L'!$A22,'ABA TB'!H:H)</f>
        <v/>
      </c>
      <c r="U22" s="37">
        <f>SUMIF('ABA TB'!$R:$R,'ABA P&amp;L'!$A22,'ABA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330</v>
      </c>
      <c r="I23" s="35" t="n">
        <v>25</v>
      </c>
      <c r="J23" s="35" t="n">
        <v>0</v>
      </c>
      <c r="K23" s="35" t="n">
        <v>48.95</v>
      </c>
      <c r="L23" s="35" t="n">
        <v>21.64</v>
      </c>
      <c r="M23" s="35" t="n">
        <v>218.89</v>
      </c>
      <c r="N23" s="36">
        <f>SUM(B23:M23)</f>
        <v/>
      </c>
      <c r="O23" s="37" t="n">
        <v>106.69</v>
      </c>
      <c r="P23" s="37" t="n">
        <v>67.95999999999999</v>
      </c>
      <c r="Q23" s="37" t="n">
        <v>139.8</v>
      </c>
      <c r="R23" s="37" t="n">
        <v>111.47</v>
      </c>
      <c r="S23" s="37" t="n">
        <v>216.45</v>
      </c>
      <c r="T23" s="37" t="n">
        <v>83.25</v>
      </c>
      <c r="U23" s="37" t="n">
        <v>113.9</v>
      </c>
      <c r="V23" s="38" t="n">
        <v>121</v>
      </c>
      <c r="W23" s="38" t="n">
        <v>121</v>
      </c>
      <c r="X23" s="38" t="n">
        <v>121</v>
      </c>
      <c r="Y23" s="38" t="n">
        <v>121</v>
      </c>
      <c r="Z23" s="38" t="n">
        <v>121</v>
      </c>
      <c r="AA23" s="36">
        <f>SUM(O23:U23)</f>
        <v/>
      </c>
      <c r="AB23" s="36">
        <f>SUM(O23:Z23)</f>
        <v/>
      </c>
      <c r="AC23" s="38" t="n">
        <v>121</v>
      </c>
      <c r="AD23" s="38" t="n">
        <v>121</v>
      </c>
      <c r="AE23" s="38" t="n">
        <v>121</v>
      </c>
      <c r="AF23" s="38" t="n">
        <v>121</v>
      </c>
      <c r="AG23" s="38" t="n">
        <v>121</v>
      </c>
      <c r="AH23" s="38" t="n">
        <v>121</v>
      </c>
      <c r="AI23" s="117" t="n">
        <v>121</v>
      </c>
      <c r="AJ23" s="118" t="n">
        <v>121</v>
      </c>
      <c r="AK23" s="118" t="n">
        <v>121</v>
      </c>
      <c r="AL23" s="118" t="n">
        <v>121</v>
      </c>
      <c r="AM23" s="119" t="n">
        <v>121</v>
      </c>
      <c r="AN23" s="117" t="n">
        <v>121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SUMIF('ABA TB'!$R:$R,'ABA P&amp;L'!$A24,'ABA TB'!C:C)</f>
        <v/>
      </c>
      <c r="P24" s="37">
        <f>SUMIF('ABA TB'!$R:$R,'ABA P&amp;L'!$A24,'ABA TB'!D:D)</f>
        <v/>
      </c>
      <c r="Q24" s="37">
        <f>SUMIF('ABA TB'!$R:$R,'ABA P&amp;L'!$A24,'ABA TB'!E:E)</f>
        <v/>
      </c>
      <c r="R24" s="37">
        <f>SUMIF('ABA TB'!$R:$R,'ABA P&amp;L'!$A24,'ABA TB'!F:F)</f>
        <v/>
      </c>
      <c r="S24" s="37">
        <f>SUMIF('ABA TB'!$R:$R,'ABA P&amp;L'!$A24,'ABA TB'!G:G)</f>
        <v/>
      </c>
      <c r="T24" s="37">
        <f>SUMIF('ABA TB'!$R:$R,'ABA P&amp;L'!$A24,'ABA TB'!H:H)</f>
        <v/>
      </c>
      <c r="U24" s="37">
        <f>SUMIF('ABA TB'!$R:$R,'ABA P&amp;L'!$A24,'ABA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34574.8</v>
      </c>
      <c r="C25" s="42" t="n">
        <v>35374.13999999999</v>
      </c>
      <c r="D25" s="42" t="n">
        <v>36972.91</v>
      </c>
      <c r="E25" s="42" t="n">
        <v>40300.46999999999</v>
      </c>
      <c r="F25" s="42" t="n">
        <v>41216.68</v>
      </c>
      <c r="G25" s="42" t="n">
        <v>41525.89</v>
      </c>
      <c r="H25" s="42" t="n">
        <v>44824.91999999999</v>
      </c>
      <c r="I25" s="42" t="n">
        <v>40433.25</v>
      </c>
      <c r="J25" s="42" t="n">
        <v>40303.59</v>
      </c>
      <c r="K25" s="42" t="n">
        <v>38404.48</v>
      </c>
      <c r="L25" s="42" t="n">
        <v>38149.48</v>
      </c>
      <c r="M25" s="42" t="n">
        <v>39149.26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1524.48</v>
      </c>
      <c r="C27" s="35" t="n">
        <v>2122.3</v>
      </c>
      <c r="D27" s="35" t="n">
        <v>1998.39</v>
      </c>
      <c r="E27" s="35" t="n">
        <v>1391.12</v>
      </c>
      <c r="F27" s="35" t="n">
        <v>1821.4</v>
      </c>
      <c r="G27" s="35" t="n">
        <v>1831.3</v>
      </c>
      <c r="H27" s="35" t="n">
        <v>1657.01</v>
      </c>
      <c r="I27" s="35" t="n">
        <v>1141.58</v>
      </c>
      <c r="J27" s="35" t="n">
        <v>1605.26</v>
      </c>
      <c r="K27" s="35" t="n">
        <v>1538.28</v>
      </c>
      <c r="L27" s="35" t="n">
        <v>1760.83</v>
      </c>
      <c r="M27" s="35" t="n">
        <v>1172.25</v>
      </c>
      <c r="N27" s="36">
        <f>SUM(B27:M27)</f>
        <v/>
      </c>
      <c r="O27" s="37" t="n">
        <v>1508.1</v>
      </c>
      <c r="P27" s="37" t="n">
        <v>1785.93</v>
      </c>
      <c r="Q27" s="37" t="n">
        <v>1663.75</v>
      </c>
      <c r="R27" s="37" t="n">
        <v>1925.35</v>
      </c>
      <c r="S27" s="37" t="n">
        <v>1813.7</v>
      </c>
      <c r="T27" s="37" t="n">
        <v>2243.37</v>
      </c>
      <c r="U27" s="37" t="n">
        <v>1983.4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91.51000000000001</v>
      </c>
      <c r="C28" s="35" t="n">
        <v>452.3</v>
      </c>
      <c r="D28" s="35" t="n">
        <v>327.22</v>
      </c>
      <c r="E28" s="35" t="n">
        <v>103.6</v>
      </c>
      <c r="F28" s="35" t="n">
        <v>851.51</v>
      </c>
      <c r="G28" s="35" t="n">
        <v>37.37</v>
      </c>
      <c r="H28" s="35" t="n">
        <v>2634.18</v>
      </c>
      <c r="I28" s="35" t="n">
        <v>1272.86</v>
      </c>
      <c r="J28" s="35" t="n">
        <v>-132.59</v>
      </c>
      <c r="K28" s="35" t="n">
        <v>313.94</v>
      </c>
      <c r="L28" s="35" t="n">
        <v>334.54</v>
      </c>
      <c r="M28" s="35" t="n">
        <v>543.5300000000001</v>
      </c>
      <c r="N28" s="36">
        <f>SUM(B28:M28)</f>
        <v/>
      </c>
      <c r="O28" s="37" t="n">
        <v>100.23</v>
      </c>
      <c r="P28" s="37" t="n">
        <v>133.83</v>
      </c>
      <c r="Q28" s="37" t="n">
        <v>501.26</v>
      </c>
      <c r="R28" s="37" t="n">
        <v>235.26</v>
      </c>
      <c r="S28" s="37" t="n">
        <v>513.5799999999999</v>
      </c>
      <c r="T28" s="37" t="n">
        <v>239.97</v>
      </c>
      <c r="U28" s="37" t="n">
        <v>555.6700000000001</v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117" t="n">
        <v>100</v>
      </c>
      <c r="AJ28" s="118" t="n">
        <v>100</v>
      </c>
      <c r="AK28" s="118" t="n">
        <v>100</v>
      </c>
      <c r="AL28" s="118" t="n">
        <v>100</v>
      </c>
      <c r="AM28" s="119" t="n">
        <v>100</v>
      </c>
      <c r="AN28" s="117" t="n">
        <v>100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167.72</v>
      </c>
      <c r="C29" s="35" t="n">
        <v>267.24</v>
      </c>
      <c r="D29" s="35" t="n">
        <v>282.45</v>
      </c>
      <c r="E29" s="35" t="n">
        <v>372.05</v>
      </c>
      <c r="F29" s="35" t="n">
        <v>127.92</v>
      </c>
      <c r="G29" s="35" t="n">
        <v>246.37</v>
      </c>
      <c r="H29" s="35" t="n">
        <v>201.14</v>
      </c>
      <c r="I29" s="35" t="n">
        <v>0</v>
      </c>
      <c r="J29" s="35" t="n">
        <v>147.48</v>
      </c>
      <c r="K29" s="35" t="n">
        <v>112.1</v>
      </c>
      <c r="L29" s="35" t="n">
        <v>485.16</v>
      </c>
      <c r="M29" s="35" t="n">
        <v>67.34</v>
      </c>
      <c r="N29" s="36">
        <f>SUM(B29:M29)</f>
        <v/>
      </c>
      <c r="O29" s="37" t="n">
        <v>303.04</v>
      </c>
      <c r="P29" s="37" t="n">
        <v>223.68</v>
      </c>
      <c r="Q29" s="37" t="n">
        <v>252.26</v>
      </c>
      <c r="R29" s="37" t="n">
        <v>79.11</v>
      </c>
      <c r="S29" s="37" t="n">
        <v>149.63</v>
      </c>
      <c r="T29" s="37" t="n">
        <v>291.66</v>
      </c>
      <c r="U29" s="37" t="n">
        <v>81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94.15000000000001</v>
      </c>
      <c r="C30" s="35" t="n">
        <v>42.29</v>
      </c>
      <c r="D30" s="35" t="n">
        <v>57.79</v>
      </c>
      <c r="E30" s="35" t="n">
        <v>75.59</v>
      </c>
      <c r="F30" s="35" t="n">
        <v>44.53</v>
      </c>
      <c r="G30" s="35" t="n">
        <v>83.44999999999999</v>
      </c>
      <c r="H30" s="35" t="n">
        <v>34.42</v>
      </c>
      <c r="I30" s="35" t="n">
        <v>28.37</v>
      </c>
      <c r="J30" s="35" t="n">
        <v>31.5</v>
      </c>
      <c r="K30" s="35" t="n">
        <v>12.34</v>
      </c>
      <c r="L30" s="35" t="n">
        <v>338.1</v>
      </c>
      <c r="M30" s="35" t="n">
        <v>33.94</v>
      </c>
      <c r="N30" s="36">
        <f>SUM(B30:M30)</f>
        <v/>
      </c>
      <c r="O30" s="37" t="n">
        <v>168.45</v>
      </c>
      <c r="P30" s="37" t="n">
        <v>260.32</v>
      </c>
      <c r="Q30" s="37" t="n">
        <v>107.71</v>
      </c>
      <c r="R30" s="37" t="n">
        <v>152.41</v>
      </c>
      <c r="S30" s="37" t="n">
        <v>36.04</v>
      </c>
      <c r="T30" s="37" t="n">
        <v>155.55</v>
      </c>
      <c r="U30" s="37" t="n">
        <v>55.27</v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7" t="n">
        <v>100</v>
      </c>
      <c r="AJ30" s="118" t="n">
        <v>100</v>
      </c>
      <c r="AK30" s="118" t="n">
        <v>100</v>
      </c>
      <c r="AL30" s="118" t="n">
        <v>100</v>
      </c>
      <c r="AM30" s="119" t="n">
        <v>100</v>
      </c>
      <c r="AN30" s="117" t="n">
        <v>100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189.9</v>
      </c>
      <c r="C31" s="35" t="n">
        <v>131.91</v>
      </c>
      <c r="D31" s="35" t="n">
        <v>63.11000000000001</v>
      </c>
      <c r="E31" s="35" t="n">
        <v>17.99</v>
      </c>
      <c r="F31" s="35" t="n">
        <v>140.72</v>
      </c>
      <c r="G31" s="35" t="n">
        <v>671.26</v>
      </c>
      <c r="H31" s="35" t="n">
        <v>453.3</v>
      </c>
      <c r="I31" s="35" t="n">
        <v>32.21</v>
      </c>
      <c r="J31" s="35" t="n">
        <v>25.47</v>
      </c>
      <c r="K31" s="35" t="n">
        <v>59.66</v>
      </c>
      <c r="L31" s="35" t="n">
        <v>94.7</v>
      </c>
      <c r="M31" s="35" t="n">
        <v>57.97</v>
      </c>
      <c r="N31" s="36">
        <f>SUM(B31:M31)</f>
        <v/>
      </c>
      <c r="O31" s="37" t="n">
        <v>275.4</v>
      </c>
      <c r="P31" s="37" t="n">
        <v>107.01</v>
      </c>
      <c r="Q31" s="37" t="n">
        <v>152.55</v>
      </c>
      <c r="R31" s="37" t="n">
        <v>51.51</v>
      </c>
      <c r="S31" s="37" t="n">
        <v>816.79</v>
      </c>
      <c r="T31" s="37" t="n">
        <v>427.2</v>
      </c>
      <c r="U31" s="37" t="n">
        <v>120.7</v>
      </c>
      <c r="V31" s="38" t="n">
        <v>100</v>
      </c>
      <c r="W31" s="38" t="n">
        <v>100</v>
      </c>
      <c r="X31" s="38" t="n">
        <v>100</v>
      </c>
      <c r="Y31" s="38" t="n">
        <v>100</v>
      </c>
      <c r="Z31" s="38" t="n">
        <v>100</v>
      </c>
      <c r="AA31" s="36">
        <f>SUM(O31:U31)</f>
        <v/>
      </c>
      <c r="AB31" s="36">
        <f>SUM(O31:Z31)</f>
        <v/>
      </c>
      <c r="AC31" s="38" t="n">
        <v>100</v>
      </c>
      <c r="AD31" s="38" t="n">
        <v>100</v>
      </c>
      <c r="AE31" s="38" t="n">
        <v>100</v>
      </c>
      <c r="AF31" s="38" t="n">
        <v>100</v>
      </c>
      <c r="AG31" s="38" t="n">
        <v>100</v>
      </c>
      <c r="AH31" s="38" t="n">
        <v>100</v>
      </c>
      <c r="AI31" s="117" t="n">
        <v>100</v>
      </c>
      <c r="AJ31" s="118" t="n">
        <v>100</v>
      </c>
      <c r="AK31" s="118" t="n">
        <v>100</v>
      </c>
      <c r="AL31" s="118" t="n">
        <v>100</v>
      </c>
      <c r="AM31" s="119" t="n">
        <v>100</v>
      </c>
      <c r="AN31" s="117" t="n">
        <v>100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108.66</v>
      </c>
      <c r="C32" s="35" t="n">
        <v>143.33</v>
      </c>
      <c r="D32" s="35" t="n">
        <v>173.25</v>
      </c>
      <c r="E32" s="35" t="n">
        <v>189.42</v>
      </c>
      <c r="F32" s="35" t="n">
        <v>189.15</v>
      </c>
      <c r="G32" s="35" t="n">
        <v>733.62</v>
      </c>
      <c r="H32" s="35" t="n">
        <v>261.65</v>
      </c>
      <c r="I32" s="35" t="n">
        <v>249.18</v>
      </c>
      <c r="J32" s="35" t="n">
        <v>157.52</v>
      </c>
      <c r="K32" s="35" t="n">
        <v>314.47</v>
      </c>
      <c r="L32" s="35" t="n">
        <v>283.95</v>
      </c>
      <c r="M32" s="35" t="n">
        <v>206.52</v>
      </c>
      <c r="N32" s="36">
        <f>SUM(B32:M32)</f>
        <v/>
      </c>
      <c r="O32" s="37" t="n">
        <v>382.52</v>
      </c>
      <c r="P32" s="37" t="n">
        <v>459.73</v>
      </c>
      <c r="Q32" s="37" t="n">
        <v>663.4499999999999</v>
      </c>
      <c r="R32" s="37" t="n">
        <v>360.23</v>
      </c>
      <c r="S32" s="37" t="n">
        <v>640.16</v>
      </c>
      <c r="T32" s="37" t="n">
        <v>717.62</v>
      </c>
      <c r="U32" s="37" t="n">
        <v>558.66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SUMIF('ABA TB'!$R:$R,'ABA P&amp;L'!$A33,'ABA TB'!C:C)</f>
        <v/>
      </c>
      <c r="P33" s="37">
        <f>SUMIF('ABA TB'!$R:$R,'ABA P&amp;L'!$A33,'ABA TB'!D:D)</f>
        <v/>
      </c>
      <c r="Q33" s="37">
        <f>SUMIF('ABA TB'!$R:$R,'ABA P&amp;L'!$A33,'ABA TB'!E:E)</f>
        <v/>
      </c>
      <c r="R33" s="37">
        <f>SUMIF('ABA TB'!$R:$R,'ABA P&amp;L'!$A33,'ABA TB'!F:F)</f>
        <v/>
      </c>
      <c r="S33" s="37">
        <f>SUMIF('ABA TB'!$R:$R,'ABA P&amp;L'!$A33,'ABA TB'!G:G)</f>
        <v/>
      </c>
      <c r="T33" s="37">
        <f>SUMIF('ABA TB'!$R:$R,'ABA P&amp;L'!$A33,'ABA TB'!H:H)</f>
        <v/>
      </c>
      <c r="U33" s="37">
        <f>SUMIF('ABA TB'!$R:$R,'ABA P&amp;L'!$A33,'ABA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2176.42</v>
      </c>
      <c r="C34" s="42" t="n">
        <v>3159.37</v>
      </c>
      <c r="D34" s="42" t="n">
        <v>2902.21</v>
      </c>
      <c r="E34" s="42" t="n">
        <v>2149.77</v>
      </c>
      <c r="F34" s="42" t="n">
        <v>3175.23</v>
      </c>
      <c r="G34" s="42" t="n">
        <v>3603.37</v>
      </c>
      <c r="H34" s="42" t="n">
        <v>5241.700000000001</v>
      </c>
      <c r="I34" s="42" t="n">
        <v>2724.2</v>
      </c>
      <c r="J34" s="42" t="n">
        <v>1834.64</v>
      </c>
      <c r="K34" s="42" t="n">
        <v>2350.79</v>
      </c>
      <c r="L34" s="42" t="n">
        <v>3297.279999999999</v>
      </c>
      <c r="M34" s="42" t="n">
        <v>2081.55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SUMIF('ABA TB'!$R:$R,'ABA P&amp;L'!$A36,'ABA TB'!C:C)</f>
        <v/>
      </c>
      <c r="P36" s="37">
        <f>SUMIF('ABA TB'!$R:$R,'ABA P&amp;L'!$A36,'ABA TB'!D:D)</f>
        <v/>
      </c>
      <c r="Q36" s="37">
        <f>SUMIF('ABA TB'!$R:$R,'ABA P&amp;L'!$A36,'ABA TB'!E:E)</f>
        <v/>
      </c>
      <c r="R36" s="37">
        <f>SUMIF('ABA TB'!$R:$R,'ABA P&amp;L'!$A36,'ABA TB'!F:F)</f>
        <v/>
      </c>
      <c r="S36" s="37">
        <f>SUMIF('ABA TB'!$R:$R,'ABA P&amp;L'!$A36,'ABA TB'!G:G)</f>
        <v/>
      </c>
      <c r="T36" s="37">
        <f>SUMIF('ABA TB'!$R:$R,'ABA P&amp;L'!$A36,'ABA TB'!H:H)</f>
        <v/>
      </c>
      <c r="U36" s="37">
        <f>SUMIF('ABA TB'!$R:$R,'ABA P&amp;L'!$A36,'ABA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1704.92</v>
      </c>
      <c r="C37" s="35" t="n">
        <v>1704.92</v>
      </c>
      <c r="D37" s="35" t="n">
        <v>1704.92</v>
      </c>
      <c r="E37" s="35" t="n">
        <v>1704.92</v>
      </c>
      <c r="F37" s="35" t="n">
        <v>1704.92</v>
      </c>
      <c r="G37" s="35" t="n">
        <v>1704.92</v>
      </c>
      <c r="H37" s="35" t="n">
        <v>1704.92</v>
      </c>
      <c r="I37" s="35" t="n">
        <v>1704.92</v>
      </c>
      <c r="J37" s="35" t="n">
        <v>1704.92</v>
      </c>
      <c r="K37" s="35" t="n">
        <v>1704.92</v>
      </c>
      <c r="L37" s="35" t="n">
        <v>1704.92</v>
      </c>
      <c r="M37" s="35" t="n">
        <v>1704.92</v>
      </c>
      <c r="N37" s="36">
        <f>SUM(B37:M37)</f>
        <v/>
      </c>
      <c r="O37" s="37" t="n">
        <v>1704.91</v>
      </c>
      <c r="P37" s="37" t="n">
        <v>1704.91</v>
      </c>
      <c r="Q37" s="37" t="n">
        <v>1704.9</v>
      </c>
      <c r="R37" s="37" t="n">
        <v>1823.25</v>
      </c>
      <c r="S37" s="37" t="n">
        <v>1823.25</v>
      </c>
      <c r="T37" s="37" t="n">
        <v>1823.25</v>
      </c>
      <c r="U37" s="37" t="n">
        <v>1823.25</v>
      </c>
      <c r="V37" s="38" t="n">
        <v>1823.25</v>
      </c>
      <c r="W37" s="38" t="n">
        <v>1823.25</v>
      </c>
      <c r="X37" s="38" t="n">
        <v>1823.25</v>
      </c>
      <c r="Y37" s="38" t="n">
        <v>1823.25</v>
      </c>
      <c r="Z37" s="38" t="n">
        <v>1823.25</v>
      </c>
      <c r="AA37" s="36">
        <f>SUM(O37:U37)</f>
        <v/>
      </c>
      <c r="AB37" s="36">
        <f>SUM(O37:Z37)</f>
        <v/>
      </c>
      <c r="AC37" s="38" t="n">
        <v>1823.25</v>
      </c>
      <c r="AD37" s="38" t="n">
        <v>1823.25</v>
      </c>
      <c r="AE37" s="38" t="n">
        <v>1823.25</v>
      </c>
      <c r="AF37" s="38" t="n">
        <v>1823.25</v>
      </c>
      <c r="AG37" s="38" t="n">
        <v>1823.25</v>
      </c>
      <c r="AH37" s="38" t="n">
        <v>1823.25</v>
      </c>
      <c r="AI37" s="117" t="n">
        <v>1823.25</v>
      </c>
      <c r="AJ37" s="118" t="n">
        <v>1823.25</v>
      </c>
      <c r="AK37" s="118" t="n">
        <v>1823.25</v>
      </c>
      <c r="AL37" s="118" t="n">
        <v>1823.25</v>
      </c>
      <c r="AM37" s="119" t="n">
        <v>1823.25</v>
      </c>
      <c r="AN37" s="117" t="n">
        <v>1823.25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895.97</v>
      </c>
      <c r="C38" s="35" t="n">
        <v>27.47</v>
      </c>
      <c r="D38" s="35" t="n">
        <v>1315.56</v>
      </c>
      <c r="E38" s="35" t="n">
        <v>712.0700000000001</v>
      </c>
      <c r="F38" s="35" t="n">
        <v>4544.52</v>
      </c>
      <c r="G38" s="35" t="n">
        <v>684.5699999999999</v>
      </c>
      <c r="H38" s="35" t="n">
        <v>627.64</v>
      </c>
      <c r="I38" s="35" t="n">
        <v>514.1999999999999</v>
      </c>
      <c r="J38" s="35" t="n">
        <v>-607.48</v>
      </c>
      <c r="K38" s="35" t="n">
        <v>4237.07</v>
      </c>
      <c r="L38" s="35" t="n">
        <v>769.03</v>
      </c>
      <c r="M38" s="35" t="n">
        <v>2369.66</v>
      </c>
      <c r="N38" s="36">
        <f>SUM(B38:M38)</f>
        <v/>
      </c>
      <c r="O38" s="37" t="n">
        <v>899.4200000000001</v>
      </c>
      <c r="P38" s="37" t="n">
        <v>3128.63</v>
      </c>
      <c r="Q38" s="37" t="n">
        <v>1798.29</v>
      </c>
      <c r="R38" s="37" t="n">
        <v>1482.2</v>
      </c>
      <c r="S38" s="37" t="n">
        <v>906.4300000000001</v>
      </c>
      <c r="T38" s="37" t="n">
        <v>319.8099999999999</v>
      </c>
      <c r="U38" s="37" t="n">
        <v>724.03</v>
      </c>
      <c r="V38" s="38" t="n">
        <v>1429</v>
      </c>
      <c r="W38" s="38" t="n">
        <v>1429</v>
      </c>
      <c r="X38" s="38" t="n">
        <v>1429</v>
      </c>
      <c r="Y38" s="38" t="n">
        <v>1429</v>
      </c>
      <c r="Z38" s="38" t="n">
        <v>1429</v>
      </c>
      <c r="AA38" s="36">
        <f>SUM(O38:U38)</f>
        <v/>
      </c>
      <c r="AB38" s="36">
        <f>SUM(O38:Z38)</f>
        <v/>
      </c>
      <c r="AC38" s="38" t="n">
        <v>1429</v>
      </c>
      <c r="AD38" s="38" t="n">
        <v>1429</v>
      </c>
      <c r="AE38" s="38" t="n">
        <v>1429</v>
      </c>
      <c r="AF38" s="38" t="n">
        <v>1429</v>
      </c>
      <c r="AG38" s="38" t="n">
        <v>1429</v>
      </c>
      <c r="AH38" s="38" t="n">
        <v>1429</v>
      </c>
      <c r="AI38" s="117" t="n">
        <v>1429</v>
      </c>
      <c r="AJ38" s="118" t="n">
        <v>1429</v>
      </c>
      <c r="AK38" s="118" t="n">
        <v>1429</v>
      </c>
      <c r="AL38" s="118" t="n">
        <v>1429</v>
      </c>
      <c r="AM38" s="119" t="n">
        <v>1429</v>
      </c>
      <c r="AN38" s="117" t="n">
        <v>1429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46.95</v>
      </c>
      <c r="C39" s="35" t="n">
        <v>4832.910000000001</v>
      </c>
      <c r="D39" s="35" t="n">
        <v>603.49</v>
      </c>
      <c r="E39" s="35" t="n">
        <v>179.64</v>
      </c>
      <c r="F39" s="35" t="n">
        <v>504.08</v>
      </c>
      <c r="G39" s="35" t="n">
        <v>1430</v>
      </c>
      <c r="H39" s="35" t="n">
        <v>0</v>
      </c>
      <c r="I39" s="35" t="n">
        <v>5.99</v>
      </c>
      <c r="J39" s="35" t="n">
        <v>14</v>
      </c>
      <c r="K39" s="35" t="n">
        <v>0</v>
      </c>
      <c r="L39" s="35" t="n">
        <v>55.29</v>
      </c>
      <c r="M39" s="35" t="n">
        <v>225.21</v>
      </c>
      <c r="N39" s="36">
        <f>SUM(B39:M39)</f>
        <v/>
      </c>
      <c r="O39" s="37" t="n">
        <v>0</v>
      </c>
      <c r="P39" s="37" t="n">
        <v>57.06</v>
      </c>
      <c r="Q39" s="37" t="n">
        <v>9.140000000000001</v>
      </c>
      <c r="R39" s="37" t="n">
        <v>10.19</v>
      </c>
      <c r="S39" s="37" t="n">
        <v>141.97</v>
      </c>
      <c r="T39" s="37" t="n">
        <v>150.64</v>
      </c>
      <c r="U39" s="37" t="n">
        <v>415.34</v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1610.41</v>
      </c>
      <c r="C40" s="35" t="n">
        <v>1341.28</v>
      </c>
      <c r="D40" s="35" t="n">
        <v>618.85</v>
      </c>
      <c r="E40" s="35" t="n">
        <v>1357.49</v>
      </c>
      <c r="F40" s="35" t="n">
        <v>1371.67</v>
      </c>
      <c r="G40" s="35" t="n">
        <v>703.42</v>
      </c>
      <c r="H40" s="35" t="n">
        <v>477.23</v>
      </c>
      <c r="I40" s="35" t="n">
        <v>1549.67</v>
      </c>
      <c r="J40" s="35" t="n">
        <v>1414.78</v>
      </c>
      <c r="K40" s="35" t="n">
        <v>1644.37</v>
      </c>
      <c r="L40" s="35" t="n">
        <v>1432.79</v>
      </c>
      <c r="M40" s="35" t="n">
        <v>1367.21</v>
      </c>
      <c r="N40" s="36">
        <f>SUM(B40:M40)</f>
        <v/>
      </c>
      <c r="O40" s="37" t="n">
        <v>1432.83</v>
      </c>
      <c r="P40" s="37" t="n">
        <v>1526.79</v>
      </c>
      <c r="Q40" s="37" t="n">
        <v>1392.29</v>
      </c>
      <c r="R40" s="37" t="n">
        <v>1387.82</v>
      </c>
      <c r="S40" s="37" t="n">
        <v>235.62</v>
      </c>
      <c r="T40" s="37" t="n">
        <v>321.0700000000001</v>
      </c>
      <c r="U40" s="37" t="n">
        <v>332.24</v>
      </c>
      <c r="V40" s="38" t="n">
        <v>400</v>
      </c>
      <c r="W40" s="38" t="n">
        <v>400</v>
      </c>
      <c r="X40" s="38" t="n">
        <v>400</v>
      </c>
      <c r="Y40" s="38" t="n">
        <v>400</v>
      </c>
      <c r="Z40" s="38" t="n">
        <v>400</v>
      </c>
      <c r="AA40" s="36">
        <f>SUM(O40:U40)</f>
        <v/>
      </c>
      <c r="AB40" s="36">
        <f>SUM(O40:Z40)</f>
        <v/>
      </c>
      <c r="AC40" s="38" t="n">
        <v>400</v>
      </c>
      <c r="AD40" s="38" t="n">
        <v>400</v>
      </c>
      <c r="AE40" s="38" t="n">
        <v>400</v>
      </c>
      <c r="AF40" s="38" t="n">
        <v>400</v>
      </c>
      <c r="AG40" s="38" t="n">
        <v>400</v>
      </c>
      <c r="AH40" s="38" t="n">
        <v>400</v>
      </c>
      <c r="AI40" s="117" t="n">
        <v>400</v>
      </c>
      <c r="AJ40" s="118" t="n">
        <v>400</v>
      </c>
      <c r="AK40" s="118" t="n">
        <v>400</v>
      </c>
      <c r="AL40" s="118" t="n">
        <v>400</v>
      </c>
      <c r="AM40" s="119" t="n">
        <v>400</v>
      </c>
      <c r="AN40" s="117" t="n">
        <v>400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384.51</v>
      </c>
      <c r="C41" s="35" t="n">
        <v>339.51</v>
      </c>
      <c r="D41" s="35" t="n">
        <v>605.71</v>
      </c>
      <c r="E41" s="35" t="n">
        <v>354.44</v>
      </c>
      <c r="F41" s="35" t="n">
        <v>460.6900000000001</v>
      </c>
      <c r="G41" s="35" t="n">
        <v>328.31</v>
      </c>
      <c r="H41" s="35" t="n">
        <v>432.13</v>
      </c>
      <c r="I41" s="35" t="n">
        <v>328.31</v>
      </c>
      <c r="J41" s="35" t="n">
        <v>474.42</v>
      </c>
      <c r="K41" s="35" t="n">
        <v>328.32</v>
      </c>
      <c r="L41" s="35" t="n">
        <v>445.29</v>
      </c>
      <c r="M41" s="35" t="n">
        <v>381.72</v>
      </c>
      <c r="N41" s="36">
        <f>SUM(B41:M41)</f>
        <v/>
      </c>
      <c r="O41" s="37" t="n">
        <v>335.82</v>
      </c>
      <c r="P41" s="37" t="n">
        <v>454.31</v>
      </c>
      <c r="Q41" s="37" t="n">
        <v>484.3</v>
      </c>
      <c r="R41" s="37" t="n">
        <v>586.95</v>
      </c>
      <c r="S41" s="37" t="n">
        <v>531.72</v>
      </c>
      <c r="T41" s="37" t="n">
        <v>247.26</v>
      </c>
      <c r="U41" s="37" t="n">
        <v>599.6500000000001</v>
      </c>
      <c r="V41" s="38" t="n">
        <v>400</v>
      </c>
      <c r="W41" s="38" t="n">
        <v>400</v>
      </c>
      <c r="X41" s="38" t="n">
        <v>400</v>
      </c>
      <c r="Y41" s="38" t="n">
        <v>400</v>
      </c>
      <c r="Z41" s="38" t="n">
        <v>400</v>
      </c>
      <c r="AA41" s="36">
        <f>SUM(O41:U41)</f>
        <v/>
      </c>
      <c r="AB41" s="36">
        <f>SUM(O41:Z41)</f>
        <v/>
      </c>
      <c r="AC41" s="38" t="n">
        <v>400</v>
      </c>
      <c r="AD41" s="38" t="n">
        <v>400</v>
      </c>
      <c r="AE41" s="38" t="n">
        <v>400</v>
      </c>
      <c r="AF41" s="38" t="n">
        <v>400</v>
      </c>
      <c r="AG41" s="38" t="n">
        <v>400</v>
      </c>
      <c r="AH41" s="38" t="n">
        <v>400</v>
      </c>
      <c r="AI41" s="117" t="n">
        <v>400</v>
      </c>
      <c r="AJ41" s="118" t="n">
        <v>400</v>
      </c>
      <c r="AK41" s="118" t="n">
        <v>400</v>
      </c>
      <c r="AL41" s="118" t="n">
        <v>400</v>
      </c>
      <c r="AM41" s="119" t="n">
        <v>400</v>
      </c>
      <c r="AN41" s="117" t="n">
        <v>400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137.34</v>
      </c>
      <c r="C42" s="35" t="n">
        <v>73.97</v>
      </c>
      <c r="D42" s="35" t="n">
        <v>80.18000000000001</v>
      </c>
      <c r="E42" s="35" t="n">
        <v>84.22999999999999</v>
      </c>
      <c r="F42" s="35" t="n">
        <v>71.16</v>
      </c>
      <c r="G42" s="35" t="n">
        <v>66.28</v>
      </c>
      <c r="H42" s="35" t="n">
        <v>105.45</v>
      </c>
      <c r="I42" s="35" t="n">
        <v>71.08</v>
      </c>
      <c r="J42" s="35" t="n">
        <v>92.42</v>
      </c>
      <c r="K42" s="35" t="n">
        <v>81.83</v>
      </c>
      <c r="L42" s="35" t="n">
        <v>67.48999999999999</v>
      </c>
      <c r="M42" s="35" t="n">
        <v>78.18000000000001</v>
      </c>
      <c r="N42" s="36">
        <f>SUM(B42:M42)</f>
        <v/>
      </c>
      <c r="O42" s="37" t="n">
        <v>56.7</v>
      </c>
      <c r="P42" s="37" t="n">
        <v>92.7</v>
      </c>
      <c r="Q42" s="37" t="n">
        <v>63.53</v>
      </c>
      <c r="R42" s="37" t="n">
        <v>87.16</v>
      </c>
      <c r="S42" s="37" t="n">
        <v>87.41</v>
      </c>
      <c r="T42" s="37" t="n">
        <v>180.51</v>
      </c>
      <c r="U42" s="37" t="n">
        <v>100.82</v>
      </c>
      <c r="V42" s="38" t="n">
        <v>106</v>
      </c>
      <c r="W42" s="38" t="n">
        <v>106</v>
      </c>
      <c r="X42" s="38" t="n">
        <v>106</v>
      </c>
      <c r="Y42" s="38" t="n">
        <v>106</v>
      </c>
      <c r="Z42" s="38" t="n">
        <v>106</v>
      </c>
      <c r="AA42" s="36">
        <f>SUM(O42:U42)</f>
        <v/>
      </c>
      <c r="AB42" s="36">
        <f>SUM(O42:Z42)</f>
        <v/>
      </c>
      <c r="AC42" s="38" t="n">
        <v>106</v>
      </c>
      <c r="AD42" s="38" t="n">
        <v>106</v>
      </c>
      <c r="AE42" s="38" t="n">
        <v>106</v>
      </c>
      <c r="AF42" s="38" t="n">
        <v>106</v>
      </c>
      <c r="AG42" s="38" t="n">
        <v>106</v>
      </c>
      <c r="AH42" s="38" t="n">
        <v>106</v>
      </c>
      <c r="AI42" s="117" t="n">
        <v>106</v>
      </c>
      <c r="AJ42" s="118" t="n">
        <v>106</v>
      </c>
      <c r="AK42" s="118" t="n">
        <v>106</v>
      </c>
      <c r="AL42" s="118" t="n">
        <v>106</v>
      </c>
      <c r="AM42" s="119" t="n">
        <v>106</v>
      </c>
      <c r="AN42" s="117" t="n">
        <v>106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0</v>
      </c>
      <c r="Q43" s="37" t="n">
        <v>390</v>
      </c>
      <c r="R43" s="37" t="n">
        <v>0</v>
      </c>
      <c r="S43" s="37" t="n">
        <v>0</v>
      </c>
      <c r="T43" s="37" t="n">
        <v>0</v>
      </c>
      <c r="U43" s="37" t="n">
        <v>0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SUMIF('ABA TB'!$R:$R,'ABA P&amp;L'!$A44,'ABA TB'!C:C)</f>
        <v/>
      </c>
      <c r="P44" s="37">
        <f>SUMIF('ABA TB'!$R:$R,'ABA P&amp;L'!$A44,'ABA TB'!D:D)</f>
        <v/>
      </c>
      <c r="Q44" s="37">
        <f>SUMIF('ABA TB'!$R:$R,'ABA P&amp;L'!$A44,'ABA TB'!E:E)</f>
        <v/>
      </c>
      <c r="R44" s="37">
        <f>SUMIF('ABA TB'!$R:$R,'ABA P&amp;L'!$A44,'ABA TB'!F:F)</f>
        <v/>
      </c>
      <c r="S44" s="37">
        <f>SUMIF('ABA TB'!$R:$R,'ABA P&amp;L'!$A44,'ABA TB'!G:G)</f>
        <v/>
      </c>
      <c r="T44" s="37">
        <f>SUMIF('ABA TB'!$R:$R,'ABA P&amp;L'!$A44,'ABA TB'!H:H)</f>
        <v/>
      </c>
      <c r="U44" s="37">
        <f>SUMIF('ABA TB'!$R:$R,'ABA P&amp;L'!$A44,'ABA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588.8100000000001</v>
      </c>
      <c r="E45" s="35" t="n">
        <v>0</v>
      </c>
      <c r="F45" s="35" t="n">
        <v>0</v>
      </c>
      <c r="G45" s="35" t="n">
        <v>45</v>
      </c>
      <c r="H45" s="35" t="n">
        <v>0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135</v>
      </c>
      <c r="P45" s="37" t="n">
        <v>0</v>
      </c>
      <c r="Q45" s="37" t="n">
        <v>0</v>
      </c>
      <c r="R45" s="37" t="n">
        <v>147</v>
      </c>
      <c r="S45" s="37" t="n">
        <v>6.99</v>
      </c>
      <c r="T45" s="37" t="n">
        <v>220</v>
      </c>
      <c r="U45" s="37" t="n">
        <v>0</v>
      </c>
      <c r="V45" s="38" t="n">
        <v>106</v>
      </c>
      <c r="W45" s="38" t="n">
        <v>106</v>
      </c>
      <c r="X45" s="38" t="n">
        <v>106</v>
      </c>
      <c r="Y45" s="38" t="n">
        <v>106</v>
      </c>
      <c r="Z45" s="38" t="n">
        <v>106</v>
      </c>
      <c r="AA45" s="36">
        <f>SUM(O45:U45)</f>
        <v/>
      </c>
      <c r="AB45" s="36">
        <f>SUM(O45:Z45)</f>
        <v/>
      </c>
      <c r="AC45" s="38" t="n">
        <v>106</v>
      </c>
      <c r="AD45" s="38" t="n">
        <v>106</v>
      </c>
      <c r="AE45" s="38" t="n">
        <v>106</v>
      </c>
      <c r="AF45" s="38" t="n">
        <v>106</v>
      </c>
      <c r="AG45" s="38" t="n">
        <v>106</v>
      </c>
      <c r="AH45" s="38" t="n">
        <v>106</v>
      </c>
      <c r="AI45" s="117" t="n">
        <v>106</v>
      </c>
      <c r="AJ45" s="118" t="n">
        <v>106</v>
      </c>
      <c r="AK45" s="118" t="n">
        <v>106</v>
      </c>
      <c r="AL45" s="118" t="n">
        <v>106</v>
      </c>
      <c r="AM45" s="119" t="n">
        <v>106</v>
      </c>
      <c r="AN45" s="117" t="n">
        <v>106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SUMIF('ABA TB'!$R:$R,'ABA P&amp;L'!$A46,'ABA TB'!C:C)</f>
        <v/>
      </c>
      <c r="P46" s="37">
        <f>SUMIF('ABA TB'!$R:$R,'ABA P&amp;L'!$A46,'ABA TB'!D:D)</f>
        <v/>
      </c>
      <c r="Q46" s="37">
        <f>SUMIF('ABA TB'!$R:$R,'ABA P&amp;L'!$A46,'ABA TB'!E:E)</f>
        <v/>
      </c>
      <c r="R46" s="37">
        <f>SUMIF('ABA TB'!$R:$R,'ABA P&amp;L'!$A46,'ABA TB'!F:F)</f>
        <v/>
      </c>
      <c r="S46" s="37">
        <f>SUMIF('ABA TB'!$R:$R,'ABA P&amp;L'!$A46,'ABA TB'!G:G)</f>
        <v/>
      </c>
      <c r="T46" s="37">
        <f>SUMIF('ABA TB'!$R:$R,'ABA P&amp;L'!$A46,'ABA TB'!H:H)</f>
        <v/>
      </c>
      <c r="U46" s="37">
        <f>SUMIF('ABA TB'!$R:$R,'ABA P&amp;L'!$A46,'ABA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4780.1</v>
      </c>
      <c r="C47" s="42" t="n">
        <v>8320.059999999999</v>
      </c>
      <c r="D47" s="42" t="n">
        <v>5517.520000000001</v>
      </c>
      <c r="E47" s="42" t="n">
        <v>4392.789999999999</v>
      </c>
      <c r="F47" s="42" t="n">
        <v>8657.039999999999</v>
      </c>
      <c r="G47" s="42" t="n">
        <v>4962.5</v>
      </c>
      <c r="H47" s="42" t="n">
        <v>3347.37</v>
      </c>
      <c r="I47" s="42" t="n">
        <v>4219.17</v>
      </c>
      <c r="J47" s="42" t="n">
        <v>3093.06</v>
      </c>
      <c r="K47" s="42" t="n">
        <v>7996.509999999999</v>
      </c>
      <c r="L47" s="42" t="n">
        <v>4474.809999999999</v>
      </c>
      <c r="M47" s="42" t="n">
        <v>6126.900000000001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8" t="inlineStr">
        <is>
          <t>Total Direct Costs</t>
        </is>
      </c>
      <c r="B48" s="29" t="n">
        <v>41531.32</v>
      </c>
      <c r="C48" s="29" t="n">
        <v>46853.56999999999</v>
      </c>
      <c r="D48" s="29" t="n">
        <v>45392.64</v>
      </c>
      <c r="E48" s="29" t="n">
        <v>46843.02999999999</v>
      </c>
      <c r="F48" s="29" t="n">
        <v>53048.95</v>
      </c>
      <c r="G48" s="29" t="n">
        <v>50091.76</v>
      </c>
      <c r="H48" s="29" t="n">
        <v>53413.99</v>
      </c>
      <c r="I48" s="29" t="n">
        <v>47376.62</v>
      </c>
      <c r="J48" s="29" t="n">
        <v>45231.29</v>
      </c>
      <c r="K48" s="29" t="n">
        <v>48751.78</v>
      </c>
      <c r="L48" s="29" t="n">
        <v>45921.57</v>
      </c>
      <c r="M48" s="29" t="n">
        <v>47357.71000000001</v>
      </c>
      <c r="N48" s="36">
        <f>SUM(B48:M48)</f>
        <v/>
      </c>
      <c r="O48" s="31">
        <f t="array" ref="O48">O25+O34+_xlfn.ANCHORARRAY(O47)</f>
        <v/>
      </c>
      <c r="P48" s="31">
        <f t="array" ref="P48">P25+P34+_xlfn.ANCHORARRAY(P47)</f>
        <v/>
      </c>
      <c r="Q48" s="31">
        <f t="array" ref="Q48">Q25+Q34+_xlfn.ANCHORARRAY(Q47)</f>
        <v/>
      </c>
      <c r="R48" s="31">
        <f t="array" ref="R48">R25+R34+_xlfn.ANCHORARRAY(R47)</f>
        <v/>
      </c>
      <c r="S48" s="31">
        <f t="array" ref="S48">S25+S34+_xlfn.ANCHORARRAY(S47)</f>
        <v/>
      </c>
      <c r="T48" s="31">
        <f t="array" ref="T48">T25+T34+_xlfn.ANCHORARRAY(T47)</f>
        <v/>
      </c>
      <c r="U48" s="31">
        <f t="array" ref="U48">U25+U34+_xlfn.ANCHORARRAY(U47)</f>
        <v/>
      </c>
      <c r="V48" s="32">
        <f>V25+V34+V47</f>
        <v/>
      </c>
      <c r="W48" s="32">
        <f>W25+W34+W47</f>
        <v/>
      </c>
      <c r="X48" s="32">
        <f>X25+X34+X47</f>
        <v/>
      </c>
      <c r="Y48" s="32">
        <f>Y25+Y34+Y47</f>
        <v/>
      </c>
      <c r="Z48" s="32">
        <f>Z25+Z34+Z47</f>
        <v/>
      </c>
      <c r="AA48" s="36">
        <f>AA25+AA34+AA47</f>
        <v/>
      </c>
      <c r="AB48" s="36">
        <f>AB25+AB34+AB47</f>
        <v/>
      </c>
      <c r="AC48" s="32">
        <f>AC25+AC34+AC47</f>
        <v/>
      </c>
      <c r="AD48" s="32">
        <f>AD25+AD34+AD47</f>
        <v/>
      </c>
      <c r="AE48" s="32">
        <f>AE25+AE34+AE47</f>
        <v/>
      </c>
      <c r="AF48" s="32">
        <f>AF25+AF34+AF47</f>
        <v/>
      </c>
      <c r="AG48" s="32">
        <f>AG25+AG34+AG47</f>
        <v/>
      </c>
      <c r="AH48" s="32">
        <f>AH25+AH34+AH47</f>
        <v/>
      </c>
      <c r="AI48" s="141">
        <f>AI25+AI34+AI47</f>
        <v/>
      </c>
      <c r="AJ48" s="142">
        <f>AJ25+AJ34+AJ47</f>
        <v/>
      </c>
      <c r="AK48" s="142">
        <f>AK25+AK34+AK47</f>
        <v/>
      </c>
      <c r="AL48" s="142">
        <f>AL25+AL34+AL47</f>
        <v/>
      </c>
      <c r="AM48" s="142">
        <f>AM25+AM34+AM47</f>
        <v/>
      </c>
      <c r="AN48" s="141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15985.21</v>
      </c>
      <c r="C50" s="55" t="n">
        <v>31703.78</v>
      </c>
      <c r="D50" s="55" t="n">
        <v>48064.28</v>
      </c>
      <c r="E50" s="55" t="n">
        <v>24369.91000000001</v>
      </c>
      <c r="F50" s="55" t="n">
        <v>14047.82</v>
      </c>
      <c r="G50" s="55" t="n">
        <v>48990.21</v>
      </c>
      <c r="H50" s="55" t="n">
        <v>56001.01</v>
      </c>
      <c r="I50" s="55" t="n">
        <v>10667.11</v>
      </c>
      <c r="J50" s="55" t="n">
        <v>13968.36</v>
      </c>
      <c r="K50" s="55" t="n">
        <v>33157.77</v>
      </c>
      <c r="L50" s="55" t="n">
        <v>33328.81</v>
      </c>
      <c r="M50" s="55" t="n">
        <v>48708.87999999999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SUM(O50:Z50)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SUMIF('ABA TB'!$R:$R,'ABA P&amp;L'!$A53,'ABA TB'!C:C)</f>
        <v/>
      </c>
      <c r="P53" s="37">
        <f>SUMIF('ABA TB'!$R:$R,'ABA P&amp;L'!$A53,'ABA TB'!D:D)</f>
        <v/>
      </c>
      <c r="Q53" s="37">
        <f>SUMIF('ABA TB'!$R:$R,'ABA P&amp;L'!$A53,'ABA TB'!E:E)</f>
        <v/>
      </c>
      <c r="R53" s="37">
        <f>SUMIF('ABA TB'!$R:$R,'ABA P&amp;L'!$A53,'ABA TB'!F:F)</f>
        <v/>
      </c>
      <c r="S53" s="37">
        <f>SUMIF('ABA TB'!$R:$R,'ABA P&amp;L'!$A53,'ABA TB'!G:G)</f>
        <v/>
      </c>
      <c r="T53" s="37">
        <f>SUMIF('ABA TB'!$R:$R,'ABA P&amp;L'!$A53,'ABA TB'!H:H)</f>
        <v/>
      </c>
      <c r="U53" s="37">
        <f>SUMIF('ABA TB'!$R:$R,'ABA P&amp;L'!$A53,'ABA TB'!I:I)</f>
        <v/>
      </c>
      <c r="V53" s="38" t="n">
        <v>0</v>
      </c>
      <c r="W53" s="38" t="n">
        <v>0</v>
      </c>
      <c r="X53" s="38" t="n">
        <v>0</v>
      </c>
      <c r="Y53" s="38" t="n">
        <v>0</v>
      </c>
      <c r="Z53" s="38" t="n">
        <v>0</v>
      </c>
      <c r="AA53" s="36">
        <f>SUM(O53:U53)</f>
        <v/>
      </c>
      <c r="AB53" s="36">
        <f>SUM(O53:Z53)</f>
        <v/>
      </c>
      <c r="AC53" s="38" t="n">
        <v>0</v>
      </c>
      <c r="AD53" s="38" t="n">
        <v>0</v>
      </c>
      <c r="AE53" s="38" t="n">
        <v>0</v>
      </c>
      <c r="AF53" s="38" t="n">
        <v>0</v>
      </c>
      <c r="AG53" s="38" t="n">
        <v>0</v>
      </c>
      <c r="AH53" s="38" t="n">
        <v>0</v>
      </c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SUMIF('ABA TB'!$R:$R,'ABA P&amp;L'!$A54,'ABA TB'!C:C)</f>
        <v/>
      </c>
      <c r="P54" s="37">
        <f>SUMIF('ABA TB'!$R:$R,'ABA P&amp;L'!$A54,'ABA TB'!D:D)</f>
        <v/>
      </c>
      <c r="Q54" s="37">
        <f>SUMIF('ABA TB'!$R:$R,'ABA P&amp;L'!$A54,'ABA TB'!E:E)</f>
        <v/>
      </c>
      <c r="R54" s="37">
        <f>SUMIF('ABA TB'!$R:$R,'ABA P&amp;L'!$A54,'ABA TB'!F:F)</f>
        <v/>
      </c>
      <c r="S54" s="37">
        <f>SUMIF('ABA TB'!$R:$R,'ABA P&amp;L'!$A54,'ABA TB'!G:G)</f>
        <v/>
      </c>
      <c r="T54" s="37">
        <f>SUMIF('ABA TB'!$R:$R,'ABA P&amp;L'!$A54,'ABA TB'!H:H)</f>
        <v/>
      </c>
      <c r="U54" s="37">
        <f>SUMIF('ABA TB'!$R:$R,'ABA P&amp;L'!$A54,'ABA TB'!I:I)</f>
        <v/>
      </c>
      <c r="V54" s="38" t="n">
        <v>0</v>
      </c>
      <c r="W54" s="38" t="n">
        <v>0</v>
      </c>
      <c r="X54" s="38" t="n">
        <v>0</v>
      </c>
      <c r="Y54" s="38" t="n">
        <v>0</v>
      </c>
      <c r="Z54" s="38" t="n">
        <v>0</v>
      </c>
      <c r="AA54" s="36">
        <f>SUM(O54:U54)</f>
        <v/>
      </c>
      <c r="AB54" s="36">
        <f>SUM(O54:Z54)</f>
        <v/>
      </c>
      <c r="AC54" s="38" t="n">
        <v>0</v>
      </c>
      <c r="AD54" s="38" t="n">
        <v>0</v>
      </c>
      <c r="AE54" s="38" t="n">
        <v>0</v>
      </c>
      <c r="AF54" s="38" t="n">
        <v>0</v>
      </c>
      <c r="AG54" s="38" t="n">
        <v>0</v>
      </c>
      <c r="AH54" s="38" t="n">
        <v>0</v>
      </c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SUMIF('ABA TB'!$R:$R,'ABA P&amp;L'!$A55,'ABA TB'!C:C)</f>
        <v/>
      </c>
      <c r="P55" s="37">
        <f>SUMIF('ABA TB'!$R:$R,'ABA P&amp;L'!$A55,'ABA TB'!D:D)</f>
        <v/>
      </c>
      <c r="Q55" s="37">
        <f>SUMIF('ABA TB'!$R:$R,'ABA P&amp;L'!$A55,'ABA TB'!E:E)</f>
        <v/>
      </c>
      <c r="R55" s="37">
        <f>SUMIF('ABA TB'!$R:$R,'ABA P&amp;L'!$A55,'ABA TB'!F:F)</f>
        <v/>
      </c>
      <c r="S55" s="37">
        <f>SUMIF('ABA TB'!$R:$R,'ABA P&amp;L'!$A55,'ABA TB'!G:G)</f>
        <v/>
      </c>
      <c r="T55" s="37">
        <f>SUMIF('ABA TB'!$R:$R,'ABA P&amp;L'!$A55,'ABA TB'!H:H)</f>
        <v/>
      </c>
      <c r="U55" s="37">
        <f>SUMIF('ABA TB'!$R:$R,'ABA P&amp;L'!$A55,'ABA TB'!I:I)</f>
        <v/>
      </c>
      <c r="V55" s="38" t="n">
        <v>0</v>
      </c>
      <c r="W55" s="38" t="n">
        <v>0</v>
      </c>
      <c r="X55" s="38" t="n">
        <v>0</v>
      </c>
      <c r="Y55" s="38" t="n">
        <v>0</v>
      </c>
      <c r="Z55" s="38" t="n">
        <v>0</v>
      </c>
      <c r="AA55" s="36">
        <f>SUM(O55:U55)</f>
        <v/>
      </c>
      <c r="AB55" s="36">
        <f>SUM(O55:Z55)</f>
        <v/>
      </c>
      <c r="AC55" s="38" t="n">
        <v>0</v>
      </c>
      <c r="AD55" s="38" t="n">
        <v>0</v>
      </c>
      <c r="AE55" s="38" t="n">
        <v>0</v>
      </c>
      <c r="AF55" s="38" t="n">
        <v>0</v>
      </c>
      <c r="AG55" s="38" t="n">
        <v>0</v>
      </c>
      <c r="AH55" s="38" t="n">
        <v>0</v>
      </c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SUMIF('ABA TB'!$R:$R,'ABA P&amp;L'!$A56,'ABA TB'!C:C)</f>
        <v/>
      </c>
      <c r="P56" s="37">
        <f>SUMIF('ABA TB'!$R:$R,'ABA P&amp;L'!$A56,'ABA TB'!D:D)</f>
        <v/>
      </c>
      <c r="Q56" s="37">
        <f>SUMIF('ABA TB'!$R:$R,'ABA P&amp;L'!$A56,'ABA TB'!E:E)</f>
        <v/>
      </c>
      <c r="R56" s="37">
        <f>SUMIF('ABA TB'!$R:$R,'ABA P&amp;L'!$A56,'ABA TB'!F:F)</f>
        <v/>
      </c>
      <c r="S56" s="37">
        <f>SUMIF('ABA TB'!$R:$R,'ABA P&amp;L'!$A56,'ABA TB'!G:G)</f>
        <v/>
      </c>
      <c r="T56" s="37">
        <f>SUMIF('ABA TB'!$R:$R,'ABA P&amp;L'!$A56,'ABA TB'!H:H)</f>
        <v/>
      </c>
      <c r="U56" s="37">
        <f>SUMIF('ABA TB'!$R:$R,'ABA P&amp;L'!$A56,'ABA TB'!I:I)</f>
        <v/>
      </c>
      <c r="V56" s="38" t="n">
        <v>0</v>
      </c>
      <c r="W56" s="38" t="n">
        <v>0</v>
      </c>
      <c r="X56" s="38" t="n">
        <v>0</v>
      </c>
      <c r="Y56" s="38" t="n">
        <v>0</v>
      </c>
      <c r="Z56" s="38" t="n">
        <v>0</v>
      </c>
      <c r="AA56" s="36">
        <f>SUM(O56:U56)</f>
        <v/>
      </c>
      <c r="AB56" s="36">
        <f>SUM(O56:Z56)</f>
        <v/>
      </c>
      <c r="AC56" s="38" t="n">
        <v>0</v>
      </c>
      <c r="AD56" s="38" t="n">
        <v>0</v>
      </c>
      <c r="AE56" s="38" t="n">
        <v>0</v>
      </c>
      <c r="AF56" s="38" t="n">
        <v>0</v>
      </c>
      <c r="AG56" s="38" t="n">
        <v>0</v>
      </c>
      <c r="AH56" s="38" t="n">
        <v>0</v>
      </c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80</v>
      </c>
      <c r="M57" s="35" t="n">
        <v>321.43</v>
      </c>
      <c r="N57" s="36">
        <f>SUM(B57:M57)</f>
        <v/>
      </c>
      <c r="O57" s="37">
        <f>SUMIF('ABA TB'!$R:$R,'ABA P&amp;L'!$A57,'ABA TB'!C:C)</f>
        <v/>
      </c>
      <c r="P57" s="37">
        <f>SUMIF('ABA TB'!$R:$R,'ABA P&amp;L'!$A57,'ABA TB'!D:D)</f>
        <v/>
      </c>
      <c r="Q57" s="37">
        <f>SUMIF('ABA TB'!$R:$R,'ABA P&amp;L'!$A57,'ABA TB'!E:E)</f>
        <v/>
      </c>
      <c r="R57" s="37">
        <f>SUMIF('ABA TB'!$R:$R,'ABA P&amp;L'!$A57,'ABA TB'!F:F)</f>
        <v/>
      </c>
      <c r="S57" s="37">
        <f>SUMIF('ABA TB'!$R:$R,'ABA P&amp;L'!$A57,'ABA TB'!G:G)</f>
        <v/>
      </c>
      <c r="T57" s="37">
        <f>SUMIF('ABA TB'!$R:$R,'ABA P&amp;L'!$A57,'ABA TB'!H:H)</f>
        <v/>
      </c>
      <c r="U57" s="37">
        <f>SUMIF('ABA TB'!$R:$R,'ABA P&amp;L'!$A57,'ABA TB'!I:I)</f>
        <v/>
      </c>
      <c r="V57" s="38" t="n">
        <v>0</v>
      </c>
      <c r="W57" s="38" t="n">
        <v>0</v>
      </c>
      <c r="X57" s="38" t="n">
        <v>0</v>
      </c>
      <c r="Y57" s="38" t="n">
        <v>0</v>
      </c>
      <c r="Z57" s="38">
        <f>19*30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SUMIF('ABA TB'!$R:$R,'ABA P&amp;L'!$A58,'ABA TB'!C:C)</f>
        <v/>
      </c>
      <c r="P58" s="37">
        <f>SUMIF('ABA TB'!$R:$R,'ABA P&amp;L'!$A58,'ABA TB'!D:D)</f>
        <v/>
      </c>
      <c r="Q58" s="37">
        <f>SUMIF('ABA TB'!$R:$R,'ABA P&amp;L'!$A58,'ABA TB'!E:E)</f>
        <v/>
      </c>
      <c r="R58" s="37">
        <f>SUMIF('ABA TB'!$R:$R,'ABA P&amp;L'!$A58,'ABA TB'!F:F)</f>
        <v/>
      </c>
      <c r="S58" s="37">
        <f>SUMIF('ABA TB'!$R:$R,'ABA P&amp;L'!$A58,'ABA TB'!G:G)</f>
        <v/>
      </c>
      <c r="T58" s="37">
        <f>SUMIF('ABA TB'!$R:$R,'ABA P&amp;L'!$A58,'ABA TB'!H:H)</f>
        <v/>
      </c>
      <c r="U58" s="37">
        <f>SUMIF('ABA TB'!$R:$R,'ABA P&amp;L'!$A58,'ABA TB'!I:I)</f>
        <v/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>
        <f>215*1.06</f>
        <v/>
      </c>
      <c r="W59" s="38">
        <f>215*1.06</f>
        <v/>
      </c>
      <c r="X59" s="38">
        <f>215*1.06</f>
        <v/>
      </c>
      <c r="Y59" s="38">
        <f>215*1.06</f>
        <v/>
      </c>
      <c r="Z59" s="38">
        <f>215*1.06</f>
        <v/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6</v>
      </c>
      <c r="C60" s="35" t="n">
        <v>6.6</v>
      </c>
      <c r="D60" s="35" t="n">
        <v>6.6</v>
      </c>
      <c r="E60" s="35" t="n">
        <v>7.2</v>
      </c>
      <c r="F60" s="35" t="n">
        <v>7.199999999999999</v>
      </c>
      <c r="G60" s="35" t="n">
        <v>6.6</v>
      </c>
      <c r="H60" s="35" t="n">
        <v>7.8</v>
      </c>
      <c r="I60" s="35" t="n">
        <v>6</v>
      </c>
      <c r="J60" s="35" t="n">
        <v>5.4</v>
      </c>
      <c r="K60" s="35" t="n">
        <v>70.59999999999999</v>
      </c>
      <c r="L60" s="35" t="n">
        <v>3.6</v>
      </c>
      <c r="M60" s="35" t="n">
        <v>3</v>
      </c>
      <c r="N60" s="36">
        <f>SUM(B60:M60)</f>
        <v/>
      </c>
      <c r="O60" s="37" t="n">
        <v>3.6</v>
      </c>
      <c r="P60" s="37" t="n">
        <v>1.8</v>
      </c>
      <c r="Q60" s="37" t="n">
        <v>48.15999999999999</v>
      </c>
      <c r="R60" s="37" t="n">
        <v>4.2</v>
      </c>
      <c r="S60" s="37" t="n">
        <v>3</v>
      </c>
      <c r="T60" s="37" t="n">
        <v>6.6</v>
      </c>
      <c r="U60" s="37" t="n">
        <v>4.8</v>
      </c>
      <c r="V60" s="38" t="n">
        <v>5</v>
      </c>
      <c r="W60" s="38" t="n">
        <v>5</v>
      </c>
      <c r="X60" s="38" t="n">
        <v>5</v>
      </c>
      <c r="Y60" s="38" t="n">
        <v>5</v>
      </c>
      <c r="Z60" s="38" t="n">
        <v>5</v>
      </c>
      <c r="AA60" s="36">
        <f>SUM(O60:U60)</f>
        <v/>
      </c>
      <c r="AB60" s="36">
        <f>SUM(O60:Z60)</f>
        <v/>
      </c>
      <c r="AC60" s="38" t="n">
        <v>5</v>
      </c>
      <c r="AD60" s="38" t="n">
        <v>5</v>
      </c>
      <c r="AE60" s="38" t="n">
        <v>5</v>
      </c>
      <c r="AF60" s="38" t="n">
        <v>5</v>
      </c>
      <c r="AG60" s="38" t="n">
        <v>5</v>
      </c>
      <c r="AH60" s="38" t="n">
        <v>5</v>
      </c>
      <c r="AI60" s="117" t="n">
        <v>5</v>
      </c>
      <c r="AJ60" s="118" t="n">
        <v>5</v>
      </c>
      <c r="AK60" s="118" t="n">
        <v>5</v>
      </c>
      <c r="AL60" s="118" t="n">
        <v>5</v>
      </c>
      <c r="AM60" s="119" t="n">
        <v>5</v>
      </c>
      <c r="AN60" s="117" t="n">
        <v>5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22.04</v>
      </c>
      <c r="E61" s="35" t="n">
        <v>21.36</v>
      </c>
      <c r="F61" s="35" t="n">
        <v>39.06</v>
      </c>
      <c r="G61" s="35" t="n">
        <v>6.99</v>
      </c>
      <c r="H61" s="35" t="n">
        <v>0</v>
      </c>
      <c r="I61" s="35" t="n">
        <v>0</v>
      </c>
      <c r="J61" s="35" t="n">
        <v>0</v>
      </c>
      <c r="K61" s="35" t="n">
        <v>52.6</v>
      </c>
      <c r="L61" s="35" t="n">
        <v>54.23</v>
      </c>
      <c r="M61" s="35" t="n">
        <v>0</v>
      </c>
      <c r="N61" s="36">
        <f>SUM(B61:M61)</f>
        <v/>
      </c>
      <c r="O61" s="37">
        <f>SUMIF('ABA TB'!$R:$R,'ABA P&amp;L'!$A61,'ABA TB'!C:C)</f>
        <v/>
      </c>
      <c r="P61" s="37">
        <f>SUMIF('ABA TB'!$R:$R,'ABA P&amp;L'!$A61,'ABA TB'!D:D)</f>
        <v/>
      </c>
      <c r="Q61" s="37">
        <f>SUMIF('ABA TB'!$R:$R,'ABA P&amp;L'!$A61,'ABA TB'!E:E)</f>
        <v/>
      </c>
      <c r="R61" s="37">
        <f>SUMIF('ABA TB'!$R:$R,'ABA P&amp;L'!$A61,'ABA TB'!F:F)</f>
        <v/>
      </c>
      <c r="S61" s="37">
        <f>SUMIF('ABA TB'!$R:$R,'ABA P&amp;L'!$A61,'ABA TB'!G:G)</f>
        <v/>
      </c>
      <c r="T61" s="37">
        <f>SUMIF('ABA TB'!$R:$R,'ABA P&amp;L'!$A61,'ABA TB'!H:H)</f>
        <v/>
      </c>
      <c r="U61" s="37">
        <f>SUMIF('ABA TB'!$R:$R,'ABA P&amp;L'!$A61,'ABA TB'!I:I)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1.5</v>
      </c>
      <c r="D62" s="35" t="n">
        <v>67</v>
      </c>
      <c r="E62" s="35" t="n">
        <v>107</v>
      </c>
      <c r="F62" s="35" t="n">
        <v>58</v>
      </c>
      <c r="G62" s="35" t="n">
        <v>35.6</v>
      </c>
      <c r="H62" s="35" t="n">
        <v>0</v>
      </c>
      <c r="I62" s="35" t="n">
        <v>60</v>
      </c>
      <c r="J62" s="35" t="n">
        <v>0</v>
      </c>
      <c r="K62" s="35" t="n">
        <v>0</v>
      </c>
      <c r="L62" s="35" t="n">
        <v>11.2</v>
      </c>
      <c r="M62" s="35" t="n">
        <v>3.4</v>
      </c>
      <c r="N62" s="36">
        <f>SUM(B62:M62)</f>
        <v/>
      </c>
      <c r="O62" s="37" t="n">
        <v>0</v>
      </c>
      <c r="P62" s="37" t="n">
        <v>0</v>
      </c>
      <c r="Q62" s="37" t="n">
        <v>0</v>
      </c>
      <c r="R62" s="37" t="n">
        <v>30</v>
      </c>
      <c r="S62" s="37" t="n">
        <v>0</v>
      </c>
      <c r="T62" s="37" t="n">
        <v>356</v>
      </c>
      <c r="U62" s="37" t="n">
        <v>179</v>
      </c>
      <c r="V62" s="38" t="n">
        <v>0</v>
      </c>
      <c r="W62" s="38" t="n">
        <v>0</v>
      </c>
      <c r="X62" s="38" t="n">
        <v>0</v>
      </c>
      <c r="Y62" s="38" t="n">
        <v>0</v>
      </c>
      <c r="Z62" s="38" t="n">
        <v>0</v>
      </c>
      <c r="AA62" s="36">
        <f>SUM(O62:U62)</f>
        <v/>
      </c>
      <c r="AB62" s="36">
        <f>SUM(O62:Z62)</f>
        <v/>
      </c>
      <c r="AC62" s="38" t="n">
        <v>0</v>
      </c>
      <c r="AD62" s="38" t="n">
        <v>0</v>
      </c>
      <c r="AE62" s="38" t="n">
        <v>0</v>
      </c>
      <c r="AF62" s="38" t="n">
        <v>0</v>
      </c>
      <c r="AG62" s="38" t="n">
        <v>0</v>
      </c>
      <c r="AH62" s="38" t="n">
        <v>0</v>
      </c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SUMIF('ABA TB'!$R:$R,'ABA P&amp;L'!$A63,'ABA TB'!C:C)</f>
        <v/>
      </c>
      <c r="P63" s="37">
        <f>SUMIF('ABA TB'!$R:$R,'ABA P&amp;L'!$A63,'ABA TB'!D:D)</f>
        <v/>
      </c>
      <c r="Q63" s="37">
        <f>SUMIF('ABA TB'!$R:$R,'ABA P&amp;L'!$A63,'ABA TB'!E:E)</f>
        <v/>
      </c>
      <c r="R63" s="37">
        <f>SUMIF('ABA TB'!$R:$R,'ABA P&amp;L'!$A63,'ABA TB'!F:F)</f>
        <v/>
      </c>
      <c r="S63" s="37">
        <f>SUMIF('ABA TB'!$R:$R,'ABA P&amp;L'!$A63,'ABA TB'!G:G)</f>
        <v/>
      </c>
      <c r="T63" s="37">
        <f>SUMIF('ABA TB'!$R:$R,'ABA P&amp;L'!$A63,'ABA TB'!H:H)</f>
        <v/>
      </c>
      <c r="U63" s="37">
        <f>SUMIF('ABA TB'!$R:$R,'ABA P&amp;L'!$A63,'ABA TB'!I:I)</f>
        <v/>
      </c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</v>
      </c>
      <c r="AA63" s="36">
        <f>SUM(O63:U63)</f>
        <v/>
      </c>
      <c r="AB63" s="36">
        <f>SUM(O63:Z63)</f>
        <v/>
      </c>
      <c r="AC63" s="38" t="n">
        <v>0</v>
      </c>
      <c r="AD63" s="38" t="n">
        <v>0</v>
      </c>
      <c r="AE63" s="38" t="n">
        <v>0</v>
      </c>
      <c r="AF63" s="38" t="n">
        <v>0</v>
      </c>
      <c r="AG63" s="38" t="n">
        <v>0</v>
      </c>
      <c r="AH63" s="38" t="n">
        <v>0</v>
      </c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SUMIF('ABA TB'!$R:$R,'ABA P&amp;L'!$A64,'ABA TB'!C:C)</f>
        <v/>
      </c>
      <c r="P64" s="37">
        <f>SUMIF('ABA TB'!$R:$R,'ABA P&amp;L'!$A64,'ABA TB'!D:D)</f>
        <v/>
      </c>
      <c r="Q64" s="37">
        <f>SUMIF('ABA TB'!$R:$R,'ABA P&amp;L'!$A64,'ABA TB'!E:E)</f>
        <v/>
      </c>
      <c r="R64" s="37">
        <f>SUMIF('ABA TB'!$R:$R,'ABA P&amp;L'!$A64,'ABA TB'!F:F)</f>
        <v/>
      </c>
      <c r="S64" s="37">
        <f>SUMIF('ABA TB'!$R:$R,'ABA P&amp;L'!$A64,'ABA TB'!G:G)</f>
        <v/>
      </c>
      <c r="T64" s="37">
        <f>SUMIF('ABA TB'!$R:$R,'ABA P&amp;L'!$A64,'ABA TB'!H:H)</f>
        <v/>
      </c>
      <c r="U64" s="37">
        <f>SUMIF('ABA TB'!$R:$R,'ABA P&amp;L'!$A64,'ABA TB'!I:I)</f>
        <v/>
      </c>
      <c r="V64" s="38" t="n">
        <v>0</v>
      </c>
      <c r="W64" s="38" t="n">
        <v>0</v>
      </c>
      <c r="X64" s="38" t="n">
        <v>0</v>
      </c>
      <c r="Y64" s="38" t="n">
        <v>0</v>
      </c>
      <c r="Z64" s="38" t="n">
        <v>0</v>
      </c>
      <c r="AA64" s="36">
        <f>SUM(O64:U64)</f>
        <v/>
      </c>
      <c r="AB64" s="36">
        <f>SUM(O64:Z64)</f>
        <v/>
      </c>
      <c r="AC64" s="38" t="n">
        <v>0</v>
      </c>
      <c r="AD64" s="38" t="n">
        <v>0</v>
      </c>
      <c r="AE64" s="38" t="n">
        <v>0</v>
      </c>
      <c r="AF64" s="38" t="n">
        <v>0</v>
      </c>
      <c r="AG64" s="38" t="n">
        <v>0</v>
      </c>
      <c r="AH64" s="38" t="n">
        <v>0</v>
      </c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SUMIF('ABA TB'!$R:$R,'ABA P&amp;L'!$A65,'ABA TB'!C:C)</f>
        <v/>
      </c>
      <c r="P65" s="37">
        <f>SUMIF('ABA TB'!$R:$R,'ABA P&amp;L'!$A65,'ABA TB'!D:D)</f>
        <v/>
      </c>
      <c r="Q65" s="37">
        <f>SUMIF('ABA TB'!$R:$R,'ABA P&amp;L'!$A65,'ABA TB'!E:E)</f>
        <v/>
      </c>
      <c r="R65" s="37">
        <f>SUMIF('ABA TB'!$R:$R,'ABA P&amp;L'!$A65,'ABA TB'!F:F)</f>
        <v/>
      </c>
      <c r="S65" s="37">
        <f>SUMIF('ABA TB'!$R:$R,'ABA P&amp;L'!$A65,'ABA TB'!G:G)</f>
        <v/>
      </c>
      <c r="T65" s="37">
        <f>SUMIF('ABA TB'!$R:$R,'ABA P&amp;L'!$A65,'ABA TB'!H:H)</f>
        <v/>
      </c>
      <c r="U65" s="37">
        <f>SUMIF('ABA TB'!$R:$R,'ABA P&amp;L'!$A65,'ABA TB'!I:I)</f>
        <v/>
      </c>
      <c r="V65" s="38" t="n">
        <v>0</v>
      </c>
      <c r="W65" s="38" t="n">
        <v>0</v>
      </c>
      <c r="X65" s="38" t="n">
        <v>0</v>
      </c>
      <c r="Y65" s="38" t="n">
        <v>0</v>
      </c>
      <c r="Z65" s="38" t="n">
        <v>0</v>
      </c>
      <c r="AA65" s="36">
        <f>SUM(O65:U65)</f>
        <v/>
      </c>
      <c r="AB65" s="36">
        <f>SUM(O65:Z65)</f>
        <v/>
      </c>
      <c r="AC65" s="38" t="n">
        <v>0</v>
      </c>
      <c r="AD65" s="38" t="n">
        <v>0</v>
      </c>
      <c r="AE65" s="38" t="n">
        <v>0</v>
      </c>
      <c r="AF65" s="38" t="n">
        <v>0</v>
      </c>
      <c r="AG65" s="38" t="n">
        <v>0</v>
      </c>
      <c r="AH65" s="38" t="n">
        <v>0</v>
      </c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SUMIF('ABA TB'!$R:$R,'ABA P&amp;L'!$A66,'ABA TB'!C:C)</f>
        <v/>
      </c>
      <c r="P66" s="37">
        <f>SUMIF('ABA TB'!$R:$R,'ABA P&amp;L'!$A66,'ABA TB'!D:D)</f>
        <v/>
      </c>
      <c r="Q66" s="37">
        <f>SUMIF('ABA TB'!$R:$R,'ABA P&amp;L'!$A66,'ABA TB'!E:E)</f>
        <v/>
      </c>
      <c r="R66" s="37">
        <f>SUMIF('ABA TB'!$R:$R,'ABA P&amp;L'!$A66,'ABA TB'!F:F)</f>
        <v/>
      </c>
      <c r="S66" s="37">
        <f>SUMIF('ABA TB'!$R:$R,'ABA P&amp;L'!$A66,'ABA TB'!G:G)</f>
        <v/>
      </c>
      <c r="T66" s="37">
        <f>SUMIF('ABA TB'!$R:$R,'ABA P&amp;L'!$A66,'ABA TB'!H:H)</f>
        <v/>
      </c>
      <c r="U66" s="37">
        <f>SUMIF('ABA TB'!$R:$R,'ABA P&amp;L'!$A66,'ABA TB'!I:I)</f>
        <v/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220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SUMIF('ABA TB'!$R:$R,'ABA P&amp;L'!$A67,'ABA TB'!C:C)</f>
        <v/>
      </c>
      <c r="P67" s="37">
        <f>SUMIF('ABA TB'!$R:$R,'ABA P&amp;L'!$A67,'ABA TB'!D:D)</f>
        <v/>
      </c>
      <c r="Q67" s="37">
        <f>SUMIF('ABA TB'!$R:$R,'ABA P&amp;L'!$A67,'ABA TB'!E:E)</f>
        <v/>
      </c>
      <c r="R67" s="37">
        <f>SUMIF('ABA TB'!$R:$R,'ABA P&amp;L'!$A67,'ABA TB'!F:F)</f>
        <v/>
      </c>
      <c r="S67" s="37">
        <f>SUMIF('ABA TB'!$R:$R,'ABA P&amp;L'!$A67,'ABA TB'!G:G)</f>
        <v/>
      </c>
      <c r="T67" s="37">
        <f>SUMIF('ABA TB'!$R:$R,'ABA P&amp;L'!$A67,'ABA TB'!H:H)</f>
        <v/>
      </c>
      <c r="U67" s="37">
        <f>SUMIF('ABA TB'!$R:$R,'ABA P&amp;L'!$A67,'ABA TB'!I:I)</f>
        <v/>
      </c>
      <c r="V67" s="38" t="n">
        <v>0</v>
      </c>
      <c r="W67" s="38" t="n">
        <v>0</v>
      </c>
      <c r="X67" s="38" t="n">
        <v>0</v>
      </c>
      <c r="Y67" s="38" t="n">
        <v>0</v>
      </c>
      <c r="Z67" s="38" t="n">
        <v>0</v>
      </c>
      <c r="AA67" s="36">
        <f>SUM(O67:U67)</f>
        <v/>
      </c>
      <c r="AB67" s="36">
        <f>SUM(O67:Z67)</f>
        <v/>
      </c>
      <c r="AC67" s="38" t="n">
        <v>0</v>
      </c>
      <c r="AD67" s="38" t="n">
        <v>0</v>
      </c>
      <c r="AE67" s="38" t="n">
        <v>0</v>
      </c>
      <c r="AF67" s="38" t="n">
        <v>0</v>
      </c>
      <c r="AG67" s="38" t="n">
        <v>0</v>
      </c>
      <c r="AH67" s="38" t="n">
        <v>0</v>
      </c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SUMIF('ABA TB'!$R:$R,'ABA P&amp;L'!$A68,'ABA TB'!C:C)</f>
        <v/>
      </c>
      <c r="P68" s="37">
        <f>SUMIF('ABA TB'!$R:$R,'ABA P&amp;L'!$A68,'ABA TB'!D:D)</f>
        <v/>
      </c>
      <c r="Q68" s="37">
        <f>SUMIF('ABA TB'!$R:$R,'ABA P&amp;L'!$A68,'ABA TB'!E:E)</f>
        <v/>
      </c>
      <c r="R68" s="37">
        <f>SUMIF('ABA TB'!$R:$R,'ABA P&amp;L'!$A68,'ABA TB'!F:F)</f>
        <v/>
      </c>
      <c r="S68" s="37">
        <f>SUMIF('ABA TB'!$R:$R,'ABA P&amp;L'!$A68,'ABA TB'!G:G)</f>
        <v/>
      </c>
      <c r="T68" s="37">
        <f>SUMIF('ABA TB'!$R:$R,'ABA P&amp;L'!$A68,'ABA TB'!H:H)</f>
        <v/>
      </c>
      <c r="U68" s="37">
        <f>SUMIF('ABA TB'!$R:$R,'ABA P&amp;L'!$A68,'ABA TB'!I:I)</f>
        <v/>
      </c>
      <c r="V68" s="38" t="n">
        <v>0</v>
      </c>
      <c r="W68" s="38" t="n">
        <v>0</v>
      </c>
      <c r="X68" s="38" t="n">
        <v>0</v>
      </c>
      <c r="Y68" s="38" t="n">
        <v>0</v>
      </c>
      <c r="Z68" s="38" t="n">
        <v>0</v>
      </c>
      <c r="AA68" s="36">
        <f>SUM(O68:U68)</f>
        <v/>
      </c>
      <c r="AB68" s="36">
        <f>SUM(O68:Z68)</f>
        <v/>
      </c>
      <c r="AC68" s="38" t="n">
        <v>0</v>
      </c>
      <c r="AD68" s="38" t="n">
        <v>0</v>
      </c>
      <c r="AE68" s="38" t="n">
        <v>0</v>
      </c>
      <c r="AF68" s="38" t="n">
        <v>0</v>
      </c>
      <c r="AG68" s="38" t="n">
        <v>0</v>
      </c>
      <c r="AH68" s="38" t="n">
        <v>0</v>
      </c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207.38</v>
      </c>
      <c r="C69" s="42" t="n">
        <v>209.48</v>
      </c>
      <c r="D69" s="42" t="n">
        <v>297.02</v>
      </c>
      <c r="E69" s="42" t="n">
        <v>336.94</v>
      </c>
      <c r="F69" s="42" t="n">
        <v>305.64</v>
      </c>
      <c r="G69" s="42" t="n">
        <v>470.57</v>
      </c>
      <c r="H69" s="42" t="n">
        <v>209.18</v>
      </c>
      <c r="I69" s="42" t="n">
        <v>267.38</v>
      </c>
      <c r="J69" s="42" t="n">
        <v>206.78</v>
      </c>
      <c r="K69" s="42" t="n">
        <v>338</v>
      </c>
      <c r="L69" s="42" t="n">
        <v>363.83</v>
      </c>
      <c r="M69" s="42" t="n">
        <v>542.63</v>
      </c>
      <c r="N69" s="43">
        <f>SUM(B69:M69)</f>
        <v/>
      </c>
      <c r="O69" s="44">
        <f>SUM(O53:O68)</f>
        <v/>
      </c>
      <c r="P69" s="44">
        <f>SUM(P53:P68)</f>
        <v/>
      </c>
      <c r="Q69" s="44">
        <f>SUM(Q53:Q68)</f>
        <v/>
      </c>
      <c r="R69" s="44">
        <f>SUM(R53:R68)</f>
        <v/>
      </c>
      <c r="S69" s="44">
        <f>SUM(S53:S68)</f>
        <v/>
      </c>
      <c r="T69" s="44">
        <f>SUM(T53:T68)</f>
        <v/>
      </c>
      <c r="U69" s="44">
        <f>SUM(U53:U68)</f>
        <v/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15777.83</v>
      </c>
      <c r="C70" s="55" t="n">
        <v>31494.3</v>
      </c>
      <c r="D70" s="55" t="n">
        <v>47767.26</v>
      </c>
      <c r="E70" s="55" t="n">
        <v>24032.97000000001</v>
      </c>
      <c r="F70" s="55" t="n">
        <v>13742.18</v>
      </c>
      <c r="G70" s="55" t="n">
        <v>48519.64</v>
      </c>
      <c r="H70" s="55" t="n">
        <v>55791.83</v>
      </c>
      <c r="I70" s="55" t="n">
        <v>10399.73</v>
      </c>
      <c r="J70" s="55" t="n">
        <v>13761.58</v>
      </c>
      <c r="K70" s="55" t="n">
        <v>32819.77</v>
      </c>
      <c r="L70" s="55" t="n">
        <v>32964.98</v>
      </c>
      <c r="M70" s="55" t="n">
        <v>48166.24999999999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SUM(O70:Z70)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8" t="n"/>
      <c r="B71" s="57" t="n"/>
      <c r="C71" s="57" t="n"/>
      <c r="D71" s="57" t="n"/>
      <c r="E71" s="57" t="n"/>
      <c r="F71" s="57" t="n"/>
      <c r="G71" s="57" t="n"/>
      <c r="H71" s="57" t="n"/>
      <c r="I71" s="57" t="n"/>
      <c r="J71" s="57" t="n"/>
      <c r="K71" s="57" t="n"/>
      <c r="L71" s="57" t="n"/>
      <c r="M71" s="57" t="n"/>
      <c r="N71" s="56">
        <f>SUM(B71:M71)</f>
        <v/>
      </c>
      <c r="O71" s="56" t="n"/>
      <c r="P71" s="56" t="n"/>
      <c r="Q71" s="56" t="n"/>
      <c r="R71" s="56" t="n"/>
      <c r="S71" s="56" t="n"/>
      <c r="T71" s="56" t="n"/>
      <c r="U71" s="56" t="n"/>
      <c r="V71" s="58" t="n"/>
      <c r="W71" s="58" t="n"/>
      <c r="X71" s="58" t="n"/>
      <c r="Y71" s="58" t="n"/>
      <c r="Z71" s="58" t="n"/>
      <c r="AA71" s="56">
        <f>SUM(O71:T71)</f>
        <v/>
      </c>
      <c r="AB71" s="56" t="n"/>
      <c r="AC71" s="58" t="n"/>
      <c r="AD71" s="58" t="n"/>
      <c r="AE71" s="58" t="n"/>
      <c r="AF71" s="58" t="n"/>
      <c r="AG71" s="58" t="n"/>
      <c r="AH71" s="58" t="n"/>
      <c r="AI71" s="126" t="n">
        <v>0</v>
      </c>
      <c r="AJ71" s="126" t="n">
        <v>0</v>
      </c>
      <c r="AK71" s="126" t="n">
        <v>0</v>
      </c>
      <c r="AL71" s="126" t="n">
        <v>0</v>
      </c>
      <c r="AM71" s="126" t="n">
        <v>0</v>
      </c>
      <c r="AN71" s="126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28" t="n"/>
      <c r="B72" s="57" t="n"/>
      <c r="C72" s="57" t="n"/>
      <c r="D72" s="57" t="n"/>
      <c r="E72" s="57" t="n"/>
      <c r="F72" s="57" t="n"/>
      <c r="G72" s="57" t="n"/>
      <c r="H72" s="57" t="n"/>
      <c r="I72" s="57" t="n"/>
      <c r="J72" s="57" t="n"/>
      <c r="K72" s="57" t="n"/>
      <c r="L72" s="57" t="n"/>
      <c r="M72" s="57" t="n"/>
      <c r="N72" s="56">
        <f>SUM(B72:M72)</f>
        <v/>
      </c>
      <c r="O72" s="56" t="n"/>
      <c r="P72" s="56" t="n"/>
      <c r="Q72" s="56" t="n"/>
      <c r="R72" s="56" t="n"/>
      <c r="S72" s="56" t="n"/>
      <c r="T72" s="56" t="n"/>
      <c r="U72" s="56" t="n"/>
      <c r="V72" s="58" t="n"/>
      <c r="W72" s="58" t="n"/>
      <c r="X72" s="58" t="n"/>
      <c r="Y72" s="58" t="n"/>
      <c r="Z72" s="58" t="n"/>
      <c r="AA72" s="56">
        <f>SUM(O72:T72)</f>
        <v/>
      </c>
      <c r="AB72" s="56" t="n"/>
      <c r="AC72" s="58" t="n"/>
      <c r="AD72" s="58" t="n"/>
      <c r="AE72" s="58" t="n"/>
      <c r="AF72" s="58" t="n"/>
      <c r="AG72" s="58" t="n"/>
      <c r="AH72" s="58" t="n"/>
      <c r="AI72" s="126" t="n">
        <v>0</v>
      </c>
      <c r="AJ72" s="126" t="n">
        <v>0</v>
      </c>
      <c r="AK72" s="126" t="n">
        <v>0</v>
      </c>
      <c r="AL72" s="126" t="n">
        <v>0</v>
      </c>
      <c r="AM72" s="126" t="n">
        <v>0</v>
      </c>
      <c r="AN72" s="126" t="n">
        <v>0</v>
      </c>
      <c r="AO72" s="147">
        <f>SUM(AC72:AH72)+SUM(AI72:AN72)</f>
        <v/>
      </c>
      <c r="AP72" s="145">
        <f>IF(AB72&lt;&gt;0,(AO72-AB72)/ABS(AB72),0)</f>
        <v/>
      </c>
    </row>
    <row r="73">
      <c r="A73" s="28" t="n"/>
      <c r="B73" s="57" t="n"/>
      <c r="C73" s="57" t="n"/>
      <c r="D73" s="57" t="n"/>
      <c r="E73" s="57" t="n"/>
      <c r="F73" s="57" t="n"/>
      <c r="G73" s="57" t="n"/>
      <c r="H73" s="57" t="n"/>
      <c r="I73" s="57" t="n"/>
      <c r="J73" s="57" t="n"/>
      <c r="K73" s="57" t="n"/>
      <c r="L73" s="57" t="n"/>
      <c r="M73" s="57" t="n"/>
      <c r="N73" s="56">
        <f>SUM(B73:M73)</f>
        <v/>
      </c>
      <c r="O73" s="56" t="n"/>
      <c r="P73" s="56" t="n"/>
      <c r="Q73" s="56" t="n"/>
      <c r="R73" s="56" t="n"/>
      <c r="S73" s="56" t="n"/>
      <c r="T73" s="56" t="n"/>
      <c r="U73" s="56" t="n"/>
      <c r="V73" s="58" t="n"/>
      <c r="W73" s="58" t="n"/>
      <c r="X73" s="58" t="n"/>
      <c r="Y73" s="58" t="n"/>
      <c r="Z73" s="58" t="n"/>
      <c r="AA73" s="56">
        <f>SUM(O73:T73)</f>
        <v/>
      </c>
      <c r="AB73" s="56" t="n"/>
      <c r="AC73" s="58" t="n"/>
      <c r="AD73" s="58" t="n"/>
      <c r="AE73" s="58" t="n"/>
      <c r="AF73" s="58" t="n"/>
      <c r="AG73" s="58" t="n"/>
      <c r="AH73" s="58" t="n"/>
      <c r="AI73" s="126" t="n">
        <v>0</v>
      </c>
      <c r="AJ73" s="126" t="n">
        <v>0</v>
      </c>
      <c r="AK73" s="126" t="n">
        <v>0</v>
      </c>
      <c r="AL73" s="126" t="n">
        <v>0</v>
      </c>
      <c r="AM73" s="126" t="n">
        <v>0</v>
      </c>
      <c r="AN73" s="126" t="n">
        <v>0</v>
      </c>
      <c r="AO73" s="147">
        <f>SUM(AC73:AH73)+SUM(AI73:AN73)</f>
        <v/>
      </c>
      <c r="AP73" s="145">
        <f>IF(AB73&lt;&gt;0,(AO73-AB73)/ABS(AB73),0)</f>
        <v/>
      </c>
    </row>
    <row r="74">
      <c r="A74" s="22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60">
        <f>SUM(B74:M74)</f>
        <v/>
      </c>
      <c r="O74" s="8" t="n"/>
      <c r="P74" s="8" t="n"/>
      <c r="Q74" s="8" t="n"/>
      <c r="R74" s="8" t="n"/>
      <c r="S74" s="8" t="n"/>
      <c r="T74" s="8" t="n"/>
      <c r="U74" s="8" t="n"/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134" t="n">
        <v>0</v>
      </c>
      <c r="AJ74" s="134" t="n">
        <v>0</v>
      </c>
      <c r="AK74" s="134" t="n">
        <v>0</v>
      </c>
      <c r="AL74" s="134" t="n">
        <v>0</v>
      </c>
      <c r="AM74" s="134" t="n">
        <v>0</v>
      </c>
      <c r="AN74" s="134" t="n">
        <v>0</v>
      </c>
      <c r="AO74" s="147">
        <f>SUM(AC74:AH74)+SUM(AI74:AN74)</f>
        <v/>
      </c>
      <c r="AP74" s="145">
        <f>IF(AB74&lt;&gt;0,(AO74-AB74)/ABS(AB74),0)</f>
        <v/>
      </c>
    </row>
    <row r="75">
      <c r="A75" s="22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60">
        <f>SUM(B75:M75)</f>
        <v/>
      </c>
      <c r="O75" s="8" t="n"/>
      <c r="P75" s="8" t="n"/>
      <c r="Q75" s="8" t="n"/>
      <c r="R75" s="8" t="n"/>
      <c r="S75" s="8" t="n"/>
      <c r="T75" s="8" t="n"/>
      <c r="U75" s="8" t="n"/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134" t="n">
        <v>0</v>
      </c>
      <c r="AJ75" s="134" t="n">
        <v>0</v>
      </c>
      <c r="AK75" s="134" t="n">
        <v>0</v>
      </c>
      <c r="AL75" s="134" t="n">
        <v>0</v>
      </c>
      <c r="AM75" s="134" t="n">
        <v>0</v>
      </c>
      <c r="AN75" s="134" t="n">
        <v>0</v>
      </c>
      <c r="AO75" s="147">
        <f>SUM(AC75:AH75)+SUM(AI75:AN75)</f>
        <v/>
      </c>
      <c r="AP75" s="145">
        <f>IF(AB75&lt;&gt;0,(AO75-AB75)/ABS(AB75),0)</f>
        <v/>
      </c>
    </row>
    <row r="76">
      <c r="A76" s="63" t="inlineStr">
        <is>
          <t>Memo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60">
        <f>SUM(B76:M76)</f>
        <v/>
      </c>
      <c r="O76" s="8" t="n"/>
      <c r="P76" s="8" t="n"/>
      <c r="Q76" s="8" t="n"/>
      <c r="R76" s="8" t="n"/>
      <c r="S76" s="8" t="n"/>
      <c r="T76" s="8" t="n"/>
      <c r="U76" s="8" t="n"/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134" t="n">
        <v>0</v>
      </c>
      <c r="AJ76" s="134" t="n">
        <v>0</v>
      </c>
      <c r="AK76" s="134" t="n">
        <v>0</v>
      </c>
      <c r="AL76" s="134" t="n">
        <v>0</v>
      </c>
      <c r="AM76" s="134" t="n">
        <v>0</v>
      </c>
      <c r="AN76" s="134" t="n">
        <v>0</v>
      </c>
      <c r="AO76" s="147">
        <f>SUM(AC76:AH76)+SUM(AI76:AN76)</f>
        <v/>
      </c>
      <c r="AP76" s="145">
        <f>IF(AB76&lt;&gt;0,(AO76-AB76)/ABS(AB76),0)</f>
        <v/>
      </c>
    </row>
    <row r="77">
      <c r="A77" s="34" t="inlineStr">
        <is>
          <t>Direct - Sales</t>
        </is>
      </c>
      <c r="B77" s="18" t="n">
        <v>57516.53</v>
      </c>
      <c r="C77" s="18" t="n">
        <v>78557.34999999999</v>
      </c>
      <c r="D77" s="18" t="n">
        <v>93456.92</v>
      </c>
      <c r="E77" s="18" t="n">
        <v>71212.94</v>
      </c>
      <c r="F77" s="18" t="n">
        <v>67096.77</v>
      </c>
      <c r="G77" s="18" t="n">
        <v>99081.97</v>
      </c>
      <c r="H77" s="18" t="n">
        <v>109415</v>
      </c>
      <c r="I77" s="18" t="n">
        <v>58043.73</v>
      </c>
      <c r="J77" s="18" t="n">
        <v>59199.65</v>
      </c>
      <c r="K77" s="18" t="n">
        <v>81909.55</v>
      </c>
      <c r="L77" s="18" t="n">
        <v>79250.38</v>
      </c>
      <c r="M77" s="18" t="n">
        <v>96066.59</v>
      </c>
      <c r="N77" s="60">
        <f>SUM(B77:M77)</f>
        <v/>
      </c>
      <c r="O77" s="60">
        <f>-SUMIF('ABA TB'!$T:$T,'ABA P&amp;L'!$A77,'ABA TB'!C:C)</f>
        <v/>
      </c>
      <c r="P77" s="60">
        <f>-SUMIF('ABA TB'!$T:$T,'ABA P&amp;L'!$A77,'ABA TB'!D:D)</f>
        <v/>
      </c>
      <c r="Q77" s="60">
        <f>-SUMIF('ABA TB'!$T:$T,'ABA P&amp;L'!$A77,'ABA TB'!E:E)</f>
        <v/>
      </c>
      <c r="R77" s="60">
        <f>-SUMIF('ABA TB'!$T:$T,'ABA P&amp;L'!$A77,'ABA TB'!F:F)</f>
        <v/>
      </c>
      <c r="S77" s="60">
        <f>-SUMIF('ABA TB'!$T:$T,'ABA P&amp;L'!$A77,'ABA TB'!G:G)</f>
        <v/>
      </c>
      <c r="T77" s="60">
        <f>-SUMIF('ABA TB'!$T:$T,'ABA P&amp;L'!$A77,'ABA TB'!H:H)</f>
        <v/>
      </c>
      <c r="U77" s="60">
        <f>-SUMIF('ABA TB'!$T:$T,'ABA P&amp;L'!$A77,'ABA TB'!I:I)</f>
        <v/>
      </c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7">
        <f>SUM(AC77:AH77)+SUM(AI77:AN77)</f>
        <v/>
      </c>
      <c r="AP77" s="145">
        <f>IF(AB77&lt;&gt;0,(AO77-AB77)/ABS(AB77),0)</f>
        <v/>
      </c>
    </row>
    <row r="78">
      <c r="A78" s="34" t="inlineStr">
        <is>
          <t>Direct - Staff Cost</t>
        </is>
      </c>
      <c r="B78" s="18" t="n">
        <v>-34574.8</v>
      </c>
      <c r="C78" s="18" t="n">
        <v>-35374.13999999999</v>
      </c>
      <c r="D78" s="18" t="n">
        <v>-36972.91</v>
      </c>
      <c r="E78" s="18" t="n">
        <v>-40300.46999999999</v>
      </c>
      <c r="F78" s="18" t="n">
        <v>-41216.68</v>
      </c>
      <c r="G78" s="18" t="n">
        <v>-41525.89</v>
      </c>
      <c r="H78" s="18" t="n">
        <v>-44824.91999999999</v>
      </c>
      <c r="I78" s="18" t="n">
        <v>-40433.25</v>
      </c>
      <c r="J78" s="18" t="n">
        <v>-40303.59</v>
      </c>
      <c r="K78" s="18" t="n">
        <v>-38404.48</v>
      </c>
      <c r="L78" s="18" t="n">
        <v>-38149.48</v>
      </c>
      <c r="M78" s="18" t="n">
        <v>-39149.26</v>
      </c>
      <c r="N78" s="60">
        <f>SUM(B78:M78)</f>
        <v/>
      </c>
      <c r="O78" s="60">
        <f>-SUMIF('ABA TB'!$T:$T,'ABA P&amp;L'!$A78,'ABA TB'!C:C)</f>
        <v/>
      </c>
      <c r="P78" s="60">
        <f>-SUMIF('ABA TB'!$T:$T,'ABA P&amp;L'!$A78,'ABA TB'!D:D)</f>
        <v/>
      </c>
      <c r="Q78" s="60">
        <f>-SUMIF('ABA TB'!$T:$T,'ABA P&amp;L'!$A78,'ABA TB'!E:E)</f>
        <v/>
      </c>
      <c r="R78" s="60">
        <f>-SUMIF('ABA TB'!$T:$T,'ABA P&amp;L'!$A78,'ABA TB'!F:F)</f>
        <v/>
      </c>
      <c r="S78" s="60">
        <f>-SUMIF('ABA TB'!$T:$T,'ABA P&amp;L'!$A78,'ABA TB'!G:G)</f>
        <v/>
      </c>
      <c r="T78" s="60">
        <f>-SUMIF('ABA TB'!$T:$T,'ABA P&amp;L'!$A78,'ABA TB'!H:H)</f>
        <v/>
      </c>
      <c r="U78" s="60">
        <f>-SUMIF('ABA TB'!$T:$T,'ABA P&amp;L'!$A78,'ABA TB'!I:I)</f>
        <v/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134" t="n">
        <v>0</v>
      </c>
      <c r="AJ78" s="134" t="n">
        <v>0</v>
      </c>
      <c r="AK78" s="134" t="n">
        <v>0</v>
      </c>
      <c r="AL78" s="134" t="n">
        <v>0</v>
      </c>
      <c r="AM78" s="134" t="n">
        <v>0</v>
      </c>
      <c r="AN78" s="134" t="n">
        <v>0</v>
      </c>
      <c r="AO78" s="147">
        <f>SUM(AC78:AH78)+SUM(AI78:AN78)</f>
        <v/>
      </c>
      <c r="AP78" s="145">
        <f>IF(AB78&lt;&gt;0,(AO78-AB78)/ABS(AB78),0)</f>
        <v/>
      </c>
    </row>
    <row r="79">
      <c r="A79" s="60" t="inlineStr">
        <is>
          <t>Direct - Childcare Cost</t>
        </is>
      </c>
      <c r="B79" s="18" t="n">
        <v>-2176.42</v>
      </c>
      <c r="C79" s="18" t="n">
        <v>-3159.37</v>
      </c>
      <c r="D79" s="18" t="n">
        <v>-2902.21</v>
      </c>
      <c r="E79" s="18" t="n">
        <v>-2149.77</v>
      </c>
      <c r="F79" s="18" t="n">
        <v>-3175.23</v>
      </c>
      <c r="G79" s="18" t="n">
        <v>-3603.37</v>
      </c>
      <c r="H79" s="18" t="n">
        <v>-5241.700000000001</v>
      </c>
      <c r="I79" s="18" t="n">
        <v>-2724.2</v>
      </c>
      <c r="J79" s="18" t="n">
        <v>-1834.64</v>
      </c>
      <c r="K79" s="18" t="n">
        <v>-2350.79</v>
      </c>
      <c r="L79" s="18" t="n">
        <v>-3297.279999999999</v>
      </c>
      <c r="M79" s="18" t="n">
        <v>-2081.55</v>
      </c>
      <c r="N79" s="60">
        <f>SUM(B79:M79)</f>
        <v/>
      </c>
      <c r="O79" s="60">
        <f>-SUMIF('ABA TB'!$T:$T,'ABA P&amp;L'!$A79,'ABA TB'!C:C)</f>
        <v/>
      </c>
      <c r="P79" s="60">
        <f>-SUMIF('ABA TB'!$T:$T,'ABA P&amp;L'!$A79,'ABA TB'!D:D)</f>
        <v/>
      </c>
      <c r="Q79" s="60">
        <f>-SUMIF('ABA TB'!$T:$T,'ABA P&amp;L'!$A79,'ABA TB'!E:E)</f>
        <v/>
      </c>
      <c r="R79" s="60">
        <f>-SUMIF('ABA TB'!$T:$T,'ABA P&amp;L'!$A79,'ABA TB'!F:F)</f>
        <v/>
      </c>
      <c r="S79" s="60">
        <f>-SUMIF('ABA TB'!$T:$T,'ABA P&amp;L'!$A79,'ABA TB'!G:G)</f>
        <v/>
      </c>
      <c r="T79" s="60">
        <f>-SUMIF('ABA TB'!$T:$T,'ABA P&amp;L'!$A79,'ABA TB'!H:H)</f>
        <v/>
      </c>
      <c r="U79" s="60">
        <f>-SUMIF('ABA TB'!$T:$T,'ABA P&amp;L'!$A79,'ABA TB'!I:I)</f>
        <v/>
      </c>
      <c r="V79" s="20" t="n"/>
      <c r="W79" s="20" t="n"/>
      <c r="X79" s="20" t="n"/>
      <c r="Y79" s="20" t="n"/>
      <c r="Z79" s="20" t="n"/>
      <c r="AA79" s="60">
        <f>SUM(O79:T79)</f>
        <v/>
      </c>
      <c r="AB79" s="8" t="n"/>
      <c r="AC79" s="20" t="n"/>
      <c r="AD79" s="20" t="n"/>
      <c r="AE79" s="20" t="n"/>
      <c r="AF79" s="20" t="n"/>
      <c r="AG79" s="20" t="n"/>
      <c r="AH79" s="20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7">
        <f>SUM(AC79:AH79)+SUM(AI79:AN79)</f>
        <v/>
      </c>
      <c r="AP79" s="145">
        <f>IF(AB79&lt;&gt;0,(AO79-AB79)/ABS(AB79),0)</f>
        <v/>
      </c>
    </row>
    <row r="80">
      <c r="A80" s="60" t="inlineStr">
        <is>
          <t>Direct - Premises &amp; Admin</t>
        </is>
      </c>
      <c r="B80" s="18" t="n">
        <v>-4780.1</v>
      </c>
      <c r="C80" s="18" t="n">
        <v>-8320.059999999999</v>
      </c>
      <c r="D80" s="18" t="n">
        <v>-5517.520000000001</v>
      </c>
      <c r="E80" s="18" t="n">
        <v>-4392.789999999999</v>
      </c>
      <c r="F80" s="18" t="n">
        <v>-8657.039999999999</v>
      </c>
      <c r="G80" s="18" t="n">
        <v>-4962.5</v>
      </c>
      <c r="H80" s="18" t="n">
        <v>-3347.37</v>
      </c>
      <c r="I80" s="18" t="n">
        <v>-4219.17</v>
      </c>
      <c r="J80" s="18" t="n">
        <v>-3093.06</v>
      </c>
      <c r="K80" s="18" t="n">
        <v>-7996.509999999999</v>
      </c>
      <c r="L80" s="18" t="n">
        <v>-4474.809999999999</v>
      </c>
      <c r="M80" s="18" t="n">
        <v>-6126.900000000001</v>
      </c>
      <c r="N80" s="60">
        <f>SUM(B80:M80)</f>
        <v/>
      </c>
      <c r="O80" s="60">
        <f>-SUMIF('ABA TB'!$T:$T,'ABA P&amp;L'!$A80,'ABA TB'!C:C)</f>
        <v/>
      </c>
      <c r="P80" s="60">
        <f>-SUMIF('ABA TB'!$T:$T,'ABA P&amp;L'!$A80,'ABA TB'!D:D)</f>
        <v/>
      </c>
      <c r="Q80" s="60">
        <f>-SUMIF('ABA TB'!$T:$T,'ABA P&amp;L'!$A80,'ABA TB'!E:E)</f>
        <v/>
      </c>
      <c r="R80" s="60">
        <f>-SUMIF('ABA TB'!$T:$T,'ABA P&amp;L'!$A80,'ABA TB'!F:F)</f>
        <v/>
      </c>
      <c r="S80" s="60">
        <f>-SUMIF('ABA TB'!$T:$T,'ABA P&amp;L'!$A80,'ABA TB'!G:G)</f>
        <v/>
      </c>
      <c r="T80" s="60">
        <f>-SUMIF('ABA TB'!$T:$T,'ABA P&amp;L'!$A80,'ABA TB'!H:H)</f>
        <v/>
      </c>
      <c r="U80" s="60">
        <f>-SUMIF('ABA TB'!$T:$T,'ABA P&amp;L'!$A80,'ABA TB'!I:I)</f>
        <v/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7">
        <f>SUM(AC80:AH80)+SUM(AI80:AN80)</f>
        <v/>
      </c>
      <c r="AP80" s="145">
        <f>IF(AB80&lt;&gt;0,(AO80-AB80)/ABS(AB80),0)</f>
        <v/>
      </c>
    </row>
    <row r="81">
      <c r="A81" s="60" t="inlineStr">
        <is>
          <t>In-Direct - Staff Cost</t>
        </is>
      </c>
      <c r="B81" s="60" t="n">
        <v>0</v>
      </c>
      <c r="C81" s="60" t="n">
        <v>0</v>
      </c>
      <c r="D81" s="60" t="n">
        <v>0</v>
      </c>
      <c r="E81" s="60" t="n">
        <v>0</v>
      </c>
      <c r="F81" s="60" t="n">
        <v>0</v>
      </c>
      <c r="G81" s="60" t="n">
        <v>0</v>
      </c>
      <c r="H81" s="60" t="n">
        <v>0</v>
      </c>
      <c r="I81" s="60" t="n">
        <v>0</v>
      </c>
      <c r="J81" s="60" t="n">
        <v>0</v>
      </c>
      <c r="K81" s="60" t="n">
        <v>0</v>
      </c>
      <c r="L81" s="60" t="n">
        <v>0</v>
      </c>
      <c r="M81" s="60" t="n">
        <v>0</v>
      </c>
      <c r="N81" s="60">
        <f>SUM(B81:M81)</f>
        <v/>
      </c>
      <c r="O81" s="60">
        <f>-SUMIF('ABA TB'!$T:$T,'ABA P&amp;L'!$A81,'ABA TB'!C:C)</f>
        <v/>
      </c>
      <c r="P81" s="60">
        <f>-SUMIF('ABA TB'!$T:$T,'ABA P&amp;L'!$A81,'ABA TB'!D:D)</f>
        <v/>
      </c>
      <c r="Q81" s="60">
        <f>-SUMIF('ABA TB'!$T:$T,'ABA P&amp;L'!$A81,'ABA TB'!E:E)</f>
        <v/>
      </c>
      <c r="R81" s="60">
        <f>-SUMIF('ABA TB'!$T:$T,'ABA P&amp;L'!$A81,'ABA TB'!F:F)</f>
        <v/>
      </c>
      <c r="S81" s="60">
        <f>-SUMIF('ABA TB'!$T:$T,'ABA P&amp;L'!$A81,'ABA TB'!G:G)</f>
        <v/>
      </c>
      <c r="T81" s="60">
        <f>-SUMIF('ABA TB'!$T:$T,'ABA P&amp;L'!$A81,'ABA TB'!H:H)</f>
        <v/>
      </c>
      <c r="U81" s="60">
        <f>-SUMIF('ABA TB'!$T:$T,'ABA P&amp;L'!$A81,'ABA TB'!I:I)</f>
        <v/>
      </c>
      <c r="V81" s="60">
        <f>-SUMIF('ABA TB'!$T:$T,'ABA P&amp;L'!$A81,'ABA TB'!J:J)</f>
        <v/>
      </c>
      <c r="W81" s="60">
        <f>-SUMIF('ABA TB'!$T:$T,'ABA P&amp;L'!$A81,'ABA TB'!K:K)</f>
        <v/>
      </c>
      <c r="X81" s="60">
        <f>-SUMIF('ABA TB'!$T:$T,'ABA P&amp;L'!$A81,'ABA TB'!L:L)</f>
        <v/>
      </c>
      <c r="Y81" s="60">
        <f>-SUMIF('ABA TB'!$T:$T,'ABA P&amp;L'!$A81,'ABA TB'!M:M)</f>
        <v/>
      </c>
      <c r="Z81" s="60">
        <f>-SUMIF('ABA TB'!$T:$T,'ABA P&amp;L'!$A81,'ABA TB'!N:N)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60" t="inlineStr">
        <is>
          <t>In-Direct - Overheads</t>
        </is>
      </c>
      <c r="B82" s="18" t="n">
        <v>-207.38</v>
      </c>
      <c r="C82" s="18" t="n">
        <v>-209.48</v>
      </c>
      <c r="D82" s="18" t="n">
        <v>-297.02</v>
      </c>
      <c r="E82" s="18" t="n">
        <v>-336.94</v>
      </c>
      <c r="F82" s="18" t="n">
        <v>-305.64</v>
      </c>
      <c r="G82" s="18" t="n">
        <v>-470.57</v>
      </c>
      <c r="H82" s="18" t="n">
        <v>-209.18</v>
      </c>
      <c r="I82" s="18" t="n">
        <v>-267.38</v>
      </c>
      <c r="J82" s="18" t="n">
        <v>-206.78</v>
      </c>
      <c r="K82" s="18" t="n">
        <v>-338</v>
      </c>
      <c r="L82" s="18" t="n">
        <v>-363.83</v>
      </c>
      <c r="M82" s="18" t="n"/>
      <c r="N82" s="8" t="n"/>
      <c r="O82" s="60">
        <f>-SUMIF('ABA TB'!$T:$T,'ABA P&amp;L'!$A82,'ABA TB'!C:C)</f>
        <v/>
      </c>
      <c r="P82" s="60">
        <f>-SUMIF('ABA TB'!$T:$T,'ABA P&amp;L'!$A82,'ABA TB'!D:D)</f>
        <v/>
      </c>
      <c r="Q82" s="60">
        <f>-SUMIF('ABA TB'!$T:$T,'ABA P&amp;L'!$A82,'ABA TB'!E:E)</f>
        <v/>
      </c>
      <c r="R82" s="60">
        <f>-SUMIF('ABA TB'!$T:$T,'ABA P&amp;L'!$A82,'ABA TB'!F:F)</f>
        <v/>
      </c>
      <c r="S82" s="60">
        <f>-SUMIF('ABA TB'!$T:$T,'ABA P&amp;L'!$A82,'ABA TB'!G:G)</f>
        <v/>
      </c>
      <c r="T82" s="60">
        <f>-SUMIF('ABA TB'!$T:$T,'ABA P&amp;L'!$A82,'ABA TB'!H:H)</f>
        <v/>
      </c>
      <c r="U82" s="60">
        <f>-SUMIF('ABA TB'!$T:$T,'ABA P&amp;L'!$A82,'ABA TB'!I:I)</f>
        <v/>
      </c>
      <c r="V82" s="60">
        <f>-SUMIF('ABA TB'!$T:$T,'ABA P&amp;L'!$A82,'ABA TB'!J:J)</f>
        <v/>
      </c>
      <c r="W82" s="60">
        <f>-SUMIF('ABA TB'!$T:$T,'ABA P&amp;L'!$A82,'ABA TB'!K:K)</f>
        <v/>
      </c>
      <c r="X82" s="60">
        <f>-SUMIF('ABA TB'!$T:$T,'ABA P&amp;L'!$A82,'ABA TB'!L:L)</f>
        <v/>
      </c>
      <c r="Y82" s="60">
        <f>-SUMIF('ABA TB'!$T:$T,'ABA P&amp;L'!$A82,'ABA TB'!M:M)</f>
        <v/>
      </c>
      <c r="Z82" s="60">
        <f>-SUMIF('ABA TB'!$T:$T,'ABA P&amp;L'!$A82,'ABA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148" t="n">
        <v>0</v>
      </c>
      <c r="AJ82" s="148" t="n">
        <v>0</v>
      </c>
      <c r="AK82" s="148" t="n">
        <v>0</v>
      </c>
      <c r="AL82" s="148" t="n">
        <v>0</v>
      </c>
      <c r="AM82" s="148" t="n">
        <v>0</v>
      </c>
      <c r="AN82" s="148" t="n">
        <v>0</v>
      </c>
      <c r="AO82" s="149">
        <f>SUM(AC82:AH82)+SUM(AI82:AN82)</f>
        <v/>
      </c>
      <c r="AP82" s="145">
        <f>IF(AB82&lt;&gt;0,(AO82-AB82)/ABS(AB82),0)</f>
        <v/>
      </c>
    </row>
    <row r="83" ht="15.75" customHeight="1">
      <c r="A83" s="64" t="n"/>
      <c r="B83" s="64" t="n">
        <v>15777.83</v>
      </c>
      <c r="C83" s="64" t="n">
        <v>31494.3</v>
      </c>
      <c r="D83" s="64" t="n">
        <v>47767.26</v>
      </c>
      <c r="E83" s="64" t="n">
        <v>24032.97000000001</v>
      </c>
      <c r="F83" s="64" t="n">
        <v>13742.18000000001</v>
      </c>
      <c r="G83" s="64" t="n">
        <v>48519.64</v>
      </c>
      <c r="H83" s="64" t="n">
        <v>55791.83</v>
      </c>
      <c r="I83" s="64" t="n">
        <v>10399.73</v>
      </c>
      <c r="J83" s="64" t="n">
        <v>13761.58</v>
      </c>
      <c r="K83" s="64" t="n">
        <v>32819.77</v>
      </c>
      <c r="L83" s="64" t="n">
        <v>32964.98</v>
      </c>
      <c r="M83" s="64" t="n"/>
      <c r="N83" s="64" t="n"/>
      <c r="O83" s="64">
        <f>SUM(O77:O82)</f>
        <v/>
      </c>
      <c r="P83" s="64">
        <f>SUM(P77:P82)</f>
        <v/>
      </c>
      <c r="Q83" s="64">
        <f>SUM(Q77:Q82)</f>
        <v/>
      </c>
      <c r="R83" s="64">
        <f>SUM(R77:R82)</f>
        <v/>
      </c>
      <c r="S83" s="64">
        <f>SUM(S77:S82)</f>
        <v/>
      </c>
      <c r="T83" s="64">
        <f>SUM(T77:T82)</f>
        <v/>
      </c>
      <c r="U83" s="64">
        <f>SUM(U77:U82)</f>
        <v/>
      </c>
      <c r="V83" s="64">
        <f>SUM(V77:V82)</f>
        <v/>
      </c>
      <c r="W83" s="64">
        <f>SUM(W77:W82)</f>
        <v/>
      </c>
      <c r="X83" s="64">
        <f>SUM(X77:X82)</f>
        <v/>
      </c>
      <c r="Y83" s="64">
        <f>SUM(Y77:Y82)</f>
        <v/>
      </c>
      <c r="Z83" s="64">
        <f>SUM(Z77:Z82)</f>
        <v/>
      </c>
      <c r="AA83" s="8" t="n"/>
      <c r="AB83" s="8" t="n"/>
      <c r="AC83" s="64" t="n"/>
      <c r="AD83" s="64" t="n"/>
      <c r="AE83" s="64" t="n"/>
      <c r="AF83" s="64" t="n"/>
      <c r="AG83" s="64" t="n"/>
      <c r="AH83" s="64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50">
        <f>SUM(AC83:AH83)+SUM(AI83:AN83)</f>
        <v/>
      </c>
      <c r="AP83" s="145">
        <f>IF(AB83&lt;&gt;0,(AO83-AB83)/ABS(AB83),0)</f>
        <v/>
      </c>
    </row>
    <row r="84" ht="15.75" customHeight="1">
      <c r="A84" s="8" t="n"/>
      <c r="B84" s="60" t="n">
        <v>0</v>
      </c>
      <c r="C84" s="60" t="n">
        <v>0</v>
      </c>
      <c r="D84" s="60" t="n">
        <v>0</v>
      </c>
      <c r="E84" s="60" t="n">
        <v>0</v>
      </c>
      <c r="F84" s="60" t="n">
        <v>0</v>
      </c>
      <c r="G84" s="60" t="n">
        <v>0</v>
      </c>
      <c r="H84" s="60" t="n">
        <v>0</v>
      </c>
      <c r="I84" s="60" t="n">
        <v>0</v>
      </c>
      <c r="J84" s="60" t="n">
        <v>0</v>
      </c>
      <c r="K84" s="60" t="n">
        <v>0</v>
      </c>
      <c r="L84" s="60" t="n">
        <v>0</v>
      </c>
      <c r="M84" s="8" t="n"/>
      <c r="N84" s="8" t="n"/>
      <c r="O84" s="60">
        <f>+O70-O83</f>
        <v/>
      </c>
      <c r="P84" s="60">
        <f>+P70-P83</f>
        <v/>
      </c>
      <c r="Q84" s="60">
        <f>+Q70-Q83</f>
        <v/>
      </c>
      <c r="R84" s="60">
        <f>+R70-R83</f>
        <v/>
      </c>
      <c r="S84" s="60">
        <f>+S70-S83</f>
        <v/>
      </c>
      <c r="T84" s="60">
        <f>+T70-T83</f>
        <v/>
      </c>
      <c r="U84" s="60">
        <f>+U70-U83</f>
        <v/>
      </c>
      <c r="V84" s="60">
        <f>+V70-V83</f>
        <v/>
      </c>
      <c r="W84" s="60">
        <f>+W70-W83</f>
        <v/>
      </c>
      <c r="X84" s="60">
        <f>+X70-X83</f>
        <v/>
      </c>
      <c r="Y84" s="60">
        <f>+Y70-Y83</f>
        <v/>
      </c>
      <c r="Z84" s="60">
        <f>+Z70-Z83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48" t="n">
        <v>0</v>
      </c>
      <c r="AJ84" s="148" t="n">
        <v>0</v>
      </c>
      <c r="AK84" s="148" t="n">
        <v>0</v>
      </c>
      <c r="AL84" s="148" t="n">
        <v>0</v>
      </c>
      <c r="AM84" s="148" t="n">
        <v>0</v>
      </c>
      <c r="AN84" s="148" t="n">
        <v>0</v>
      </c>
      <c r="AO84" s="149">
        <f>SUM(AC84:AH84)+SUM(AI84:AN84)</f>
        <v/>
      </c>
      <c r="AP84" s="145">
        <f>IF(AB84&lt;&gt;0,(AO84-AB84)/ABS(AB84),0)</f>
        <v/>
      </c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5" t="inlineStr">
        <is>
          <t>CHECK TO TB</t>
        </is>
      </c>
      <c r="B86" s="65" t="n">
        <v>0</v>
      </c>
      <c r="C86" s="65" t="n">
        <v>0</v>
      </c>
      <c r="D86" s="65" t="n">
        <v>0</v>
      </c>
      <c r="E86" s="65" t="n">
        <v>0</v>
      </c>
      <c r="F86" s="65" t="n">
        <v>0</v>
      </c>
      <c r="G86" s="65" t="n">
        <v>0</v>
      </c>
      <c r="H86" s="65" t="n">
        <v>0</v>
      </c>
      <c r="I86" s="65" t="n">
        <v>0</v>
      </c>
      <c r="J86" s="65" t="n">
        <v>0</v>
      </c>
      <c r="K86" s="65" t="n"/>
      <c r="L86" s="65" t="n"/>
      <c r="M86" s="65" t="n"/>
      <c r="N86" s="8" t="n"/>
      <c r="O86" s="65">
        <f>O83+O87</f>
        <v/>
      </c>
      <c r="P86" s="65">
        <f>P83+P87</f>
        <v/>
      </c>
      <c r="Q86" s="65">
        <f>Q83+Q87</f>
        <v/>
      </c>
      <c r="R86" s="65">
        <f>R83+R87</f>
        <v/>
      </c>
      <c r="S86" s="65">
        <f>S83+S87</f>
        <v/>
      </c>
      <c r="T86" s="65">
        <f>T83+T87</f>
        <v/>
      </c>
      <c r="U86" s="65">
        <f>U83+U87</f>
        <v/>
      </c>
      <c r="V86" s="65">
        <f>V83+V87</f>
        <v/>
      </c>
      <c r="W86" s="65">
        <f>W83+W87</f>
        <v/>
      </c>
      <c r="X86" s="65">
        <f>X83+X87</f>
        <v/>
      </c>
      <c r="Y86" s="65">
        <f>Y83+Y87</f>
        <v/>
      </c>
      <c r="Z86" s="65">
        <f>Z83+Z87</f>
        <v/>
      </c>
      <c r="AA86" s="8" t="n"/>
      <c r="AB86" s="8" t="n"/>
      <c r="AC86" s="65" t="n"/>
      <c r="AD86" s="65" t="n"/>
      <c r="AE86" s="65" t="n"/>
      <c r="AF86" s="65" t="n"/>
      <c r="AG86" s="65" t="n"/>
      <c r="AH86" s="65" t="n"/>
      <c r="AI86" s="134" t="n">
        <v>0</v>
      </c>
      <c r="AJ86" s="134" t="n">
        <v>0</v>
      </c>
      <c r="AK86" s="134" t="n">
        <v>0</v>
      </c>
      <c r="AL86" s="134" t="n">
        <v>0</v>
      </c>
      <c r="AM86" s="134" t="n">
        <v>0</v>
      </c>
      <c r="AN86" s="134" t="n">
        <v>0</v>
      </c>
      <c r="AO86" s="151">
        <f>SUM(AC86:AH86)+SUM(AI86:AN86)</f>
        <v/>
      </c>
      <c r="AP86" s="145">
        <f>IF(AB86&lt;&gt;0,(AO86-AB86)/ABS(AB86),0)</f>
        <v/>
      </c>
    </row>
    <row r="87">
      <c r="A87" s="65" t="n"/>
      <c r="B87" s="65" t="n">
        <v>-15777.83</v>
      </c>
      <c r="C87" s="65" t="n">
        <v>-31494.3</v>
      </c>
      <c r="D87" s="65" t="n">
        <v>-47767.26000000002</v>
      </c>
      <c r="E87" s="65" t="n">
        <v>-24032.97</v>
      </c>
      <c r="F87" s="65" t="n">
        <v>-13742.18</v>
      </c>
      <c r="G87" s="65" t="n">
        <v>-48519.64000000001</v>
      </c>
      <c r="H87" s="65" t="n">
        <v>-55791.83</v>
      </c>
      <c r="I87" s="65" t="n">
        <v>-10399.73</v>
      </c>
      <c r="J87" s="65" t="n">
        <v>-13761.58</v>
      </c>
      <c r="K87" s="65" t="n"/>
      <c r="L87" s="65" t="n"/>
      <c r="M87" s="65" t="n"/>
      <c r="N87" s="8" t="n"/>
      <c r="O87" s="65">
        <f>SUM('ABA TB'!C2:C44)</f>
        <v/>
      </c>
      <c r="P87" s="65">
        <f>SUM('ABA TB'!D2:D44)</f>
        <v/>
      </c>
      <c r="Q87" s="65">
        <f>SUM('ABA TB'!E2:E44)</f>
        <v/>
      </c>
      <c r="R87" s="65">
        <f>SUM('ABA TB'!F2:F44)</f>
        <v/>
      </c>
      <c r="S87" s="65">
        <f>SUM('ABA TB'!G2:G44)</f>
        <v/>
      </c>
      <c r="T87" s="65">
        <f>SUM('ABA TB'!H2:H44)</f>
        <v/>
      </c>
      <c r="U87" s="65">
        <f>SUM('ABA TB'!I2:I44)</f>
        <v/>
      </c>
      <c r="V87" s="65">
        <f>SUM('ABA TB'!J2:J44)</f>
        <v/>
      </c>
      <c r="W87" s="65">
        <f>SUM('ABA TB'!K2:K44)</f>
        <v/>
      </c>
      <c r="X87" s="65">
        <f>SUM('ABA TB'!L2:L44)</f>
        <v/>
      </c>
      <c r="Y87" s="65">
        <f>SUM('ABA TB'!M2:M44)</f>
        <v/>
      </c>
      <c r="Z87" s="65">
        <f>SUM('ABA TB'!N2:N44)</f>
        <v/>
      </c>
      <c r="AA87" s="8" t="n"/>
      <c r="AB87" s="8" t="n"/>
      <c r="AC87" s="65" t="n"/>
      <c r="AD87" s="65" t="n"/>
      <c r="AE87" s="65" t="n"/>
      <c r="AF87" s="65" t="n"/>
      <c r="AG87" s="65" t="n"/>
      <c r="AH87" s="65" t="n"/>
      <c r="AI87" s="134" t="n">
        <v>0</v>
      </c>
      <c r="AJ87" s="134" t="n">
        <v>0</v>
      </c>
      <c r="AK87" s="134" t="n">
        <v>0</v>
      </c>
      <c r="AL87" s="134" t="n">
        <v>0</v>
      </c>
      <c r="AM87" s="134" t="n">
        <v>0</v>
      </c>
      <c r="AN87" s="134" t="n">
        <v>0</v>
      </c>
      <c r="AO87" s="151">
        <f>SUM(AC87:AH87)+SUM(AI87:AN87)</f>
        <v/>
      </c>
      <c r="AP87" s="145">
        <f>IF(AB87&lt;&gt;0,(AO87-AB87)/ABS(AB87),0)</f>
        <v/>
      </c>
    </row>
    <row r="88">
      <c r="A88" s="22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285156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Bees Knees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>
        <f>SUM(O8:O9)</f>
        <v/>
      </c>
      <c r="P6" s="31">
        <f>SUM(P8:P9)</f>
        <v/>
      </c>
      <c r="Q6" s="31">
        <f>SUM(Q8:Q9)</f>
        <v/>
      </c>
      <c r="R6" s="31">
        <f>SUM(R8:R9)</f>
        <v/>
      </c>
      <c r="S6" s="31">
        <f>SUM(S8:S9)</f>
        <v/>
      </c>
      <c r="T6" s="31">
        <f>SUM(T8:T9)</f>
        <v/>
      </c>
      <c r="U6" s="31">
        <f>SUM(U8:U9)</f>
        <v/>
      </c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9">
        <f>SUM(AC6:AH6)+SUM(AI6:AN6)</f>
        <v/>
      </c>
      <c r="AP6" s="121">
        <f>IF(AB6&lt;&gt;0,(AO6-AB6)/ABS(AB6),0)</f>
        <v/>
      </c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28822.91</v>
      </c>
      <c r="C8" s="35" t="n">
        <v>27527.48</v>
      </c>
      <c r="D8" s="35" t="n">
        <v>31969.83</v>
      </c>
      <c r="E8" s="35" t="n">
        <v>35157.71</v>
      </c>
      <c r="F8" s="35" t="n">
        <v>28423.99</v>
      </c>
      <c r="G8" s="35" t="n">
        <v>26822.46</v>
      </c>
      <c r="H8" s="35" t="n">
        <v>35071.73</v>
      </c>
      <c r="I8" s="35" t="n">
        <v>29292.16</v>
      </c>
      <c r="J8" s="35" t="n">
        <v>20414.75</v>
      </c>
      <c r="K8" s="35" t="n">
        <v>19819.13</v>
      </c>
      <c r="L8" s="35" t="n">
        <v>18348.67</v>
      </c>
      <c r="M8" s="35" t="n">
        <v>27249.99</v>
      </c>
      <c r="N8" s="36">
        <f>SUM(B8:M8)</f>
        <v/>
      </c>
      <c r="O8" s="37" t="n">
        <v>23326.89999999999</v>
      </c>
      <c r="P8" s="37" t="n">
        <v>20657.48</v>
      </c>
      <c r="Q8" s="37" t="n">
        <v>21148.33</v>
      </c>
      <c r="R8" s="37" t="n">
        <v>24565.23000000001</v>
      </c>
      <c r="S8" s="37" t="n">
        <v>21826.64</v>
      </c>
      <c r="T8" s="37" t="n">
        <v>23094.61</v>
      </c>
      <c r="U8" s="37" t="n">
        <v>27100.72</v>
      </c>
      <c r="V8" s="38" t="n">
        <v>22776</v>
      </c>
      <c r="W8" s="38" t="n">
        <v>16164</v>
      </c>
      <c r="X8" s="38" t="n">
        <v>15373</v>
      </c>
      <c r="Y8" s="38" t="n">
        <v>14600</v>
      </c>
      <c r="Z8" s="38" t="n">
        <v>19758</v>
      </c>
      <c r="AA8" s="36">
        <f>SUM(O8:U8)</f>
        <v/>
      </c>
      <c r="AB8" s="36">
        <f>SUM(O8:Z8)</f>
        <v/>
      </c>
      <c r="AC8" s="38" t="n">
        <v>33849.27</v>
      </c>
      <c r="AD8" s="38" t="n">
        <v>40863.29</v>
      </c>
      <c r="AE8" s="38" t="n">
        <v>33168.87</v>
      </c>
      <c r="AF8" s="38" t="n">
        <v>37302.1</v>
      </c>
      <c r="AG8" s="38" t="n">
        <v>39624.94</v>
      </c>
      <c r="AH8" s="38" t="n">
        <v>49227.72</v>
      </c>
      <c r="AI8" s="117" t="n">
        <v>49227.72</v>
      </c>
      <c r="AJ8" s="118" t="n">
        <v>49227.72</v>
      </c>
      <c r="AK8" s="118" t="n">
        <v>49227.72</v>
      </c>
      <c r="AL8" s="118" t="n">
        <v>49227.72</v>
      </c>
      <c r="AM8" s="119" t="n">
        <v>49227.72</v>
      </c>
      <c r="AN8" s="117" t="n">
        <v>49227.72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8562.4</v>
      </c>
      <c r="C9" s="35" t="n">
        <v>8562.4</v>
      </c>
      <c r="D9" s="35" t="n">
        <v>33256.45</v>
      </c>
      <c r="E9" s="35" t="n">
        <v>10591.2</v>
      </c>
      <c r="F9" s="35" t="n">
        <v>10591.2</v>
      </c>
      <c r="G9" s="35" t="n">
        <v>21480.3</v>
      </c>
      <c r="H9" s="35" t="n">
        <v>21480.3</v>
      </c>
      <c r="I9" s="35" t="n">
        <v>0</v>
      </c>
      <c r="J9" s="35" t="n">
        <v>15872.22</v>
      </c>
      <c r="K9" s="35" t="n">
        <v>15872.22</v>
      </c>
      <c r="L9" s="35" t="n">
        <v>18615.75</v>
      </c>
      <c r="M9" s="35" t="n">
        <v>19798.35</v>
      </c>
      <c r="N9" s="36">
        <f>SUM(B9:M9)</f>
        <v/>
      </c>
      <c r="O9" s="37" t="n">
        <v>18772.32</v>
      </c>
      <c r="P9" s="37" t="n">
        <v>23544.12</v>
      </c>
      <c r="Q9" s="37" t="n">
        <v>23544.12</v>
      </c>
      <c r="R9" s="37" t="n">
        <v>16732.05</v>
      </c>
      <c r="S9" s="37" t="n">
        <v>16732.05</v>
      </c>
      <c r="T9" s="37" t="n">
        <v>18043.28</v>
      </c>
      <c r="U9" s="37" t="n">
        <v>18043.28</v>
      </c>
      <c r="V9" s="38" t="n"/>
      <c r="W9" s="38" t="n">
        <v>16184.02</v>
      </c>
      <c r="X9" s="38" t="n">
        <v>17636</v>
      </c>
      <c r="Y9" s="38" t="n">
        <v>17121</v>
      </c>
      <c r="Z9" s="38" t="n">
        <v>9939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100</v>
      </c>
      <c r="C10" s="35" t="n">
        <v>0</v>
      </c>
      <c r="D10" s="35" t="n">
        <v>100</v>
      </c>
      <c r="E10" s="35" t="n">
        <v>300</v>
      </c>
      <c r="F10" s="35" t="n">
        <v>0</v>
      </c>
      <c r="G10" s="35" t="n">
        <v>300</v>
      </c>
      <c r="H10" s="35" t="n">
        <v>0</v>
      </c>
      <c r="I10" s="35" t="n">
        <v>2568.76</v>
      </c>
      <c r="J10" s="35" t="n">
        <v>450</v>
      </c>
      <c r="K10" s="35" t="n">
        <v>150</v>
      </c>
      <c r="L10" s="35" t="n">
        <v>300</v>
      </c>
      <c r="M10" s="35" t="n">
        <v>300</v>
      </c>
      <c r="N10" s="36">
        <f>SUM(B10:M10)</f>
        <v/>
      </c>
      <c r="O10" s="37" t="n">
        <v>650</v>
      </c>
      <c r="P10" s="37" t="n">
        <v>150</v>
      </c>
      <c r="Q10" s="37" t="n">
        <v>300</v>
      </c>
      <c r="R10" s="37" t="n">
        <v>150</v>
      </c>
      <c r="S10" s="37" t="n">
        <v>150</v>
      </c>
      <c r="T10" s="37" t="n">
        <v>0</v>
      </c>
      <c r="U10" s="37" t="n">
        <v>300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37485.31</v>
      </c>
      <c r="C11" s="42" t="n">
        <v>36089.88</v>
      </c>
      <c r="D11" s="42" t="n">
        <v>65326.28</v>
      </c>
      <c r="E11" s="42" t="n">
        <v>46048.91</v>
      </c>
      <c r="F11" s="42" t="n">
        <v>39015.19</v>
      </c>
      <c r="G11" s="42" t="n">
        <v>48602.76</v>
      </c>
      <c r="H11" s="42" t="n">
        <v>56552.03</v>
      </c>
      <c r="I11" s="42" t="n">
        <v>31860.92</v>
      </c>
      <c r="J11" s="42" t="n">
        <v>36736.97</v>
      </c>
      <c r="K11" s="42" t="n">
        <v>35841.35</v>
      </c>
      <c r="L11" s="42" t="n">
        <v>37264.42</v>
      </c>
      <c r="M11" s="42" t="n">
        <v>47348.34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17812.5</v>
      </c>
      <c r="C16" s="35" t="n">
        <v>17339.68</v>
      </c>
      <c r="D16" s="35" t="n">
        <v>20177.72</v>
      </c>
      <c r="E16" s="35" t="n">
        <v>22232.54</v>
      </c>
      <c r="F16" s="35" t="n">
        <v>22270.94</v>
      </c>
      <c r="G16" s="35" t="n">
        <v>23588.71</v>
      </c>
      <c r="H16" s="35" t="n">
        <v>23343.5</v>
      </c>
      <c r="I16" s="35" t="n">
        <v>23511.85</v>
      </c>
      <c r="J16" s="35" t="n">
        <v>20681.56</v>
      </c>
      <c r="K16" s="35" t="n">
        <v>22301.58</v>
      </c>
      <c r="L16" s="35" t="n">
        <v>19748.45</v>
      </c>
      <c r="M16" s="35" t="n">
        <v>21714.13</v>
      </c>
      <c r="N16" s="36">
        <f>SUM(B16:M16)</f>
        <v/>
      </c>
      <c r="O16" s="37" t="n">
        <v>22032.4</v>
      </c>
      <c r="P16" s="37" t="n">
        <v>23448.09</v>
      </c>
      <c r="Q16" s="37" t="n">
        <v>21766.47</v>
      </c>
      <c r="R16" s="37" t="n">
        <v>24395.78</v>
      </c>
      <c r="S16" s="37" t="n">
        <v>23187.74</v>
      </c>
      <c r="T16" s="37" t="n">
        <v>23614.63</v>
      </c>
      <c r="U16" s="37" t="n">
        <v>23226.6</v>
      </c>
      <c r="V16" s="38" t="n">
        <v>23226.6</v>
      </c>
      <c r="W16" s="38" t="n">
        <v>23226.6</v>
      </c>
      <c r="X16" s="38" t="n">
        <v>23226.6</v>
      </c>
      <c r="Y16" s="38" t="n">
        <v>23226.6</v>
      </c>
      <c r="Z16" s="38" t="n">
        <v>23226.6</v>
      </c>
      <c r="AA16" s="36">
        <f>SUM(O16:U16)</f>
        <v/>
      </c>
      <c r="AB16" s="36">
        <f>SUM(O16:Z16)</f>
        <v/>
      </c>
      <c r="AC16" s="38" t="n">
        <v>23226.6</v>
      </c>
      <c r="AD16" s="38" t="n">
        <v>23226.6</v>
      </c>
      <c r="AE16" s="38" t="n">
        <v>23226.6</v>
      </c>
      <c r="AF16" s="38" t="n">
        <v>23226.6</v>
      </c>
      <c r="AG16" s="38" t="n">
        <v>23226.6</v>
      </c>
      <c r="AH16" s="38" t="n">
        <v>23226.6</v>
      </c>
      <c r="AI16" s="117" t="n">
        <v>23226.6</v>
      </c>
      <c r="AJ16" s="118" t="n">
        <v>23226.6</v>
      </c>
      <c r="AK16" s="118" t="n">
        <v>23226.6</v>
      </c>
      <c r="AL16" s="118" t="n">
        <v>23226.6</v>
      </c>
      <c r="AM16" s="119" t="n">
        <v>23226.6</v>
      </c>
      <c r="AN16" s="117" t="n">
        <v>23226.6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1475.26</v>
      </c>
      <c r="C17" s="35" t="n">
        <v>1417.07</v>
      </c>
      <c r="D17" s="35" t="n">
        <v>1686.46</v>
      </c>
      <c r="E17" s="35" t="n">
        <v>2563.92</v>
      </c>
      <c r="F17" s="35" t="n">
        <v>2567.89</v>
      </c>
      <c r="G17" s="35" t="n">
        <v>2767.34</v>
      </c>
      <c r="H17" s="35" t="n">
        <v>2749.77</v>
      </c>
      <c r="I17" s="35" t="n">
        <v>2755.82</v>
      </c>
      <c r="J17" s="35" t="n">
        <v>2340.87</v>
      </c>
      <c r="K17" s="35" t="n">
        <v>2518.95</v>
      </c>
      <c r="L17" s="35" t="n">
        <v>2309.57</v>
      </c>
      <c r="M17" s="35" t="n">
        <v>2480.48</v>
      </c>
      <c r="N17" s="36">
        <f>SUM(B17:M17)</f>
        <v/>
      </c>
      <c r="O17" s="37" t="n">
        <v>2577.7</v>
      </c>
      <c r="P17" s="37" t="n">
        <v>2679.93</v>
      </c>
      <c r="Q17" s="37" t="n">
        <v>2363.36</v>
      </c>
      <c r="R17" s="37" t="n">
        <v>2662.5</v>
      </c>
      <c r="S17" s="37" t="n">
        <v>2390.53</v>
      </c>
      <c r="T17" s="37" t="n">
        <v>2246.22</v>
      </c>
      <c r="U17" s="37" t="n">
        <v>2177.1</v>
      </c>
      <c r="V17" s="38" t="n">
        <v>2177.1</v>
      </c>
      <c r="W17" s="38" t="n">
        <v>2177.1</v>
      </c>
      <c r="X17" s="38" t="n">
        <v>2177.1</v>
      </c>
      <c r="Y17" s="38" t="n">
        <v>2177.1</v>
      </c>
      <c r="Z17" s="38" t="n">
        <v>2177.1</v>
      </c>
      <c r="AA17" s="36">
        <f>SUM(O17:U17)</f>
        <v/>
      </c>
      <c r="AB17" s="36">
        <f>SUM(O17:Z17)</f>
        <v/>
      </c>
      <c r="AC17" s="38" t="n">
        <v>2177.1</v>
      </c>
      <c r="AD17" s="38" t="n">
        <v>2177.1</v>
      </c>
      <c r="AE17" s="38" t="n">
        <v>2177.1</v>
      </c>
      <c r="AF17" s="38" t="n">
        <v>2177.1</v>
      </c>
      <c r="AG17" s="38" t="n">
        <v>2177.1</v>
      </c>
      <c r="AH17" s="38" t="n">
        <v>2177.1</v>
      </c>
      <c r="AI17" s="117" t="n">
        <v>2177.1</v>
      </c>
      <c r="AJ17" s="118" t="n">
        <v>2177.1</v>
      </c>
      <c r="AK17" s="118" t="n">
        <v>2177.1</v>
      </c>
      <c r="AL17" s="118" t="n">
        <v>2177.1</v>
      </c>
      <c r="AM17" s="119" t="n">
        <v>2177.1</v>
      </c>
      <c r="AN17" s="117" t="n">
        <v>2177.1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347.13</v>
      </c>
      <c r="C18" s="35" t="n">
        <v>330.13</v>
      </c>
      <c r="D18" s="35" t="n">
        <v>333.41</v>
      </c>
      <c r="E18" s="35" t="n">
        <v>342.51</v>
      </c>
      <c r="F18" s="35" t="n">
        <v>397.67</v>
      </c>
      <c r="G18" s="35" t="n">
        <v>473.08</v>
      </c>
      <c r="H18" s="35" t="n">
        <v>489.34</v>
      </c>
      <c r="I18" s="35" t="n">
        <v>523.3099999999999</v>
      </c>
      <c r="J18" s="35" t="n">
        <v>440.32</v>
      </c>
      <c r="K18" s="35" t="n">
        <v>418.9</v>
      </c>
      <c r="L18" s="35" t="n">
        <v>382.73</v>
      </c>
      <c r="M18" s="35" t="n">
        <v>421.5700000000001</v>
      </c>
      <c r="N18" s="36">
        <f>SUM(B18:M18)</f>
        <v/>
      </c>
      <c r="O18" s="37" t="n">
        <v>404.05</v>
      </c>
      <c r="P18" s="37" t="n">
        <v>451.49</v>
      </c>
      <c r="Q18" s="37" t="n">
        <v>394.61</v>
      </c>
      <c r="R18" s="37" t="n">
        <v>507.74</v>
      </c>
      <c r="S18" s="37" t="n">
        <v>453.36</v>
      </c>
      <c r="T18" s="37" t="n">
        <v>427.58</v>
      </c>
      <c r="U18" s="37" t="n">
        <v>413.76</v>
      </c>
      <c r="V18" s="38" t="n">
        <v>413.76</v>
      </c>
      <c r="W18" s="38" t="n">
        <v>413.76</v>
      </c>
      <c r="X18" s="38" t="n">
        <v>413.76</v>
      </c>
      <c r="Y18" s="38" t="n">
        <v>413.76</v>
      </c>
      <c r="Z18" s="38" t="n">
        <v>413.76</v>
      </c>
      <c r="AA18" s="36">
        <f>SUM(O18:U18)</f>
        <v/>
      </c>
      <c r="AB18" s="36">
        <f>SUM(O18:Z18)</f>
        <v/>
      </c>
      <c r="AC18" s="38" t="n">
        <v>413.76</v>
      </c>
      <c r="AD18" s="38" t="n">
        <v>413.76</v>
      </c>
      <c r="AE18" s="38" t="n">
        <v>413.76</v>
      </c>
      <c r="AF18" s="38" t="n">
        <v>413.76</v>
      </c>
      <c r="AG18" s="38" t="n">
        <v>413.76</v>
      </c>
      <c r="AH18" s="38" t="n">
        <v>413.76</v>
      </c>
      <c r="AI18" s="117" t="n">
        <v>413.76</v>
      </c>
      <c r="AJ18" s="118" t="n">
        <v>413.76</v>
      </c>
      <c r="AK18" s="118" t="n">
        <v>413.76</v>
      </c>
      <c r="AL18" s="118" t="n">
        <v>413.76</v>
      </c>
      <c r="AM18" s="119" t="n">
        <v>413.76</v>
      </c>
      <c r="AN18" s="117" t="n">
        <v>413.76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59.28</v>
      </c>
      <c r="D19" s="35" t="n">
        <v>0</v>
      </c>
      <c r="E19" s="35" t="n">
        <v>105.18</v>
      </c>
      <c r="F19" s="35" t="n">
        <v>155.4</v>
      </c>
      <c r="G19" s="35" t="n">
        <v>104.69</v>
      </c>
      <c r="H19" s="35" t="n">
        <v>11.99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401.76</v>
      </c>
      <c r="N19" s="36">
        <f>SUM(B19:M19)</f>
        <v/>
      </c>
      <c r="O19" s="37" t="n">
        <v>0</v>
      </c>
      <c r="P19" s="37" t="n">
        <v>38.12</v>
      </c>
      <c r="Q19" s="37" t="n">
        <v>85.02</v>
      </c>
      <c r="R19" s="37" t="n">
        <v>51.5</v>
      </c>
      <c r="S19" s="37" t="n">
        <v>0</v>
      </c>
      <c r="T19" s="37" t="n">
        <v>0</v>
      </c>
      <c r="U19" s="37" t="n">
        <v>110.94</v>
      </c>
      <c r="V19" s="38" t="n">
        <v>50</v>
      </c>
      <c r="W19" s="38" t="n">
        <v>50</v>
      </c>
      <c r="X19" s="38" t="n">
        <v>50</v>
      </c>
      <c r="Y19" s="38" t="n">
        <v>50</v>
      </c>
      <c r="Z19" s="38" t="n">
        <v>50</v>
      </c>
      <c r="AA19" s="36">
        <f>SUM(O19:U19)</f>
        <v/>
      </c>
      <c r="AB19" s="36">
        <f>SUM(O19:Z19)</f>
        <v/>
      </c>
      <c r="AC19" s="38" t="n">
        <v>50</v>
      </c>
      <c r="AD19" s="38" t="n">
        <v>50</v>
      </c>
      <c r="AE19" s="38" t="n">
        <v>50</v>
      </c>
      <c r="AF19" s="38" t="n">
        <v>50</v>
      </c>
      <c r="AG19" s="38" t="n">
        <v>50</v>
      </c>
      <c r="AH19" s="38" t="n">
        <v>50</v>
      </c>
      <c r="AI19" s="117" t="n">
        <v>50</v>
      </c>
      <c r="AJ19" s="118" t="n">
        <v>50</v>
      </c>
      <c r="AK19" s="118" t="n">
        <v>50</v>
      </c>
      <c r="AL19" s="118" t="n">
        <v>50</v>
      </c>
      <c r="AM19" s="119" t="n">
        <v>50</v>
      </c>
      <c r="AN19" s="117" t="n">
        <v>50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57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24</v>
      </c>
      <c r="H20" s="35" t="n">
        <v>0</v>
      </c>
      <c r="I20" s="35" t="n">
        <v>33</v>
      </c>
      <c r="J20" s="35" t="n">
        <v>0</v>
      </c>
      <c r="K20" s="35" t="n">
        <v>684</v>
      </c>
      <c r="L20" s="35" t="n">
        <v>172.6</v>
      </c>
      <c r="M20" s="35" t="n">
        <v>384</v>
      </c>
      <c r="N20" s="36">
        <f>SUM(B20:M20)</f>
        <v/>
      </c>
      <c r="O20" s="37" t="n">
        <v>0</v>
      </c>
      <c r="P20" s="37" t="n">
        <v>114</v>
      </c>
      <c r="Q20" s="37" t="n">
        <v>480</v>
      </c>
      <c r="R20" s="37" t="n">
        <v>0</v>
      </c>
      <c r="S20" s="37" t="n">
        <v>0</v>
      </c>
      <c r="T20" s="37" t="n">
        <v>0</v>
      </c>
      <c r="U20" s="37" t="n">
        <v>83.88</v>
      </c>
      <c r="V20" s="38" t="n">
        <v>0</v>
      </c>
      <c r="W20" s="38" t="n">
        <v>0</v>
      </c>
      <c r="X20" s="38" t="n">
        <v>0</v>
      </c>
      <c r="Y20" s="38" t="n">
        <v>0</v>
      </c>
      <c r="Z20" s="38" t="n">
        <v>0</v>
      </c>
      <c r="AA20" s="36">
        <f>SUM(O20:U20)</f>
        <v/>
      </c>
      <c r="AB20" s="36">
        <f>SUM(O20:Z20)</f>
        <v/>
      </c>
      <c r="AC20" s="38" t="n">
        <v>0</v>
      </c>
      <c r="AD20" s="38" t="n">
        <v>0</v>
      </c>
      <c r="AE20" s="38" t="n">
        <v>0</v>
      </c>
      <c r="AF20" s="38" t="n">
        <v>0</v>
      </c>
      <c r="AG20" s="38" t="n">
        <v>0</v>
      </c>
      <c r="AH20" s="38" t="n">
        <v>0</v>
      </c>
      <c r="AI20" s="117" t="n">
        <v>0</v>
      </c>
      <c r="AJ20" s="118" t="n">
        <v>0</v>
      </c>
      <c r="AK20" s="118" t="n">
        <v>0</v>
      </c>
      <c r="AL20" s="118" t="n">
        <v>0</v>
      </c>
      <c r="AM20" s="119" t="n">
        <v>0</v>
      </c>
      <c r="AN20" s="117" t="n">
        <v>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53.68</v>
      </c>
      <c r="C21" s="35" t="n">
        <v>350.21</v>
      </c>
      <c r="D21" s="35" t="n">
        <v>17.06</v>
      </c>
      <c r="E21" s="35" t="n">
        <v>46.05</v>
      </c>
      <c r="F21" s="35" t="n">
        <v>300.11</v>
      </c>
      <c r="G21" s="35" t="n">
        <v>272.05</v>
      </c>
      <c r="H21" s="35" t="n">
        <v>224.64</v>
      </c>
      <c r="I21" s="35" t="n">
        <v>246.79</v>
      </c>
      <c r="J21" s="35" t="n">
        <v>129.2</v>
      </c>
      <c r="K21" s="35" t="n">
        <v>88.43000000000001</v>
      </c>
      <c r="L21" s="35" t="n">
        <v>342.9</v>
      </c>
      <c r="M21" s="35" t="n">
        <v>243.13</v>
      </c>
      <c r="N21" s="36">
        <f>SUM(B21:M21)</f>
        <v/>
      </c>
      <c r="O21" s="37" t="n">
        <v>727.6899999999999</v>
      </c>
      <c r="P21" s="37" t="n">
        <v>91.99000000000001</v>
      </c>
      <c r="Q21" s="37" t="n">
        <v>354.17</v>
      </c>
      <c r="R21" s="37" t="n">
        <v>348.94</v>
      </c>
      <c r="S21" s="37" t="n">
        <v>77.08</v>
      </c>
      <c r="T21" s="37" t="n">
        <v>154.95</v>
      </c>
      <c r="U21" s="37" t="n">
        <v>550.89</v>
      </c>
      <c r="V21" s="38" t="n">
        <v>80</v>
      </c>
      <c r="W21" s="38" t="n">
        <v>80</v>
      </c>
      <c r="X21" s="38" t="n">
        <v>80</v>
      </c>
      <c r="Y21" s="38" t="n">
        <v>80</v>
      </c>
      <c r="Z21" s="38" t="n">
        <v>80</v>
      </c>
      <c r="AA21" s="36">
        <f>SUM(O21:U21)</f>
        <v/>
      </c>
      <c r="AB21" s="36">
        <f>SUM(O21:Z21)</f>
        <v/>
      </c>
      <c r="AC21" s="38" t="n">
        <v>80</v>
      </c>
      <c r="AD21" s="38" t="n">
        <v>80</v>
      </c>
      <c r="AE21" s="38" t="n">
        <v>80</v>
      </c>
      <c r="AF21" s="38" t="n">
        <v>80</v>
      </c>
      <c r="AG21" s="38" t="n">
        <v>80</v>
      </c>
      <c r="AH21" s="38" t="n">
        <v>80</v>
      </c>
      <c r="AI21" s="117" t="n">
        <v>80</v>
      </c>
      <c r="AJ21" s="118" t="n">
        <v>80</v>
      </c>
      <c r="AK21" s="118" t="n">
        <v>80</v>
      </c>
      <c r="AL21" s="118" t="n">
        <v>80</v>
      </c>
      <c r="AM21" s="119" t="n">
        <v>80</v>
      </c>
      <c r="AN21" s="117" t="n">
        <v>80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3861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SUMIF('BK TB '!$R:$R,'BK P&amp;L'!$A22,'BK TB '!C:C)</f>
        <v/>
      </c>
      <c r="P22" s="37">
        <f>SUMIF('BK TB '!$R:$R,'BK P&amp;L'!$A22,'BK TB '!D:D)</f>
        <v/>
      </c>
      <c r="Q22" s="37">
        <f>SUMIF('BK TB '!$R:$R,'BK P&amp;L'!$A22,'BK TB '!E:E)</f>
        <v/>
      </c>
      <c r="R22" s="37">
        <f>SUMIF('BK TB '!$R:$R,'BK P&amp;L'!$A22,'BK TB '!F:F)</f>
        <v/>
      </c>
      <c r="S22" s="37">
        <f>SUMIF('BK TB '!$R:$R,'BK P&amp;L'!$A22,'BK TB '!G:G)</f>
        <v/>
      </c>
      <c r="T22" s="37">
        <f>SUMIF('BK TB '!$R:$R,'BK P&amp;L'!$A22,'BK TB '!H:H)</f>
        <v/>
      </c>
      <c r="U22" s="37">
        <f>SUMIF('BK TB '!$R:$R,'BK P&amp;L'!$A22,'BK TB 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12.8</v>
      </c>
      <c r="I23" s="35" t="n">
        <v>0</v>
      </c>
      <c r="J23" s="35" t="n">
        <v>22.88</v>
      </c>
      <c r="K23" s="35" t="n">
        <v>0</v>
      </c>
      <c r="L23" s="35" t="n">
        <v>50.97</v>
      </c>
      <c r="M23" s="35" t="n">
        <v>88.44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55.97</v>
      </c>
      <c r="S23" s="37" t="n">
        <v>47.98</v>
      </c>
      <c r="T23" s="37" t="n">
        <v>7.99</v>
      </c>
      <c r="U23" s="37" t="n">
        <v>38.98</v>
      </c>
      <c r="V23" s="38" t="n">
        <v>33</v>
      </c>
      <c r="W23" s="38" t="n">
        <v>33</v>
      </c>
      <c r="X23" s="38" t="n">
        <v>33</v>
      </c>
      <c r="Y23" s="38" t="n">
        <v>33</v>
      </c>
      <c r="Z23" s="38" t="n">
        <v>33</v>
      </c>
      <c r="AA23" s="36">
        <f>SUM(O23:U23)</f>
        <v/>
      </c>
      <c r="AB23" s="36">
        <f>SUM(O23:Z23)</f>
        <v/>
      </c>
      <c r="AC23" s="38" t="n">
        <v>33</v>
      </c>
      <c r="AD23" s="38" t="n">
        <v>33</v>
      </c>
      <c r="AE23" s="38" t="n">
        <v>33</v>
      </c>
      <c r="AF23" s="38" t="n">
        <v>33</v>
      </c>
      <c r="AG23" s="38" t="n">
        <v>33</v>
      </c>
      <c r="AH23" s="38" t="n">
        <v>33</v>
      </c>
      <c r="AI23" s="117" t="n">
        <v>33</v>
      </c>
      <c r="AJ23" s="118" t="n">
        <v>33</v>
      </c>
      <c r="AK23" s="118" t="n">
        <v>33</v>
      </c>
      <c r="AL23" s="118" t="n">
        <v>33</v>
      </c>
      <c r="AM23" s="119" t="n">
        <v>33</v>
      </c>
      <c r="AN23" s="117" t="n">
        <v>33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475.44</v>
      </c>
      <c r="L24" s="35" t="n">
        <v>0</v>
      </c>
      <c r="M24" s="35" t="n">
        <v>0</v>
      </c>
      <c r="N24" s="36">
        <f>SUM(B24:M24)</f>
        <v/>
      </c>
      <c r="O24" s="37">
        <f>SUMIF('BK TB '!$R:$R,'BK P&amp;L'!$A24,'BK TB '!C:C)</f>
        <v/>
      </c>
      <c r="P24" s="37">
        <f>SUMIF('BK TB '!$R:$R,'BK P&amp;L'!$A24,'BK TB '!D:D)</f>
        <v/>
      </c>
      <c r="Q24" s="37">
        <f>SUMIF('BK TB '!$R:$R,'BK P&amp;L'!$A24,'BK TB '!E:E)</f>
        <v/>
      </c>
      <c r="R24" s="37">
        <f>SUMIF('BK TB '!$R:$R,'BK P&amp;L'!$A24,'BK TB '!F:F)</f>
        <v/>
      </c>
      <c r="S24" s="37">
        <f>SUMIF('BK TB '!$R:$R,'BK P&amp;L'!$A24,'BK TB '!G:G)</f>
        <v/>
      </c>
      <c r="T24" s="37">
        <f>SUMIF('BK TB '!$R:$R,'BK P&amp;L'!$A24,'BK TB '!H:H)</f>
        <v/>
      </c>
      <c r="U24" s="37">
        <f>SUMIF('BK TB '!$R:$R,'BK P&amp;L'!$A24,'BK TB 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19745.57</v>
      </c>
      <c r="C25" s="42" t="n">
        <v>19496.37</v>
      </c>
      <c r="D25" s="42" t="n">
        <v>22214.65</v>
      </c>
      <c r="E25" s="42" t="n">
        <v>25290.2</v>
      </c>
      <c r="F25" s="42" t="n">
        <v>25692.01</v>
      </c>
      <c r="G25" s="42" t="n">
        <v>27229.87</v>
      </c>
      <c r="H25" s="42" t="n">
        <v>26832.04</v>
      </c>
      <c r="I25" s="42" t="n">
        <v>27070.77</v>
      </c>
      <c r="J25" s="42" t="n">
        <v>27475.83</v>
      </c>
      <c r="K25" s="42" t="n">
        <v>26487.3</v>
      </c>
      <c r="L25" s="42" t="n">
        <v>23007.22</v>
      </c>
      <c r="M25" s="42" t="n">
        <v>25733.51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1233.99</v>
      </c>
      <c r="C27" s="35" t="n">
        <v>1338.85</v>
      </c>
      <c r="D27" s="35" t="n">
        <v>1128.13</v>
      </c>
      <c r="E27" s="35" t="n">
        <v>869.38</v>
      </c>
      <c r="F27" s="35" t="n">
        <v>1023.76</v>
      </c>
      <c r="G27" s="35" t="n">
        <v>988.9300000000001</v>
      </c>
      <c r="H27" s="35" t="n">
        <v>877.88</v>
      </c>
      <c r="I27" s="35" t="n">
        <v>1121.08</v>
      </c>
      <c r="J27" s="35" t="n">
        <v>1015.23</v>
      </c>
      <c r="K27" s="35" t="n">
        <v>1080.66</v>
      </c>
      <c r="L27" s="35" t="n">
        <v>1029.29</v>
      </c>
      <c r="M27" s="35" t="n">
        <v>1043.87</v>
      </c>
      <c r="N27" s="36">
        <f>SUM(B27:M27)</f>
        <v/>
      </c>
      <c r="O27" s="37" t="n">
        <v>930.5700000000001</v>
      </c>
      <c r="P27" s="37" t="n">
        <v>1165.35</v>
      </c>
      <c r="Q27" s="37" t="n">
        <v>1341.06</v>
      </c>
      <c r="R27" s="37" t="n">
        <v>1180.59</v>
      </c>
      <c r="S27" s="37" t="n">
        <v>1129.19</v>
      </c>
      <c r="T27" s="37" t="n">
        <v>1238.46</v>
      </c>
      <c r="U27" s="37" t="n">
        <v>1343.35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85.72</v>
      </c>
      <c r="C28" s="35" t="n">
        <v>41.48999999999999</v>
      </c>
      <c r="D28" s="35" t="n">
        <v>55.22</v>
      </c>
      <c r="E28" s="35" t="n">
        <v>133.77</v>
      </c>
      <c r="F28" s="35" t="n">
        <v>115.2</v>
      </c>
      <c r="G28" s="35" t="n">
        <v>40.97</v>
      </c>
      <c r="H28" s="35" t="n">
        <v>119.18</v>
      </c>
      <c r="I28" s="35" t="n">
        <v>0</v>
      </c>
      <c r="J28" s="35" t="n">
        <v>937.3900000000001</v>
      </c>
      <c r="K28" s="35" t="n">
        <v>75.81999999999999</v>
      </c>
      <c r="L28" s="35" t="n">
        <v>34</v>
      </c>
      <c r="M28" s="35" t="n">
        <v>44.21</v>
      </c>
      <c r="N28" s="36">
        <f>SUM(B28:M28)</f>
        <v/>
      </c>
      <c r="O28" s="37" t="n">
        <v>158.33</v>
      </c>
      <c r="P28" s="37" t="n">
        <v>73.69</v>
      </c>
      <c r="Q28" s="37" t="n">
        <v>139.02</v>
      </c>
      <c r="R28" s="37" t="n">
        <v>64.22999999999999</v>
      </c>
      <c r="S28" s="37" t="n">
        <v>65.86</v>
      </c>
      <c r="T28" s="37" t="n">
        <v>40.92</v>
      </c>
      <c r="U28" s="37" t="n">
        <v>61.05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7" t="n">
        <v>50</v>
      </c>
      <c r="AJ28" s="118" t="n">
        <v>50</v>
      </c>
      <c r="AK28" s="118" t="n">
        <v>50</v>
      </c>
      <c r="AL28" s="118" t="n">
        <v>50</v>
      </c>
      <c r="AM28" s="119" t="n">
        <v>50</v>
      </c>
      <c r="AN28" s="117" t="n">
        <v>50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17.82</v>
      </c>
      <c r="C29" s="35" t="n">
        <v>8.99</v>
      </c>
      <c r="D29" s="35" t="n">
        <v>190.08</v>
      </c>
      <c r="E29" s="35" t="n">
        <v>3.2</v>
      </c>
      <c r="F29" s="35" t="n">
        <v>10.24</v>
      </c>
      <c r="G29" s="35" t="n">
        <v>47.9</v>
      </c>
      <c r="H29" s="35" t="n">
        <v>43.28</v>
      </c>
      <c r="I29" s="35" t="n">
        <v>42.43</v>
      </c>
      <c r="J29" s="35" t="n">
        <v>148.76</v>
      </c>
      <c r="K29" s="35" t="n">
        <v>21.97</v>
      </c>
      <c r="L29" s="35" t="n">
        <v>152.01</v>
      </c>
      <c r="M29" s="35" t="n">
        <v>29.59</v>
      </c>
      <c r="N29" s="36">
        <f>SUM(B29:M29)</f>
        <v/>
      </c>
      <c r="O29" s="37" t="n">
        <v>36.95</v>
      </c>
      <c r="P29" s="37" t="n">
        <v>132.23</v>
      </c>
      <c r="Q29" s="37" t="n">
        <v>184.1</v>
      </c>
      <c r="R29" s="37" t="n">
        <v>15.97</v>
      </c>
      <c r="S29" s="37" t="n">
        <v>0</v>
      </c>
      <c r="T29" s="37" t="n">
        <v>39.16</v>
      </c>
      <c r="U29" s="37" t="n">
        <v>29.81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7.64</v>
      </c>
      <c r="C30" s="35" t="n">
        <v>23.2</v>
      </c>
      <c r="D30" s="35" t="n">
        <v>31.14</v>
      </c>
      <c r="E30" s="35" t="n">
        <v>14.94</v>
      </c>
      <c r="F30" s="35" t="n">
        <v>11.95</v>
      </c>
      <c r="G30" s="35" t="n">
        <v>23.88</v>
      </c>
      <c r="H30" s="35" t="n">
        <v>107.69</v>
      </c>
      <c r="I30" s="35" t="n">
        <v>201.64</v>
      </c>
      <c r="J30" s="35" t="n">
        <v>13.58</v>
      </c>
      <c r="K30" s="35" t="n">
        <v>61.35</v>
      </c>
      <c r="L30" s="35" t="n">
        <v>13.78</v>
      </c>
      <c r="M30" s="35" t="n">
        <v>158.03</v>
      </c>
      <c r="N30" s="36">
        <f>SUM(B30:M30)</f>
        <v/>
      </c>
      <c r="O30" s="37" t="n">
        <v>72.57000000000001</v>
      </c>
      <c r="P30" s="37" t="n">
        <v>85.80000000000001</v>
      </c>
      <c r="Q30" s="37" t="n">
        <v>0</v>
      </c>
      <c r="R30" s="37" t="n">
        <v>49.71</v>
      </c>
      <c r="S30" s="37" t="n">
        <v>47.25</v>
      </c>
      <c r="T30" s="37" t="n">
        <v>25.12</v>
      </c>
      <c r="U30" s="37" t="n">
        <v>15.98</v>
      </c>
      <c r="V30" s="38" t="n">
        <v>50</v>
      </c>
      <c r="W30" s="38" t="n">
        <v>50</v>
      </c>
      <c r="X30" s="38" t="n">
        <v>50</v>
      </c>
      <c r="Y30" s="38" t="n">
        <v>50</v>
      </c>
      <c r="Z30" s="38" t="n">
        <v>50</v>
      </c>
      <c r="AA30" s="36">
        <f>SUM(O30:U30)</f>
        <v/>
      </c>
      <c r="AB30" s="36">
        <f>SUM(O30:Z30)</f>
        <v/>
      </c>
      <c r="AC30" s="38" t="n">
        <v>50</v>
      </c>
      <c r="AD30" s="38" t="n">
        <v>50</v>
      </c>
      <c r="AE30" s="38" t="n">
        <v>50</v>
      </c>
      <c r="AF30" s="38" t="n">
        <v>50</v>
      </c>
      <c r="AG30" s="38" t="n">
        <v>50</v>
      </c>
      <c r="AH30" s="38" t="n">
        <v>50</v>
      </c>
      <c r="AI30" s="117" t="n">
        <v>50</v>
      </c>
      <c r="AJ30" s="118" t="n">
        <v>50</v>
      </c>
      <c r="AK30" s="118" t="n">
        <v>50</v>
      </c>
      <c r="AL30" s="118" t="n">
        <v>50</v>
      </c>
      <c r="AM30" s="119" t="n">
        <v>50</v>
      </c>
      <c r="AN30" s="117" t="n">
        <v>50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7.99</v>
      </c>
      <c r="C31" s="35" t="n">
        <v>25.96</v>
      </c>
      <c r="D31" s="35" t="n">
        <v>0</v>
      </c>
      <c r="E31" s="35" t="n">
        <v>57.87</v>
      </c>
      <c r="F31" s="35" t="n">
        <v>0</v>
      </c>
      <c r="G31" s="35" t="n">
        <v>152.18</v>
      </c>
      <c r="H31" s="35" t="n">
        <v>18.98</v>
      </c>
      <c r="I31" s="35" t="n">
        <v>40.86</v>
      </c>
      <c r="J31" s="35" t="n">
        <v>0</v>
      </c>
      <c r="K31" s="35" t="n">
        <v>337.45</v>
      </c>
      <c r="L31" s="35" t="n">
        <v>777.25</v>
      </c>
      <c r="M31" s="35" t="n">
        <v>160.58</v>
      </c>
      <c r="N31" s="36">
        <f>SUM(B31:M31)</f>
        <v/>
      </c>
      <c r="O31" s="37" t="n">
        <v>42.68</v>
      </c>
      <c r="P31" s="37" t="n">
        <v>26.97</v>
      </c>
      <c r="Q31" s="37" t="n">
        <v>40.95</v>
      </c>
      <c r="R31" s="37" t="n">
        <v>46.3</v>
      </c>
      <c r="S31" s="37" t="n">
        <v>49.99</v>
      </c>
      <c r="T31" s="37" t="n">
        <v>44.99</v>
      </c>
      <c r="U31" s="37" t="n">
        <v>0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7" t="n">
        <v>50</v>
      </c>
      <c r="AJ31" s="118" t="n">
        <v>50</v>
      </c>
      <c r="AK31" s="118" t="n">
        <v>50</v>
      </c>
      <c r="AL31" s="118" t="n">
        <v>50</v>
      </c>
      <c r="AM31" s="119" t="n">
        <v>50</v>
      </c>
      <c r="AN31" s="117" t="n">
        <v>50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57.29</v>
      </c>
      <c r="C32" s="35" t="n">
        <v>0</v>
      </c>
      <c r="D32" s="35" t="n">
        <v>187.84</v>
      </c>
      <c r="E32" s="35" t="n">
        <v>89.67</v>
      </c>
      <c r="F32" s="35" t="n">
        <v>67.45999999999999</v>
      </c>
      <c r="G32" s="35" t="n">
        <v>182.26</v>
      </c>
      <c r="H32" s="35" t="n">
        <v>260.64</v>
      </c>
      <c r="I32" s="35" t="n">
        <v>87.45</v>
      </c>
      <c r="J32" s="35" t="n">
        <v>226.34</v>
      </c>
      <c r="K32" s="35" t="n">
        <v>71.45</v>
      </c>
      <c r="L32" s="35" t="n">
        <v>328.1</v>
      </c>
      <c r="M32" s="35" t="n">
        <v>161.95</v>
      </c>
      <c r="N32" s="36">
        <f>SUM(B32:M32)</f>
        <v/>
      </c>
      <c r="O32" s="37" t="n">
        <v>175.68</v>
      </c>
      <c r="P32" s="37" t="n">
        <v>336.46</v>
      </c>
      <c r="Q32" s="37" t="n">
        <v>254.99</v>
      </c>
      <c r="R32" s="37" t="n">
        <v>144.3</v>
      </c>
      <c r="S32" s="37" t="n">
        <v>200.22</v>
      </c>
      <c r="T32" s="37" t="n">
        <v>395.74</v>
      </c>
      <c r="U32" s="37" t="n">
        <v>20.35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SUMIF('BK TB '!$R:$R,'BK P&amp;L'!$A33,'BK TB '!C:C)</f>
        <v/>
      </c>
      <c r="P33" s="37">
        <f>SUMIF('BK TB '!$R:$R,'BK P&amp;L'!$A33,'BK TB '!D:D)</f>
        <v/>
      </c>
      <c r="Q33" s="37">
        <f>SUMIF('BK TB '!$R:$R,'BK P&amp;L'!$A33,'BK TB '!E:E)</f>
        <v/>
      </c>
      <c r="R33" s="37">
        <f>SUMIF('BK TB '!$R:$R,'BK P&amp;L'!$A33,'BK TB '!F:F)</f>
        <v/>
      </c>
      <c r="S33" s="37">
        <f>SUMIF('BK TB '!$R:$R,'BK P&amp;L'!$A33,'BK TB '!G:G)</f>
        <v/>
      </c>
      <c r="T33" s="37">
        <f>SUMIF('BK TB '!$R:$R,'BK P&amp;L'!$A33,'BK TB '!H:H)</f>
        <v/>
      </c>
      <c r="U33" s="37">
        <f>SUMIF('BK TB '!$R:$R,'BK P&amp;L'!$A33,'BK TB 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1410.45</v>
      </c>
      <c r="C34" s="42" t="n">
        <v>1438.49</v>
      </c>
      <c r="D34" s="42" t="n">
        <v>1592.41</v>
      </c>
      <c r="E34" s="42" t="n">
        <v>1168.83</v>
      </c>
      <c r="F34" s="42" t="n">
        <v>1228.61</v>
      </c>
      <c r="G34" s="42" t="n">
        <v>1436.12</v>
      </c>
      <c r="H34" s="42" t="n">
        <v>1427.65</v>
      </c>
      <c r="I34" s="42" t="n">
        <v>1493.46</v>
      </c>
      <c r="J34" s="42" t="n">
        <v>2341.3</v>
      </c>
      <c r="K34" s="42" t="n">
        <v>1648.7</v>
      </c>
      <c r="L34" s="42" t="n">
        <v>2334.43</v>
      </c>
      <c r="M34" s="42" t="n">
        <v>1598.23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SUMIF('BK TB '!$R:$R,'BK P&amp;L'!$A36,'BK TB '!C:C)</f>
        <v/>
      </c>
      <c r="P36" s="37">
        <f>SUMIF('BK TB '!$R:$R,'BK P&amp;L'!$A36,'BK TB '!D:D)</f>
        <v/>
      </c>
      <c r="Q36" s="37">
        <f>SUMIF('BK TB '!$R:$R,'BK P&amp;L'!$A36,'BK TB '!E:E)</f>
        <v/>
      </c>
      <c r="R36" s="37">
        <f>SUMIF('BK TB '!$R:$R,'BK P&amp;L'!$A36,'BK TB '!F:F)</f>
        <v/>
      </c>
      <c r="S36" s="37">
        <f>SUMIF('BK TB '!$R:$R,'BK P&amp;L'!$A36,'BK TB '!G:G)</f>
        <v/>
      </c>
      <c r="T36" s="37">
        <f>SUMIF('BK TB '!$R:$R,'BK P&amp;L'!$A36,'BK TB '!H:H)</f>
        <v/>
      </c>
      <c r="U36" s="37">
        <f>SUMIF('BK TB '!$R:$R,'BK P&amp;L'!$A36,'BK TB 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1060.38</v>
      </c>
      <c r="C37" s="35" t="n">
        <v>1060.38</v>
      </c>
      <c r="D37" s="35" t="n">
        <v>1060.38</v>
      </c>
      <c r="E37" s="35" t="n">
        <v>1060.38</v>
      </c>
      <c r="F37" s="35" t="n">
        <v>1060.38</v>
      </c>
      <c r="G37" s="35" t="n">
        <v>1060.38</v>
      </c>
      <c r="H37" s="35" t="n">
        <v>1060.38</v>
      </c>
      <c r="I37" s="35" t="n">
        <v>1060.38</v>
      </c>
      <c r="J37" s="35" t="n">
        <v>1060.38</v>
      </c>
      <c r="K37" s="35" t="n">
        <v>1060.38</v>
      </c>
      <c r="L37" s="35" t="n">
        <v>1060.38</v>
      </c>
      <c r="M37" s="35" t="n">
        <v>1060.38</v>
      </c>
      <c r="N37" s="36">
        <f>SUM(B37:M37)</f>
        <v/>
      </c>
      <c r="O37" s="37" t="n">
        <v>1060.36</v>
      </c>
      <c r="P37" s="37" t="n">
        <v>1060.36</v>
      </c>
      <c r="Q37" s="37" t="n">
        <v>1060.36</v>
      </c>
      <c r="R37" s="37" t="n">
        <v>1178.67</v>
      </c>
      <c r="S37" s="37" t="n">
        <v>1178.67</v>
      </c>
      <c r="T37" s="37" t="n">
        <v>1178.67</v>
      </c>
      <c r="U37" s="37" t="n">
        <v>1178.67</v>
      </c>
      <c r="V37" s="38" t="n">
        <v>1178.666666666667</v>
      </c>
      <c r="W37" s="38" t="n">
        <v>1178.666666666667</v>
      </c>
      <c r="X37" s="38" t="n">
        <v>1178.666666666667</v>
      </c>
      <c r="Y37" s="38" t="n">
        <v>1178.666666666667</v>
      </c>
      <c r="Z37" s="38" t="n">
        <v>1178.666666666667</v>
      </c>
      <c r="AA37" s="36">
        <f>SUM(O37:U37)</f>
        <v/>
      </c>
      <c r="AB37" s="36">
        <f>SUM(O37:Z37)</f>
        <v/>
      </c>
      <c r="AC37" s="38" t="n">
        <v>1178.666666666667</v>
      </c>
      <c r="AD37" s="38" t="n">
        <v>1178.666666666667</v>
      </c>
      <c r="AE37" s="38" t="n">
        <v>1178.666666666667</v>
      </c>
      <c r="AF37" s="38" t="n">
        <v>1178.666666666667</v>
      </c>
      <c r="AG37" s="38" t="n">
        <v>1178.666666666667</v>
      </c>
      <c r="AH37" s="38" t="n">
        <v>1178.666666666667</v>
      </c>
      <c r="AI37" s="117" t="n">
        <v>1178.666666666667</v>
      </c>
      <c r="AJ37" s="118" t="n">
        <v>1178.666666666667</v>
      </c>
      <c r="AK37" s="118" t="n">
        <v>1178.666666666667</v>
      </c>
      <c r="AL37" s="118" t="n">
        <v>1178.666666666667</v>
      </c>
      <c r="AM37" s="119" t="n">
        <v>1178.666666666667</v>
      </c>
      <c r="AN37" s="117" t="n">
        <v>1178.666666666667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1084.35</v>
      </c>
      <c r="C38" s="35" t="n">
        <v>1856.09</v>
      </c>
      <c r="D38" s="35" t="n">
        <v>680.11</v>
      </c>
      <c r="E38" s="35" t="n">
        <v>1041.36</v>
      </c>
      <c r="F38" s="35" t="n">
        <v>1404.7</v>
      </c>
      <c r="G38" s="35" t="n">
        <v>49.78000000000003</v>
      </c>
      <c r="H38" s="35" t="n">
        <v>566.46</v>
      </c>
      <c r="I38" s="35" t="n">
        <v>748.4400000000001</v>
      </c>
      <c r="J38" s="35" t="n">
        <v>123.63</v>
      </c>
      <c r="K38" s="35" t="n">
        <v>557.7</v>
      </c>
      <c r="L38" s="35" t="n">
        <v>914.73</v>
      </c>
      <c r="M38" s="35" t="n">
        <v>843.45</v>
      </c>
      <c r="N38" s="36">
        <f>SUM(B38:M38)</f>
        <v/>
      </c>
      <c r="O38" s="37" t="n">
        <v>976.8799999999999</v>
      </c>
      <c r="P38" s="37" t="n">
        <v>1232.13</v>
      </c>
      <c r="Q38" s="37" t="n">
        <v>699.2399999999998</v>
      </c>
      <c r="R38" s="37" t="n">
        <v>870</v>
      </c>
      <c r="S38" s="37" t="n">
        <v>652.4200000000001</v>
      </c>
      <c r="T38" s="37" t="n">
        <v>416.51</v>
      </c>
      <c r="U38" s="37" t="n">
        <v>537.1300000000001</v>
      </c>
      <c r="V38" s="38" t="n">
        <v>808</v>
      </c>
      <c r="W38" s="38" t="n">
        <v>808</v>
      </c>
      <c r="X38" s="38" t="n">
        <v>808</v>
      </c>
      <c r="Y38" s="38" t="n">
        <v>808</v>
      </c>
      <c r="Z38" s="38" t="n">
        <v>808</v>
      </c>
      <c r="AA38" s="36">
        <f>SUM(O38:U38)</f>
        <v/>
      </c>
      <c r="AB38" s="36">
        <f>SUM(O38:Z38)</f>
        <v/>
      </c>
      <c r="AC38" s="38" t="n">
        <v>808</v>
      </c>
      <c r="AD38" s="38" t="n">
        <v>808</v>
      </c>
      <c r="AE38" s="38" t="n">
        <v>808</v>
      </c>
      <c r="AF38" s="38" t="n">
        <v>808</v>
      </c>
      <c r="AG38" s="38" t="n">
        <v>808</v>
      </c>
      <c r="AH38" s="38" t="n">
        <v>808</v>
      </c>
      <c r="AI38" s="117" t="n">
        <v>808</v>
      </c>
      <c r="AJ38" s="118" t="n">
        <v>808</v>
      </c>
      <c r="AK38" s="118" t="n">
        <v>808</v>
      </c>
      <c r="AL38" s="118" t="n">
        <v>808</v>
      </c>
      <c r="AM38" s="119" t="n">
        <v>808</v>
      </c>
      <c r="AN38" s="117" t="n">
        <v>808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1970.4</v>
      </c>
      <c r="C39" s="35" t="n">
        <v>4574.36</v>
      </c>
      <c r="D39" s="35" t="n">
        <v>3343.43</v>
      </c>
      <c r="E39" s="35" t="n">
        <v>2248.52</v>
      </c>
      <c r="F39" s="35" t="n">
        <v>1000.26</v>
      </c>
      <c r="G39" s="35" t="n">
        <v>36.5</v>
      </c>
      <c r="H39" s="35" t="n">
        <v>1663.64</v>
      </c>
      <c r="I39" s="35" t="n">
        <v>470.86</v>
      </c>
      <c r="J39" s="35" t="n">
        <v>14.64</v>
      </c>
      <c r="K39" s="35" t="n">
        <v>856.8200000000001</v>
      </c>
      <c r="L39" s="35" t="n">
        <v>36</v>
      </c>
      <c r="M39" s="35" t="n">
        <v>171.36</v>
      </c>
      <c r="N39" s="36">
        <f>SUM(B39:M39)</f>
        <v/>
      </c>
      <c r="O39" s="37" t="n">
        <v>0</v>
      </c>
      <c r="P39" s="37" t="n">
        <v>0</v>
      </c>
      <c r="Q39" s="37" t="n">
        <v>9.98</v>
      </c>
      <c r="R39" s="37" t="n">
        <v>0</v>
      </c>
      <c r="S39" s="37" t="n">
        <v>29.27</v>
      </c>
      <c r="T39" s="37" t="n">
        <v>121.79</v>
      </c>
      <c r="U39" s="37" t="n">
        <v>108</v>
      </c>
      <c r="V39" s="38" t="n">
        <v>4000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188.6</v>
      </c>
      <c r="C40" s="35" t="n">
        <v>249.73</v>
      </c>
      <c r="D40" s="35" t="n">
        <v>292.16</v>
      </c>
      <c r="E40" s="35" t="n">
        <v>49.57</v>
      </c>
      <c r="F40" s="35" t="n">
        <v>542.98</v>
      </c>
      <c r="G40" s="35" t="n">
        <v>335.03</v>
      </c>
      <c r="H40" s="35" t="n">
        <v>284.16</v>
      </c>
      <c r="I40" s="35" t="n">
        <v>299.86</v>
      </c>
      <c r="J40" s="35" t="n">
        <v>559.89</v>
      </c>
      <c r="K40" s="35" t="n">
        <v>291.24</v>
      </c>
      <c r="L40" s="35" t="n">
        <v>101.59</v>
      </c>
      <c r="M40" s="35" t="n">
        <v>113.21</v>
      </c>
      <c r="N40" s="36">
        <f>SUM(B40:M40)</f>
        <v/>
      </c>
      <c r="O40" s="37" t="n">
        <v>203.38</v>
      </c>
      <c r="P40" s="37" t="n">
        <v>611.38</v>
      </c>
      <c r="Q40" s="37" t="n">
        <v>303.73</v>
      </c>
      <c r="R40" s="37" t="n">
        <v>143.24</v>
      </c>
      <c r="S40" s="37" t="n">
        <v>217.05</v>
      </c>
      <c r="T40" s="37" t="n">
        <v>365.89</v>
      </c>
      <c r="U40" s="37" t="n">
        <v>206.52</v>
      </c>
      <c r="V40" s="38" t="n">
        <v>310</v>
      </c>
      <c r="W40" s="38" t="n">
        <v>310</v>
      </c>
      <c r="X40" s="38" t="n">
        <v>310</v>
      </c>
      <c r="Y40" s="38" t="n">
        <v>310</v>
      </c>
      <c r="Z40" s="38" t="n">
        <v>310</v>
      </c>
      <c r="AA40" s="36">
        <f>SUM(O40:U40)</f>
        <v/>
      </c>
      <c r="AB40" s="36">
        <f>SUM(O40:Z40)</f>
        <v/>
      </c>
      <c r="AC40" s="38" t="n">
        <v>310</v>
      </c>
      <c r="AD40" s="38" t="n">
        <v>310</v>
      </c>
      <c r="AE40" s="38" t="n">
        <v>310</v>
      </c>
      <c r="AF40" s="38" t="n">
        <v>310</v>
      </c>
      <c r="AG40" s="38" t="n">
        <v>310</v>
      </c>
      <c r="AH40" s="38" t="n">
        <v>310</v>
      </c>
      <c r="AI40" s="117" t="n">
        <v>310</v>
      </c>
      <c r="AJ40" s="118" t="n">
        <v>310</v>
      </c>
      <c r="AK40" s="118" t="n">
        <v>310</v>
      </c>
      <c r="AL40" s="118" t="n">
        <v>310</v>
      </c>
      <c r="AM40" s="119" t="n">
        <v>310</v>
      </c>
      <c r="AN40" s="117" t="n">
        <v>310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332.71</v>
      </c>
      <c r="C41" s="35" t="n">
        <v>364.75</v>
      </c>
      <c r="D41" s="35" t="n">
        <v>380.11</v>
      </c>
      <c r="E41" s="35" t="n">
        <v>561.51</v>
      </c>
      <c r="F41" s="35" t="n">
        <v>426.52</v>
      </c>
      <c r="G41" s="35" t="n">
        <v>400.96</v>
      </c>
      <c r="H41" s="35" t="n">
        <v>339.75</v>
      </c>
      <c r="I41" s="35" t="n">
        <v>354.05</v>
      </c>
      <c r="J41" s="35" t="n">
        <v>630.6600000000001</v>
      </c>
      <c r="K41" s="35" t="n">
        <v>354.05</v>
      </c>
      <c r="L41" s="35" t="n">
        <v>404.45</v>
      </c>
      <c r="M41" s="35" t="n">
        <v>415.26</v>
      </c>
      <c r="N41" s="36">
        <f>SUM(B41:M41)</f>
        <v/>
      </c>
      <c r="O41" s="37" t="n">
        <v>354.05</v>
      </c>
      <c r="P41" s="37" t="n">
        <v>363.36</v>
      </c>
      <c r="Q41" s="37" t="n">
        <v>474.96</v>
      </c>
      <c r="R41" s="37" t="n">
        <v>471.4</v>
      </c>
      <c r="S41" s="37" t="n">
        <v>390.36</v>
      </c>
      <c r="T41" s="37" t="n">
        <v>255.3</v>
      </c>
      <c r="U41" s="37" t="n">
        <v>494.27</v>
      </c>
      <c r="V41" s="38" t="n">
        <v>385</v>
      </c>
      <c r="W41" s="38" t="n">
        <v>385</v>
      </c>
      <c r="X41" s="38" t="n">
        <v>385</v>
      </c>
      <c r="Y41" s="38" t="n">
        <v>385</v>
      </c>
      <c r="Z41" s="38" t="n">
        <v>385</v>
      </c>
      <c r="AA41" s="36">
        <f>SUM(O41:U41)</f>
        <v/>
      </c>
      <c r="AB41" s="36">
        <f>SUM(O41:Z41)</f>
        <v/>
      </c>
      <c r="AC41" s="38" t="n">
        <v>385</v>
      </c>
      <c r="AD41" s="38" t="n">
        <v>385</v>
      </c>
      <c r="AE41" s="38" t="n">
        <v>385</v>
      </c>
      <c r="AF41" s="38" t="n">
        <v>385</v>
      </c>
      <c r="AG41" s="38" t="n">
        <v>385</v>
      </c>
      <c r="AH41" s="38" t="n">
        <v>385</v>
      </c>
      <c r="AI41" s="117" t="n">
        <v>385</v>
      </c>
      <c r="AJ41" s="118" t="n">
        <v>385</v>
      </c>
      <c r="AK41" s="118" t="n">
        <v>385</v>
      </c>
      <c r="AL41" s="118" t="n">
        <v>385</v>
      </c>
      <c r="AM41" s="119" t="n">
        <v>385</v>
      </c>
      <c r="AN41" s="117" t="n">
        <v>385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52.03</v>
      </c>
      <c r="C42" s="35" t="n">
        <v>23.34</v>
      </c>
      <c r="D42" s="35" t="n">
        <v>21.74</v>
      </c>
      <c r="E42" s="35" t="n">
        <v>61.92</v>
      </c>
      <c r="F42" s="35" t="n">
        <v>81.43000000000001</v>
      </c>
      <c r="G42" s="35" t="n">
        <v>32.69</v>
      </c>
      <c r="H42" s="35" t="n">
        <v>84.15000000000001</v>
      </c>
      <c r="I42" s="35" t="n">
        <v>53.12</v>
      </c>
      <c r="J42" s="35" t="n">
        <v>75.13</v>
      </c>
      <c r="K42" s="35" t="n">
        <v>81.78999999999999</v>
      </c>
      <c r="L42" s="35" t="n">
        <v>68.56999999999999</v>
      </c>
      <c r="M42" s="35" t="n">
        <v>86.96000000000001</v>
      </c>
      <c r="N42" s="36">
        <f>SUM(B42:M42)</f>
        <v/>
      </c>
      <c r="O42" s="37" t="n">
        <v>87.21000000000001</v>
      </c>
      <c r="P42" s="37" t="n">
        <v>82.62</v>
      </c>
      <c r="Q42" s="37" t="n">
        <v>91.55999999999999</v>
      </c>
      <c r="R42" s="37" t="n">
        <v>93.77</v>
      </c>
      <c r="S42" s="37" t="n">
        <v>73.19</v>
      </c>
      <c r="T42" s="37" t="n">
        <v>98.50999999999999</v>
      </c>
      <c r="U42" s="37" t="n">
        <v>78.42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22</v>
      </c>
      <c r="U43" s="37" t="n">
        <v>0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SUMIF('BK TB '!$R:$R,'BK P&amp;L'!$A44,'BK TB '!C:C)</f>
        <v/>
      </c>
      <c r="P44" s="37">
        <f>SUMIF('BK TB '!$R:$R,'BK P&amp;L'!$A44,'BK TB '!D:D)</f>
        <v/>
      </c>
      <c r="Q44" s="37">
        <f>SUMIF('BK TB '!$R:$R,'BK P&amp;L'!$A44,'BK TB '!E:E)</f>
        <v/>
      </c>
      <c r="R44" s="37">
        <f>SUMIF('BK TB '!$R:$R,'BK P&amp;L'!$A44,'BK TB '!F:F)</f>
        <v/>
      </c>
      <c r="S44" s="37">
        <f>SUMIF('BK TB '!$R:$R,'BK P&amp;L'!$A44,'BK TB '!G:G)</f>
        <v/>
      </c>
      <c r="T44" s="37">
        <f>SUMIF('BK TB '!$R:$R,'BK P&amp;L'!$A44,'BK TB '!H:H)</f>
        <v/>
      </c>
      <c r="U44" s="37">
        <f>SUMIF('BK TB '!$R:$R,'BK P&amp;L'!$A44,'BK TB 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14.58</v>
      </c>
      <c r="C45" s="35" t="n">
        <v>14.58</v>
      </c>
      <c r="D45" s="35" t="n">
        <v>149.79</v>
      </c>
      <c r="E45" s="35" t="n">
        <v>234.58</v>
      </c>
      <c r="F45" s="35" t="n">
        <v>1.59</v>
      </c>
      <c r="G45" s="35" t="n">
        <v>46.59</v>
      </c>
      <c r="H45" s="35" t="n">
        <v>-1.3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66</v>
      </c>
      <c r="P45" s="37" t="n">
        <v>0</v>
      </c>
      <c r="Q45" s="37" t="n">
        <v>0</v>
      </c>
      <c r="R45" s="37" t="n">
        <v>72</v>
      </c>
      <c r="S45" s="37" t="n">
        <v>0</v>
      </c>
      <c r="T45" s="37" t="n">
        <v>0</v>
      </c>
      <c r="U45" s="37" t="n">
        <v>4.99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7" t="n">
        <v>100</v>
      </c>
      <c r="AJ45" s="118" t="n">
        <v>100</v>
      </c>
      <c r="AK45" s="118" t="n">
        <v>100</v>
      </c>
      <c r="AL45" s="118" t="n">
        <v>100</v>
      </c>
      <c r="AM45" s="119" t="n">
        <v>100</v>
      </c>
      <c r="AN45" s="117" t="n">
        <v>100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SUMIF('BK TB '!$R:$R,'BK P&amp;L'!$A46,'BK TB '!C:C)</f>
        <v/>
      </c>
      <c r="P46" s="37">
        <f>SUMIF('BK TB '!$R:$R,'BK P&amp;L'!$A46,'BK TB '!D:D)</f>
        <v/>
      </c>
      <c r="Q46" s="37">
        <f>SUMIF('BK TB '!$R:$R,'BK P&amp;L'!$A46,'BK TB '!E:E)</f>
        <v/>
      </c>
      <c r="R46" s="37">
        <f>SUMIF('BK TB '!$R:$R,'BK P&amp;L'!$A46,'BK TB '!F:F)</f>
        <v/>
      </c>
      <c r="S46" s="37">
        <f>SUMIF('BK TB '!$R:$R,'BK P&amp;L'!$A46,'BK TB '!G:G)</f>
        <v/>
      </c>
      <c r="T46" s="37">
        <f>SUMIF('BK TB '!$R:$R,'BK P&amp;L'!$A46,'BK TB '!H:H)</f>
        <v/>
      </c>
      <c r="U46" s="37">
        <f>SUMIF('BK TB '!$R:$R,'BK P&amp;L'!$A46,'BK TB 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4703.050000000001</v>
      </c>
      <c r="C47" s="42" t="n">
        <v>8143.23</v>
      </c>
      <c r="D47" s="42" t="n">
        <v>5927.719999999999</v>
      </c>
      <c r="E47" s="42" t="n">
        <v>5257.84</v>
      </c>
      <c r="F47" s="42" t="n">
        <v>4517.860000000001</v>
      </c>
      <c r="G47" s="42" t="n">
        <v>1961.93</v>
      </c>
      <c r="H47" s="42" t="n">
        <v>3997.24</v>
      </c>
      <c r="I47" s="42" t="n">
        <v>3031.71</v>
      </c>
      <c r="J47" s="42" t="n">
        <v>2464.33</v>
      </c>
      <c r="K47" s="42" t="n">
        <v>3201.98</v>
      </c>
      <c r="L47" s="42" t="n">
        <v>2585.72</v>
      </c>
      <c r="M47" s="42" t="n">
        <v>2690.62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25859.07</v>
      </c>
      <c r="C48" s="23" t="n">
        <v>29078.09</v>
      </c>
      <c r="D48" s="23" t="n">
        <v>29734.78</v>
      </c>
      <c r="E48" s="23" t="n">
        <v>31716.87</v>
      </c>
      <c r="F48" s="23" t="n">
        <v>31438.48</v>
      </c>
      <c r="G48" s="23" t="n">
        <v>30627.92</v>
      </c>
      <c r="H48" s="23" t="n">
        <v>32256.93</v>
      </c>
      <c r="I48" s="23" t="n">
        <v>31595.94</v>
      </c>
      <c r="J48" s="23" t="n">
        <v>32281.46</v>
      </c>
      <c r="K48" s="23" t="n">
        <v>31337.98</v>
      </c>
      <c r="L48" s="23" t="n">
        <v>27927.37</v>
      </c>
      <c r="M48" s="23" t="n">
        <v>30022.36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11626.24</v>
      </c>
      <c r="C50" s="55" t="n">
        <v>7011.790000000001</v>
      </c>
      <c r="D50" s="55" t="n">
        <v>35591.5</v>
      </c>
      <c r="E50" s="55" t="n">
        <v>14332.04</v>
      </c>
      <c r="F50" s="55" t="n">
        <v>7576.710000000003</v>
      </c>
      <c r="G50" s="55" t="n">
        <v>17974.84</v>
      </c>
      <c r="H50" s="55" t="n">
        <v>24295.09999999999</v>
      </c>
      <c r="I50" s="55" t="n">
        <v>264.9799999999996</v>
      </c>
      <c r="J50" s="55" t="n">
        <v>4455.510000000002</v>
      </c>
      <c r="K50" s="55" t="n">
        <v>4503.369999999995</v>
      </c>
      <c r="L50" s="55" t="n">
        <v>9337.049999999996</v>
      </c>
      <c r="M50" s="55" t="n">
        <v>17325.98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SUMIF('BK TB '!$R:$R,'BK P&amp;L'!$A53,'BK TB '!C:C)</f>
        <v/>
      </c>
      <c r="P53" s="37">
        <f>SUMIF('BK TB '!$R:$R,'BK P&amp;L'!$A53,'BK TB '!D:D)</f>
        <v/>
      </c>
      <c r="Q53" s="37">
        <f>SUMIF('BK TB '!$R:$R,'BK P&amp;L'!$A53,'BK TB '!E:E)</f>
        <v/>
      </c>
      <c r="R53" s="37">
        <f>SUMIF('BK TB '!$R:$R,'BK P&amp;L'!$A53,'BK TB '!F:F)</f>
        <v/>
      </c>
      <c r="S53" s="37">
        <f>SUMIF('BK TB '!$R:$R,'BK P&amp;L'!$A53,'BK TB '!G:G)</f>
        <v/>
      </c>
      <c r="T53" s="37">
        <f>SUMIF('BK TB '!$R:$R,'BK P&amp;L'!$A53,'BK TB '!H:H)</f>
        <v/>
      </c>
      <c r="U53" s="37">
        <f>SUMIF('BK TB '!$R:$R,'BK P&amp;L'!$A53,'BK TB '!I:I)</f>
        <v/>
      </c>
      <c r="V53" s="38" t="n">
        <v>0</v>
      </c>
      <c r="W53" s="38" t="n">
        <v>0</v>
      </c>
      <c r="X53" s="38" t="n">
        <v>0</v>
      </c>
      <c r="Y53" s="38" t="n">
        <v>0</v>
      </c>
      <c r="Z53" s="38" t="n">
        <v>0</v>
      </c>
      <c r="AA53" s="36">
        <f>SUM(O53:U53)</f>
        <v/>
      </c>
      <c r="AB53" s="36">
        <f>SUM(O53:Z53)</f>
        <v/>
      </c>
      <c r="AC53" s="38" t="n">
        <v>0</v>
      </c>
      <c r="AD53" s="38" t="n">
        <v>0</v>
      </c>
      <c r="AE53" s="38" t="n">
        <v>0</v>
      </c>
      <c r="AF53" s="38" t="n">
        <v>0</v>
      </c>
      <c r="AG53" s="38" t="n">
        <v>0</v>
      </c>
      <c r="AH53" s="38" t="n">
        <v>0</v>
      </c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SUMIF('BK TB '!$R:$R,'BK P&amp;L'!$A54,'BK TB '!C:C)</f>
        <v/>
      </c>
      <c r="P54" s="37">
        <f>SUMIF('BK TB '!$R:$R,'BK P&amp;L'!$A54,'BK TB '!D:D)</f>
        <v/>
      </c>
      <c r="Q54" s="37">
        <f>SUMIF('BK TB '!$R:$R,'BK P&amp;L'!$A54,'BK TB '!E:E)</f>
        <v/>
      </c>
      <c r="R54" s="37">
        <f>SUMIF('BK TB '!$R:$R,'BK P&amp;L'!$A54,'BK TB '!F:F)</f>
        <v/>
      </c>
      <c r="S54" s="37">
        <f>SUMIF('BK TB '!$R:$R,'BK P&amp;L'!$A54,'BK TB '!G:G)</f>
        <v/>
      </c>
      <c r="T54" s="37">
        <f>SUMIF('BK TB '!$R:$R,'BK P&amp;L'!$A54,'BK TB '!H:H)</f>
        <v/>
      </c>
      <c r="U54" s="37">
        <f>SUMIF('BK TB '!$R:$R,'BK P&amp;L'!$A54,'BK TB '!I:I)</f>
        <v/>
      </c>
      <c r="V54" s="38" t="n">
        <v>0</v>
      </c>
      <c r="W54" s="38" t="n">
        <v>0</v>
      </c>
      <c r="X54" s="38" t="n">
        <v>0</v>
      </c>
      <c r="Y54" s="38" t="n">
        <v>0</v>
      </c>
      <c r="Z54" s="38" t="n">
        <v>0</v>
      </c>
      <c r="AA54" s="36">
        <f>SUM(O54:U54)</f>
        <v/>
      </c>
      <c r="AB54" s="36">
        <f>SUM(O54:Z54)</f>
        <v/>
      </c>
      <c r="AC54" s="38" t="n">
        <v>0</v>
      </c>
      <c r="AD54" s="38" t="n">
        <v>0</v>
      </c>
      <c r="AE54" s="38" t="n">
        <v>0</v>
      </c>
      <c r="AF54" s="38" t="n">
        <v>0</v>
      </c>
      <c r="AG54" s="38" t="n">
        <v>0</v>
      </c>
      <c r="AH54" s="38" t="n">
        <v>0</v>
      </c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SUMIF('BK TB '!$R:$R,'BK P&amp;L'!$A55,'BK TB '!C:C)</f>
        <v/>
      </c>
      <c r="P55" s="37">
        <f>SUMIF('BK TB '!$R:$R,'BK P&amp;L'!$A55,'BK TB '!D:D)</f>
        <v/>
      </c>
      <c r="Q55" s="37">
        <f>SUMIF('BK TB '!$R:$R,'BK P&amp;L'!$A55,'BK TB '!E:E)</f>
        <v/>
      </c>
      <c r="R55" s="37">
        <f>SUMIF('BK TB '!$R:$R,'BK P&amp;L'!$A55,'BK TB '!F:F)</f>
        <v/>
      </c>
      <c r="S55" s="37">
        <f>SUMIF('BK TB '!$R:$R,'BK P&amp;L'!$A55,'BK TB '!G:G)</f>
        <v/>
      </c>
      <c r="T55" s="37">
        <f>SUMIF('BK TB '!$R:$R,'BK P&amp;L'!$A55,'BK TB '!H:H)</f>
        <v/>
      </c>
      <c r="U55" s="37">
        <f>SUMIF('BK TB '!$R:$R,'BK P&amp;L'!$A55,'BK TB '!I:I)</f>
        <v/>
      </c>
      <c r="V55" s="38" t="n">
        <v>0</v>
      </c>
      <c r="W55" s="38" t="n">
        <v>0</v>
      </c>
      <c r="X55" s="38" t="n">
        <v>0</v>
      </c>
      <c r="Y55" s="38" t="n">
        <v>0</v>
      </c>
      <c r="Z55" s="38" t="n">
        <v>0</v>
      </c>
      <c r="AA55" s="36">
        <f>SUM(O55:U55)</f>
        <v/>
      </c>
      <c r="AB55" s="36">
        <f>SUM(O55:Z55)</f>
        <v/>
      </c>
      <c r="AC55" s="38" t="n">
        <v>0</v>
      </c>
      <c r="AD55" s="38" t="n">
        <v>0</v>
      </c>
      <c r="AE55" s="38" t="n">
        <v>0</v>
      </c>
      <c r="AF55" s="38" t="n">
        <v>0</v>
      </c>
      <c r="AG55" s="38" t="n">
        <v>0</v>
      </c>
      <c r="AH55" s="38" t="n">
        <v>0</v>
      </c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SUMIF('BK TB '!$R:$R,'BK P&amp;L'!$A56,'BK TB '!C:C)</f>
        <v/>
      </c>
      <c r="P56" s="37">
        <f>SUMIF('BK TB '!$R:$R,'BK P&amp;L'!$A56,'BK TB '!D:D)</f>
        <v/>
      </c>
      <c r="Q56" s="37">
        <f>SUMIF('BK TB '!$R:$R,'BK P&amp;L'!$A56,'BK TB '!E:E)</f>
        <v/>
      </c>
      <c r="R56" s="37">
        <f>SUMIF('BK TB '!$R:$R,'BK P&amp;L'!$A56,'BK TB '!F:F)</f>
        <v/>
      </c>
      <c r="S56" s="37">
        <f>SUMIF('BK TB '!$R:$R,'BK P&amp;L'!$A56,'BK TB '!G:G)</f>
        <v/>
      </c>
      <c r="T56" s="37">
        <f>SUMIF('BK TB '!$R:$R,'BK P&amp;L'!$A56,'BK TB '!H:H)</f>
        <v/>
      </c>
      <c r="U56" s="37">
        <f>SUMIF('BK TB '!$R:$R,'BK P&amp;L'!$A56,'BK TB '!I:I)</f>
        <v/>
      </c>
      <c r="V56" s="38" t="n">
        <v>0</v>
      </c>
      <c r="W56" s="38" t="n">
        <v>0</v>
      </c>
      <c r="X56" s="38" t="n">
        <v>0</v>
      </c>
      <c r="Y56" s="38" t="n">
        <v>0</v>
      </c>
      <c r="Z56" s="38" t="n">
        <v>0</v>
      </c>
      <c r="AA56" s="36">
        <f>SUM(O56:U56)</f>
        <v/>
      </c>
      <c r="AB56" s="36">
        <f>SUM(O56:Z56)</f>
        <v/>
      </c>
      <c r="AC56" s="38" t="n">
        <v>0</v>
      </c>
      <c r="AD56" s="38" t="n">
        <v>0</v>
      </c>
      <c r="AE56" s="38" t="n">
        <v>0</v>
      </c>
      <c r="AF56" s="38" t="n">
        <v>0</v>
      </c>
      <c r="AG56" s="38" t="n">
        <v>0</v>
      </c>
      <c r="AH56" s="38" t="n">
        <v>0</v>
      </c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>
        <f>SUMIF('BK TB '!$R:$R,'BK P&amp;L'!$A57,'BK TB '!C:C)</f>
        <v/>
      </c>
      <c r="P57" s="37">
        <f>SUMIF('BK TB '!$R:$R,'BK P&amp;L'!$A57,'BK TB '!D:D)</f>
        <v/>
      </c>
      <c r="Q57" s="37">
        <f>SUMIF('BK TB '!$R:$R,'BK P&amp;L'!$A57,'BK TB '!E:E)</f>
        <v/>
      </c>
      <c r="R57" s="37">
        <f>SUMIF('BK TB '!$R:$R,'BK P&amp;L'!$A57,'BK TB '!F:F)</f>
        <v/>
      </c>
      <c r="S57" s="37">
        <f>SUMIF('BK TB '!$R:$R,'BK P&amp;L'!$A57,'BK TB '!G:G)</f>
        <v/>
      </c>
      <c r="T57" s="37">
        <f>SUMIF('BK TB '!$R:$R,'BK P&amp;L'!$A57,'BK TB '!H:H)</f>
        <v/>
      </c>
      <c r="U57" s="37">
        <f>SUMIF('BK TB '!$R:$R,'BK P&amp;L'!$A57,'BK TB '!I:I)</f>
        <v/>
      </c>
      <c r="V57" s="38" t="n">
        <v>0</v>
      </c>
      <c r="W57" s="38" t="n">
        <v>0</v>
      </c>
      <c r="X57" s="38" t="n">
        <v>0</v>
      </c>
      <c r="Y57" s="38" t="n">
        <v>0</v>
      </c>
      <c r="Z57" s="38">
        <f>30*8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SUMIF('BK TB '!$R:$R,'BK P&amp;L'!$A58,'BK TB '!C:C)</f>
        <v/>
      </c>
      <c r="P58" s="37">
        <f>SUMIF('BK TB '!$R:$R,'BK P&amp;L'!$A58,'BK TB '!D:D)</f>
        <v/>
      </c>
      <c r="Q58" s="37">
        <f>SUMIF('BK TB '!$R:$R,'BK P&amp;L'!$A58,'BK TB '!E:E)</f>
        <v/>
      </c>
      <c r="R58" s="37">
        <f>SUMIF('BK TB '!$R:$R,'BK P&amp;L'!$A58,'BK TB '!F:F)</f>
        <v/>
      </c>
      <c r="S58" s="37">
        <f>SUMIF('BK TB '!$R:$R,'BK P&amp;L'!$A58,'BK TB '!G:G)</f>
        <v/>
      </c>
      <c r="T58" s="37">
        <f>SUMIF('BK TB '!$R:$R,'BK P&amp;L'!$A58,'BK TB '!H:H)</f>
        <v/>
      </c>
      <c r="U58" s="37">
        <f>SUMIF('BK TB '!$R:$R,'BK P&amp;L'!$A58,'BK TB '!I:I)</f>
        <v/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345.38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2.4</v>
      </c>
      <c r="C60" s="35" t="n">
        <v>1.2</v>
      </c>
      <c r="D60" s="35" t="n">
        <v>1.2</v>
      </c>
      <c r="E60" s="35" t="n">
        <v>3</v>
      </c>
      <c r="F60" s="35" t="n">
        <v>1.8</v>
      </c>
      <c r="G60" s="35" t="n">
        <v>1.8</v>
      </c>
      <c r="H60" s="35" t="n">
        <v>2.4</v>
      </c>
      <c r="I60" s="35" t="n">
        <v>0.6</v>
      </c>
      <c r="J60" s="35" t="n">
        <v>1.8</v>
      </c>
      <c r="K60" s="35" t="n">
        <v>68.8</v>
      </c>
      <c r="L60" s="35" t="n">
        <v>3.6</v>
      </c>
      <c r="M60" s="35" t="n">
        <v>2.4</v>
      </c>
      <c r="N60" s="36">
        <f>SUM(B60:M60)</f>
        <v/>
      </c>
      <c r="O60" s="37" t="n">
        <v>2.4</v>
      </c>
      <c r="P60" s="37" t="n">
        <v>2.4</v>
      </c>
      <c r="Q60" s="37" t="n">
        <v>2.4</v>
      </c>
      <c r="R60" s="37" t="n">
        <v>2.4</v>
      </c>
      <c r="S60" s="37" t="n">
        <v>1.8</v>
      </c>
      <c r="T60" s="37" t="n">
        <v>2.4</v>
      </c>
      <c r="U60" s="37" t="n">
        <v>2.4</v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6">
        <f>SUM(O60:U60)</f>
        <v/>
      </c>
      <c r="AB60" s="36">
        <f>SUM(O60:Z60)</f>
        <v/>
      </c>
      <c r="AC60" s="38" t="n">
        <v>0</v>
      </c>
      <c r="AD60" s="38" t="n">
        <v>0</v>
      </c>
      <c r="AE60" s="38" t="n">
        <v>0</v>
      </c>
      <c r="AF60" s="38" t="n">
        <v>0</v>
      </c>
      <c r="AG60" s="38" t="n">
        <v>0</v>
      </c>
      <c r="AH60" s="38" t="n">
        <v>0</v>
      </c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28.97</v>
      </c>
      <c r="G61" s="35" t="n">
        <v>0</v>
      </c>
      <c r="H61" s="35" t="n">
        <v>50.14</v>
      </c>
      <c r="I61" s="35" t="n">
        <v>0</v>
      </c>
      <c r="J61" s="35" t="n">
        <v>0</v>
      </c>
      <c r="K61" s="35" t="n">
        <v>25.85</v>
      </c>
      <c r="L61" s="35" t="n">
        <v>26.84</v>
      </c>
      <c r="M61" s="35" t="n">
        <v>79.79999999999998</v>
      </c>
      <c r="N61" s="36">
        <f>SUM(B61:M61)</f>
        <v/>
      </c>
      <c r="O61" s="37">
        <f>SUMIF('BK TB '!$R:$R,'BK P&amp;L'!$A61,'BK TB '!C:C)</f>
        <v/>
      </c>
      <c r="P61" s="37">
        <f>SUMIF('BK TB '!$R:$R,'BK P&amp;L'!$A61,'BK TB '!D:D)</f>
        <v/>
      </c>
      <c r="Q61" s="37">
        <f>SUMIF('BK TB '!$R:$R,'BK P&amp;L'!$A61,'BK TB '!E:E)</f>
        <v/>
      </c>
      <c r="R61" s="37">
        <f>SUMIF('BK TB '!$R:$R,'BK P&amp;L'!$A61,'BK TB '!F:F)</f>
        <v/>
      </c>
      <c r="S61" s="37">
        <f>SUMIF('BK TB '!$R:$R,'BK P&amp;L'!$A61,'BK TB '!G:G)</f>
        <v/>
      </c>
      <c r="T61" s="37">
        <f>SUMIF('BK TB '!$R:$R,'BK P&amp;L'!$A61,'BK TB '!H:H)</f>
        <v/>
      </c>
      <c r="U61" s="37">
        <f>SUMIF('BK TB '!$R:$R,'BK P&amp;L'!$A61,'BK TB 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104</v>
      </c>
      <c r="D62" s="35" t="n">
        <v>36</v>
      </c>
      <c r="E62" s="35" t="n">
        <v>77.34</v>
      </c>
      <c r="F62" s="35" t="n">
        <v>0</v>
      </c>
      <c r="G62" s="35" t="n">
        <v>169</v>
      </c>
      <c r="H62" s="35" t="n">
        <v>22</v>
      </c>
      <c r="I62" s="35" t="n">
        <v>0</v>
      </c>
      <c r="J62" s="35" t="n">
        <v>0</v>
      </c>
      <c r="K62" s="35" t="n">
        <v>150</v>
      </c>
      <c r="L62" s="35" t="n">
        <v>0</v>
      </c>
      <c r="M62" s="35" t="n">
        <v>0</v>
      </c>
      <c r="N62" s="36">
        <f>SUM(B62:M62)</f>
        <v/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65.73999999999999</v>
      </c>
      <c r="U62" s="37" t="n">
        <v>0</v>
      </c>
      <c r="V62" s="38" t="n">
        <v>0</v>
      </c>
      <c r="W62" s="38" t="n">
        <v>0</v>
      </c>
      <c r="X62" s="38" t="n">
        <v>0</v>
      </c>
      <c r="Y62" s="38" t="n">
        <v>0</v>
      </c>
      <c r="Z62" s="38" t="n">
        <v>0</v>
      </c>
      <c r="AA62" s="36">
        <f>SUM(O62:U62)</f>
        <v/>
      </c>
      <c r="AB62" s="36">
        <f>SUM(O62:Z62)</f>
        <v/>
      </c>
      <c r="AC62" s="38" t="n">
        <v>0</v>
      </c>
      <c r="AD62" s="38" t="n">
        <v>0</v>
      </c>
      <c r="AE62" s="38" t="n">
        <v>0</v>
      </c>
      <c r="AF62" s="38" t="n">
        <v>0</v>
      </c>
      <c r="AG62" s="38" t="n">
        <v>0</v>
      </c>
      <c r="AH62" s="38" t="n">
        <v>0</v>
      </c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SUMIF('BK TB '!$R:$R,'BK P&amp;L'!$A63,'BK TB '!C:C)</f>
        <v/>
      </c>
      <c r="P63" s="37">
        <f>SUMIF('BK TB '!$R:$R,'BK P&amp;L'!$A63,'BK TB '!D:D)</f>
        <v/>
      </c>
      <c r="Q63" s="37">
        <f>SUMIF('BK TB '!$R:$R,'BK P&amp;L'!$A63,'BK TB '!E:E)</f>
        <v/>
      </c>
      <c r="R63" s="37">
        <f>SUMIF('BK TB '!$R:$R,'BK P&amp;L'!$A63,'BK TB '!F:F)</f>
        <v/>
      </c>
      <c r="S63" s="37">
        <f>SUMIF('BK TB '!$R:$R,'BK P&amp;L'!$A63,'BK TB '!G:G)</f>
        <v/>
      </c>
      <c r="T63" s="37">
        <f>SUMIF('BK TB '!$R:$R,'BK P&amp;L'!$A63,'BK TB '!H:H)</f>
        <v/>
      </c>
      <c r="U63" s="37">
        <f>SUMIF('BK TB '!$R:$R,'BK P&amp;L'!$A63,'BK TB '!I:I)</f>
        <v/>
      </c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</v>
      </c>
      <c r="AA63" s="36">
        <f>SUM(O63:U63)</f>
        <v/>
      </c>
      <c r="AB63" s="36">
        <f>SUM(O63:Z63)</f>
        <v/>
      </c>
      <c r="AC63" s="38" t="n">
        <v>0</v>
      </c>
      <c r="AD63" s="38" t="n">
        <v>0</v>
      </c>
      <c r="AE63" s="38" t="n">
        <v>0</v>
      </c>
      <c r="AF63" s="38" t="n">
        <v>0</v>
      </c>
      <c r="AG63" s="38" t="n">
        <v>0</v>
      </c>
      <c r="AH63" s="38" t="n">
        <v>0</v>
      </c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SUMIF('BK TB '!$R:$R,'BK P&amp;L'!$A64,'BK TB '!C:C)</f>
        <v/>
      </c>
      <c r="P64" s="37">
        <f>SUMIF('BK TB '!$R:$R,'BK P&amp;L'!$A64,'BK TB '!D:D)</f>
        <v/>
      </c>
      <c r="Q64" s="37">
        <f>SUMIF('BK TB '!$R:$R,'BK P&amp;L'!$A64,'BK TB '!E:E)</f>
        <v/>
      </c>
      <c r="R64" s="37">
        <f>SUMIF('BK TB '!$R:$R,'BK P&amp;L'!$A64,'BK TB '!F:F)</f>
        <v/>
      </c>
      <c r="S64" s="37">
        <f>SUMIF('BK TB '!$R:$R,'BK P&amp;L'!$A64,'BK TB '!G:G)</f>
        <v/>
      </c>
      <c r="T64" s="37">
        <f>SUMIF('BK TB '!$R:$R,'BK P&amp;L'!$A64,'BK TB '!H:H)</f>
        <v/>
      </c>
      <c r="U64" s="37">
        <f>SUMIF('BK TB '!$R:$R,'BK P&amp;L'!$A64,'BK TB '!I:I)</f>
        <v/>
      </c>
      <c r="V64" s="38" t="n">
        <v>0</v>
      </c>
      <c r="W64" s="38" t="n">
        <v>0</v>
      </c>
      <c r="X64" s="38" t="n">
        <v>0</v>
      </c>
      <c r="Y64" s="38" t="n">
        <v>0</v>
      </c>
      <c r="Z64" s="38" t="n">
        <v>0</v>
      </c>
      <c r="AA64" s="36">
        <f>SUM(O64:U64)</f>
        <v/>
      </c>
      <c r="AB64" s="36">
        <f>SUM(O64:Z64)</f>
        <v/>
      </c>
      <c r="AC64" s="38" t="n">
        <v>0</v>
      </c>
      <c r="AD64" s="38" t="n">
        <v>0</v>
      </c>
      <c r="AE64" s="38" t="n">
        <v>0</v>
      </c>
      <c r="AF64" s="38" t="n">
        <v>0</v>
      </c>
      <c r="AG64" s="38" t="n">
        <v>0</v>
      </c>
      <c r="AH64" s="38" t="n">
        <v>0</v>
      </c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SUMIF('BK TB '!$R:$R,'BK P&amp;L'!$A65,'BK TB '!C:C)</f>
        <v/>
      </c>
      <c r="P65" s="37">
        <f>SUMIF('BK TB '!$R:$R,'BK P&amp;L'!$A65,'BK TB '!D:D)</f>
        <v/>
      </c>
      <c r="Q65" s="37">
        <f>SUMIF('BK TB '!$R:$R,'BK P&amp;L'!$A65,'BK TB '!E:E)</f>
        <v/>
      </c>
      <c r="R65" s="37">
        <f>SUMIF('BK TB '!$R:$R,'BK P&amp;L'!$A65,'BK TB '!F:F)</f>
        <v/>
      </c>
      <c r="S65" s="37">
        <f>SUMIF('BK TB '!$R:$R,'BK P&amp;L'!$A65,'BK TB '!G:G)</f>
        <v/>
      </c>
      <c r="T65" s="37">
        <f>SUMIF('BK TB '!$R:$R,'BK P&amp;L'!$A65,'BK TB '!H:H)</f>
        <v/>
      </c>
      <c r="U65" s="37">
        <f>SUMIF('BK TB '!$R:$R,'BK P&amp;L'!$A65,'BK TB '!I:I)</f>
        <v/>
      </c>
      <c r="V65" s="38" t="n">
        <v>0</v>
      </c>
      <c r="W65" s="38" t="n">
        <v>0</v>
      </c>
      <c r="X65" s="38" t="n">
        <v>0</v>
      </c>
      <c r="Y65" s="38" t="n">
        <v>0</v>
      </c>
      <c r="Z65" s="38" t="n">
        <v>0</v>
      </c>
      <c r="AA65" s="36">
        <f>SUM(O65:U65)</f>
        <v/>
      </c>
      <c r="AB65" s="36">
        <f>SUM(O65:Z65)</f>
        <v/>
      </c>
      <c r="AC65" s="38" t="n">
        <v>0</v>
      </c>
      <c r="AD65" s="38" t="n">
        <v>0</v>
      </c>
      <c r="AE65" s="38" t="n">
        <v>0</v>
      </c>
      <c r="AF65" s="38" t="n">
        <v>0</v>
      </c>
      <c r="AG65" s="38" t="n">
        <v>0</v>
      </c>
      <c r="AH65" s="38" t="n">
        <v>0</v>
      </c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SUMIF('BK TB '!$R:$R,'BK P&amp;L'!$A66,'BK TB '!C:C)</f>
        <v/>
      </c>
      <c r="P66" s="37">
        <f>SUMIF('BK TB '!$R:$R,'BK P&amp;L'!$A66,'BK TB '!D:D)</f>
        <v/>
      </c>
      <c r="Q66" s="37">
        <f>SUMIF('BK TB '!$R:$R,'BK P&amp;L'!$A66,'BK TB '!E:E)</f>
        <v/>
      </c>
      <c r="R66" s="37">
        <f>SUMIF('BK TB '!$R:$R,'BK P&amp;L'!$A66,'BK TB '!F:F)</f>
        <v/>
      </c>
      <c r="S66" s="37">
        <f>SUMIF('BK TB '!$R:$R,'BK P&amp;L'!$A66,'BK TB '!G:G)</f>
        <v/>
      </c>
      <c r="T66" s="37">
        <f>SUMIF('BK TB '!$R:$R,'BK P&amp;L'!$A66,'BK TB '!H:H)</f>
        <v/>
      </c>
      <c r="U66" s="37">
        <f>SUMIF('BK TB '!$R:$R,'BK P&amp;L'!$A66,'BK TB '!I:I)</f>
        <v/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SUMIF('BK TB '!$R:$R,'BK P&amp;L'!$A67,'BK TB '!C:C)</f>
        <v/>
      </c>
      <c r="P67" s="37">
        <f>SUMIF('BK TB '!$R:$R,'BK P&amp;L'!$A67,'BK TB '!D:D)</f>
        <v/>
      </c>
      <c r="Q67" s="37">
        <f>SUMIF('BK TB '!$R:$R,'BK P&amp;L'!$A67,'BK TB '!E:E)</f>
        <v/>
      </c>
      <c r="R67" s="37">
        <f>SUMIF('BK TB '!$R:$R,'BK P&amp;L'!$A67,'BK TB '!F:F)</f>
        <v/>
      </c>
      <c r="S67" s="37">
        <f>SUMIF('BK TB '!$R:$R,'BK P&amp;L'!$A67,'BK TB '!G:G)</f>
        <v/>
      </c>
      <c r="T67" s="37">
        <f>SUMIF('BK TB '!$R:$R,'BK P&amp;L'!$A67,'BK TB '!H:H)</f>
        <v/>
      </c>
      <c r="U67" s="37">
        <f>SUMIF('BK TB '!$R:$R,'BK P&amp;L'!$A67,'BK TB '!I:I)</f>
        <v/>
      </c>
      <c r="V67" s="38" t="n">
        <v>0</v>
      </c>
      <c r="W67" s="38" t="n">
        <v>0</v>
      </c>
      <c r="X67" s="38" t="n">
        <v>0</v>
      </c>
      <c r="Y67" s="38" t="n">
        <v>0</v>
      </c>
      <c r="Z67" s="38" t="n">
        <v>0</v>
      </c>
      <c r="AA67" s="36">
        <f>SUM(O67:U67)</f>
        <v/>
      </c>
      <c r="AB67" s="36">
        <f>SUM(O67:Z67)</f>
        <v/>
      </c>
      <c r="AC67" s="38" t="n">
        <v>0</v>
      </c>
      <c r="AD67" s="38" t="n">
        <v>0</v>
      </c>
      <c r="AE67" s="38" t="n">
        <v>0</v>
      </c>
      <c r="AF67" s="38" t="n">
        <v>0</v>
      </c>
      <c r="AG67" s="38" t="n">
        <v>0</v>
      </c>
      <c r="AH67" s="38" t="n">
        <v>0</v>
      </c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SUMIF('BK TB '!$R:$R,'BK P&amp;L'!$A68,'BK TB '!C:C)</f>
        <v/>
      </c>
      <c r="P68" s="37">
        <f>SUMIF('BK TB '!$R:$R,'BK P&amp;L'!$A68,'BK TB '!D:D)</f>
        <v/>
      </c>
      <c r="Q68" s="37">
        <f>SUMIF('BK TB '!$R:$R,'BK P&amp;L'!$A68,'BK TB '!E:E)</f>
        <v/>
      </c>
      <c r="R68" s="37">
        <f>SUMIF('BK TB '!$R:$R,'BK P&amp;L'!$A68,'BK TB '!F:F)</f>
        <v/>
      </c>
      <c r="S68" s="37">
        <f>SUMIF('BK TB '!$R:$R,'BK P&amp;L'!$A68,'BK TB '!G:G)</f>
        <v/>
      </c>
      <c r="T68" s="37">
        <f>SUMIF('BK TB '!$R:$R,'BK P&amp;L'!$A68,'BK TB '!H:H)</f>
        <v/>
      </c>
      <c r="U68" s="37">
        <f>SUMIF('BK TB '!$R:$R,'BK P&amp;L'!$A68,'BK TB '!I:I)</f>
        <v/>
      </c>
      <c r="V68" s="38" t="n">
        <v>0</v>
      </c>
      <c r="W68" s="38" t="n">
        <v>0</v>
      </c>
      <c r="X68" s="38" t="n">
        <v>0</v>
      </c>
      <c r="Y68" s="38" t="n">
        <v>0</v>
      </c>
      <c r="Z68" s="38" t="n">
        <v>0</v>
      </c>
      <c r="AA68" s="36">
        <f>SUM(O68:U68)</f>
        <v/>
      </c>
      <c r="AB68" s="36">
        <f>SUM(O68:Z68)</f>
        <v/>
      </c>
      <c r="AC68" s="38" t="n">
        <v>0</v>
      </c>
      <c r="AD68" s="38" t="n">
        <v>0</v>
      </c>
      <c r="AE68" s="38" t="n">
        <v>0</v>
      </c>
      <c r="AF68" s="38" t="n">
        <v>0</v>
      </c>
      <c r="AG68" s="38" t="n">
        <v>0</v>
      </c>
      <c r="AH68" s="38" t="n">
        <v>0</v>
      </c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347.78</v>
      </c>
      <c r="C69" s="42" t="n">
        <v>306.58</v>
      </c>
      <c r="D69" s="42" t="n">
        <v>238.58</v>
      </c>
      <c r="E69" s="42" t="n">
        <v>281.72</v>
      </c>
      <c r="F69" s="42" t="n">
        <v>232.15</v>
      </c>
      <c r="G69" s="42" t="n">
        <v>372.18</v>
      </c>
      <c r="H69" s="42" t="n">
        <v>275.92</v>
      </c>
      <c r="I69" s="42" t="n">
        <v>201.98</v>
      </c>
      <c r="J69" s="42" t="n">
        <v>203.18</v>
      </c>
      <c r="K69" s="42" t="n">
        <v>459.45</v>
      </c>
      <c r="L69" s="42" t="n">
        <v>245.24</v>
      </c>
      <c r="M69" s="42" t="n">
        <v>297</v>
      </c>
      <c r="N69" s="43">
        <f>SUM(B69:M69)</f>
        <v/>
      </c>
      <c r="O69" s="44">
        <f>SUM(O53:O68)</f>
        <v/>
      </c>
      <c r="P69" s="44">
        <f>SUM(P53:P68)</f>
        <v/>
      </c>
      <c r="Q69" s="44">
        <f>SUM(Q53:Q68)</f>
        <v/>
      </c>
      <c r="R69" s="44">
        <f>SUM(R53:R68)</f>
        <v/>
      </c>
      <c r="S69" s="44">
        <f>SUM(S53:S68)</f>
        <v/>
      </c>
      <c r="T69" s="44">
        <f>SUM(T53:T68)</f>
        <v/>
      </c>
      <c r="U69" s="44">
        <f>SUM(U53:U68)</f>
        <v/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11278.46</v>
      </c>
      <c r="C70" s="55" t="n">
        <v>6705.210000000001</v>
      </c>
      <c r="D70" s="55" t="n">
        <v>35352.92</v>
      </c>
      <c r="E70" s="55" t="n">
        <v>14050.32000000001</v>
      </c>
      <c r="F70" s="55" t="n">
        <v>7344.560000000003</v>
      </c>
      <c r="G70" s="55" t="n">
        <v>17602.66</v>
      </c>
      <c r="H70" s="55" t="n">
        <v>24019.18</v>
      </c>
      <c r="I70" s="55" t="n">
        <v>62.99999999999957</v>
      </c>
      <c r="J70" s="55" t="n">
        <v>4252.330000000002</v>
      </c>
      <c r="K70" s="55" t="n">
        <v>4043.919999999996</v>
      </c>
      <c r="L70" s="55" t="n">
        <v>9091.809999999996</v>
      </c>
      <c r="M70" s="55" t="n">
        <v>17028.98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63" t="inlineStr">
        <is>
          <t>Memo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60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7">
        <f>SUM(AC72:AH72)+SUM(AI72:AN72)</f>
        <v/>
      </c>
      <c r="AP72" s="145">
        <f>IF(AB72&lt;&gt;0,(AO72-AB72)/ABS(AB72),0)</f>
        <v/>
      </c>
    </row>
    <row r="73">
      <c r="A73" s="34" t="inlineStr">
        <is>
          <t>Direct - Sales</t>
        </is>
      </c>
      <c r="B73" s="18" t="n">
        <v>37485.31</v>
      </c>
      <c r="C73" s="18" t="n">
        <v>36089.88</v>
      </c>
      <c r="D73" s="18" t="n">
        <v>65326.28</v>
      </c>
      <c r="E73" s="18" t="n">
        <v>46048.91</v>
      </c>
      <c r="F73" s="18" t="n">
        <v>39015.19</v>
      </c>
      <c r="G73" s="18" t="n">
        <v>48602.76</v>
      </c>
      <c r="H73" s="18" t="n">
        <v>56552.03</v>
      </c>
      <c r="I73" s="18" t="n">
        <v>31860.92</v>
      </c>
      <c r="J73" s="18" t="n">
        <v>36736.97</v>
      </c>
      <c r="K73" s="18" t="n">
        <v>35841.35</v>
      </c>
      <c r="L73" s="18" t="n">
        <v>37264.42</v>
      </c>
      <c r="M73" s="18" t="n">
        <v>47348.34</v>
      </c>
      <c r="N73" s="34">
        <f>SUM(B73:M73)</f>
        <v/>
      </c>
      <c r="O73" s="60">
        <f>-SUMIF('BK TB '!$T:$T,'BK P&amp;L'!$A73,'BK TB '!C:C)</f>
        <v/>
      </c>
      <c r="P73" s="60">
        <f>-SUMIF('BK TB '!$T:$T,'BK P&amp;L'!$A73,'BK TB '!D:D)</f>
        <v/>
      </c>
      <c r="Q73" s="60">
        <f>-SUMIF('BK TB '!$T:$T,'BK P&amp;L'!$A73,'BK TB '!E:E)</f>
        <v/>
      </c>
      <c r="R73" s="60">
        <f>-SUMIF('BK TB '!$T:$T,'BK P&amp;L'!$A73,'BK TB '!F:F)</f>
        <v/>
      </c>
      <c r="S73" s="60">
        <f>-SUMIF('BK TB '!$T:$T,'BK P&amp;L'!$A73,'BK TB '!G:G)</f>
        <v/>
      </c>
      <c r="T73" s="60">
        <f>-SUMIF('BK TB '!$T:$T,'BK P&amp;L'!$A73,'BK TB '!H:H)</f>
        <v/>
      </c>
      <c r="U73" s="60">
        <f>-SUMIF('BK TB '!$T:$T,'BK P&amp;L'!$A73,'BK TB '!I:I)</f>
        <v/>
      </c>
      <c r="V73" s="20" t="n"/>
      <c r="W73" s="20" t="n"/>
      <c r="X73" s="20" t="n"/>
      <c r="Y73" s="20" t="n"/>
      <c r="Z73" s="20" t="n"/>
      <c r="AA73" s="34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134" t="n">
        <v>0</v>
      </c>
      <c r="AJ73" s="134" t="n">
        <v>0</v>
      </c>
      <c r="AK73" s="134" t="n">
        <v>0</v>
      </c>
      <c r="AL73" s="134" t="n">
        <v>0</v>
      </c>
      <c r="AM73" s="134" t="n">
        <v>0</v>
      </c>
      <c r="AN73" s="134" t="n">
        <v>0</v>
      </c>
      <c r="AO73" s="147">
        <f>SUM(AC73:AH73)+SUM(AI73:AN73)</f>
        <v/>
      </c>
      <c r="AP73" s="145">
        <f>IF(AB73&lt;&gt;0,(AO73-AB73)/ABS(AB73),0)</f>
        <v/>
      </c>
    </row>
    <row r="74">
      <c r="A74" s="34" t="inlineStr">
        <is>
          <t>Direct - Staff Cost</t>
        </is>
      </c>
      <c r="B74" s="18" t="n">
        <v>-19745.57</v>
      </c>
      <c r="C74" s="18" t="n">
        <v>-19496.37</v>
      </c>
      <c r="D74" s="18" t="n">
        <v>-22214.65</v>
      </c>
      <c r="E74" s="18" t="n">
        <v>-25290.2</v>
      </c>
      <c r="F74" s="18" t="n">
        <v>-25692.01</v>
      </c>
      <c r="G74" s="18" t="n">
        <v>-27229.87</v>
      </c>
      <c r="H74" s="18" t="n">
        <v>-26832.04</v>
      </c>
      <c r="I74" s="18" t="n">
        <v>-27070.77</v>
      </c>
      <c r="J74" s="18" t="n">
        <v>-27475.83</v>
      </c>
      <c r="K74" s="18" t="n">
        <v>-26487.3</v>
      </c>
      <c r="L74" s="18" t="n">
        <v>-23007.22</v>
      </c>
      <c r="M74" s="18" t="n">
        <v>-25733.51</v>
      </c>
      <c r="N74" s="34">
        <f>SUM(B74:M74)</f>
        <v/>
      </c>
      <c r="O74" s="60">
        <f>-SUMIF('BK TB '!$T:$T,'BK P&amp;L'!$A74,'BK TB '!C:C)</f>
        <v/>
      </c>
      <c r="P74" s="60">
        <f>-SUMIF('BK TB '!$T:$T,'BK P&amp;L'!$A74,'BK TB '!D:D)</f>
        <v/>
      </c>
      <c r="Q74" s="60">
        <f>-SUMIF('BK TB '!$T:$T,'BK P&amp;L'!$A74,'BK TB '!E:E)</f>
        <v/>
      </c>
      <c r="R74" s="60">
        <f>-SUMIF('BK TB '!$T:$T,'BK P&amp;L'!$A74,'BK TB '!F:F)</f>
        <v/>
      </c>
      <c r="S74" s="60">
        <f>-SUMIF('BK TB '!$T:$T,'BK P&amp;L'!$A74,'BK TB '!G:G)</f>
        <v/>
      </c>
      <c r="T74" s="60">
        <f>-SUMIF('BK TB '!$T:$T,'BK P&amp;L'!$A74,'BK TB '!H:H)</f>
        <v/>
      </c>
      <c r="U74" s="60">
        <f>-SUMIF('BK TB '!$T:$T,'BK P&amp;L'!$A74,'BK TB '!I:I)</f>
        <v/>
      </c>
      <c r="V74" s="20" t="n"/>
      <c r="W74" s="20" t="n"/>
      <c r="X74" s="20" t="n"/>
      <c r="Y74" s="20" t="n"/>
      <c r="Z74" s="20" t="n"/>
      <c r="AA74" s="34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134" t="n">
        <v>0</v>
      </c>
      <c r="AJ74" s="134" t="n">
        <v>0</v>
      </c>
      <c r="AK74" s="134" t="n">
        <v>0</v>
      </c>
      <c r="AL74" s="134" t="n">
        <v>0</v>
      </c>
      <c r="AM74" s="134" t="n">
        <v>0</v>
      </c>
      <c r="AN74" s="134" t="n">
        <v>0</v>
      </c>
      <c r="AO74" s="147">
        <f>SUM(AC74:AH74)+SUM(AI74:AN74)</f>
        <v/>
      </c>
      <c r="AP74" s="145">
        <f>IF(AB74&lt;&gt;0,(AO74-AB74)/ABS(AB74),0)</f>
        <v/>
      </c>
    </row>
    <row r="75">
      <c r="A75" s="60" t="inlineStr">
        <is>
          <t>Direct - Childcare Cost</t>
        </is>
      </c>
      <c r="B75" s="18" t="n">
        <v>-1410.45</v>
      </c>
      <c r="C75" s="18" t="n">
        <v>-1438.49</v>
      </c>
      <c r="D75" s="18" t="n">
        <v>-1592.41</v>
      </c>
      <c r="E75" s="18" t="n">
        <v>-1168.83</v>
      </c>
      <c r="F75" s="18" t="n">
        <v>-1228.61</v>
      </c>
      <c r="G75" s="18" t="n">
        <v>-1436.12</v>
      </c>
      <c r="H75" s="18" t="n">
        <v>-1427.65</v>
      </c>
      <c r="I75" s="18" t="n">
        <v>-1493.46</v>
      </c>
      <c r="J75" s="18" t="n">
        <v>-2341.3</v>
      </c>
      <c r="K75" s="18" t="n">
        <v>-1648.7</v>
      </c>
      <c r="L75" s="18" t="n">
        <v>-2334.43</v>
      </c>
      <c r="M75" s="18" t="n">
        <v>-1598.23</v>
      </c>
      <c r="N75" s="34">
        <f>SUM(B75:M75)</f>
        <v/>
      </c>
      <c r="O75" s="60">
        <f>-SUMIF('BK TB '!$T:$T,'BK P&amp;L'!$A75,'BK TB '!C:C)</f>
        <v/>
      </c>
      <c r="P75" s="60">
        <f>-SUMIF('BK TB '!$T:$T,'BK P&amp;L'!$A75,'BK TB '!D:D)</f>
        <v/>
      </c>
      <c r="Q75" s="60">
        <f>-SUMIF('BK TB '!$T:$T,'BK P&amp;L'!$A75,'BK TB '!E:E)</f>
        <v/>
      </c>
      <c r="R75" s="60">
        <f>-SUMIF('BK TB '!$T:$T,'BK P&amp;L'!$A75,'BK TB '!F:F)</f>
        <v/>
      </c>
      <c r="S75" s="60">
        <f>-SUMIF('BK TB '!$T:$T,'BK P&amp;L'!$A75,'BK TB '!G:G)</f>
        <v/>
      </c>
      <c r="T75" s="60">
        <f>-SUMIF('BK TB '!$T:$T,'BK P&amp;L'!$A75,'BK TB '!H:H)</f>
        <v/>
      </c>
      <c r="U75" s="60">
        <f>-SUMIF('BK TB '!$T:$T,'BK P&amp;L'!$A75,'BK TB '!I:I)</f>
        <v/>
      </c>
      <c r="V75" s="20" t="n"/>
      <c r="W75" s="20" t="n"/>
      <c r="X75" s="20" t="n"/>
      <c r="Y75" s="20" t="n"/>
      <c r="Z75" s="20" t="n"/>
      <c r="AA75" s="34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134" t="n">
        <v>0</v>
      </c>
      <c r="AJ75" s="134" t="n">
        <v>0</v>
      </c>
      <c r="AK75" s="134" t="n">
        <v>0</v>
      </c>
      <c r="AL75" s="134" t="n">
        <v>0</v>
      </c>
      <c r="AM75" s="134" t="n">
        <v>0</v>
      </c>
      <c r="AN75" s="134" t="n">
        <v>0</v>
      </c>
      <c r="AO75" s="147">
        <f>SUM(AC75:AH75)+SUM(AI75:AN75)</f>
        <v/>
      </c>
      <c r="AP75" s="145">
        <f>IF(AB75&lt;&gt;0,(AO75-AB75)/ABS(AB75),0)</f>
        <v/>
      </c>
    </row>
    <row r="76">
      <c r="A76" s="60" t="inlineStr">
        <is>
          <t>Direct - Premises &amp; Admin</t>
        </is>
      </c>
      <c r="B76" s="18" t="n">
        <v>-4703.05</v>
      </c>
      <c r="C76" s="18" t="n">
        <v>-8143.23</v>
      </c>
      <c r="D76" s="18" t="n">
        <v>-5927.719999999999</v>
      </c>
      <c r="E76" s="18" t="n">
        <v>-5257.84</v>
      </c>
      <c r="F76" s="18" t="n">
        <v>-4517.860000000001</v>
      </c>
      <c r="G76" s="18" t="n">
        <v>-1961.93</v>
      </c>
      <c r="H76" s="18" t="n">
        <v>-3997.24</v>
      </c>
      <c r="I76" s="18" t="n">
        <v>-3031.71</v>
      </c>
      <c r="J76" s="18" t="n">
        <v>-2464.33</v>
      </c>
      <c r="K76" s="18" t="n">
        <v>-3201.98</v>
      </c>
      <c r="L76" s="18" t="n">
        <v>-2585.72</v>
      </c>
      <c r="M76" s="18" t="n">
        <v>-2690.62</v>
      </c>
      <c r="N76" s="8">
        <f>SUM(B76:M76)</f>
        <v/>
      </c>
      <c r="O76" s="60">
        <f>-SUMIF('BK TB '!$T:$T,'BK P&amp;L'!$A76,'BK TB '!C:C)</f>
        <v/>
      </c>
      <c r="P76" s="60">
        <f>-SUMIF('BK TB '!$T:$T,'BK P&amp;L'!$A76,'BK TB '!D:D)</f>
        <v/>
      </c>
      <c r="Q76" s="60">
        <f>-SUMIF('BK TB '!$T:$T,'BK P&amp;L'!$A76,'BK TB '!E:E)</f>
        <v/>
      </c>
      <c r="R76" s="60">
        <f>-SUMIF('BK TB '!$T:$T,'BK P&amp;L'!$A76,'BK TB '!F:F)</f>
        <v/>
      </c>
      <c r="S76" s="60">
        <f>-SUMIF('BK TB '!$T:$T,'BK P&amp;L'!$A76,'BK TB '!G:G)</f>
        <v/>
      </c>
      <c r="T76" s="60">
        <f>-SUMIF('BK TB '!$T:$T,'BK P&amp;L'!$A76,'BK TB '!H:H)</f>
        <v/>
      </c>
      <c r="U76" s="60">
        <f>-SUMIF('BK TB '!$T:$T,'BK P&amp;L'!$A76,'BK TB '!I:I)</f>
        <v/>
      </c>
      <c r="V76" s="20" t="n"/>
      <c r="W76" s="20" t="n"/>
      <c r="X76" s="20" t="n"/>
      <c r="Y76" s="20" t="n"/>
      <c r="Z76" s="20" t="n"/>
      <c r="AA76" s="8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134" t="n">
        <v>0</v>
      </c>
      <c r="AJ76" s="134" t="n">
        <v>0</v>
      </c>
      <c r="AK76" s="134" t="n">
        <v>0</v>
      </c>
      <c r="AL76" s="134" t="n">
        <v>0</v>
      </c>
      <c r="AM76" s="134" t="n">
        <v>0</v>
      </c>
      <c r="AN76" s="134" t="n">
        <v>0</v>
      </c>
      <c r="AO76" s="147">
        <f>SUM(AC76:AH76)+SUM(AI76:AN76)</f>
        <v/>
      </c>
      <c r="AP76" s="145">
        <f>IF(AB76&lt;&gt;0,(AO76-AB76)/ABS(AB76),0)</f>
        <v/>
      </c>
    </row>
    <row r="77">
      <c r="A77" s="60" t="inlineStr">
        <is>
          <t>In-Direct - Staff Cost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  <c r="G77" s="18" t="n">
        <v>0</v>
      </c>
      <c r="H77" s="18" t="n">
        <v>0</v>
      </c>
      <c r="I77" s="18" t="n">
        <v>0</v>
      </c>
      <c r="J77" s="18" t="n">
        <v>0</v>
      </c>
      <c r="K77" s="18" t="n">
        <v>0</v>
      </c>
      <c r="L77" s="18" t="n">
        <v>0</v>
      </c>
      <c r="M77" s="18" t="n">
        <v>0</v>
      </c>
      <c r="N77" s="8">
        <f>SUM(B77:M77)</f>
        <v/>
      </c>
      <c r="O77" s="60">
        <f>-SUMIF('BK TB '!$T:$T,'BK P&amp;L'!$A77,'BK TB '!C:C)</f>
        <v/>
      </c>
      <c r="P77" s="60">
        <f>-SUMIF('BK TB '!$T:$T,'BK P&amp;L'!$A77,'BK TB '!D:D)</f>
        <v/>
      </c>
      <c r="Q77" s="60">
        <f>-SUMIF('BK TB '!$T:$T,'BK P&amp;L'!$A77,'BK TB '!E:E)</f>
        <v/>
      </c>
      <c r="R77" s="60">
        <f>-SUMIF('BK TB '!$T:$T,'BK P&amp;L'!$A77,'BK TB '!F:F)</f>
        <v/>
      </c>
      <c r="S77" s="60">
        <f>-SUMIF('BK TB '!$T:$T,'BK P&amp;L'!$A77,'BK TB '!G:G)</f>
        <v/>
      </c>
      <c r="T77" s="60">
        <f>-SUMIF('BK TB '!$T:$T,'BK P&amp;L'!$A77,'BK TB '!H:H)</f>
        <v/>
      </c>
      <c r="U77" s="60">
        <f>-SUMIF('BK TB '!$T:$T,'BK P&amp;L'!$A77,'BK TB '!I:I)</f>
        <v/>
      </c>
      <c r="V77" s="20" t="n"/>
      <c r="W77" s="20" t="n"/>
      <c r="X77" s="20" t="n"/>
      <c r="Y77" s="20" t="n"/>
      <c r="Z77" s="20" t="n"/>
      <c r="AA77" s="8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7">
        <f>SUM(AC77:AH77)+SUM(AI77:AN77)</f>
        <v/>
      </c>
      <c r="AP77" s="145">
        <f>IF(AB77&lt;&gt;0,(AO77-AB77)/ABS(AB77),0)</f>
        <v/>
      </c>
    </row>
    <row r="78">
      <c r="A78" s="60" t="inlineStr">
        <is>
          <t>In-Direct - Overheads</t>
        </is>
      </c>
      <c r="B78" s="18" t="n">
        <v>-347.78</v>
      </c>
      <c r="C78" s="18" t="n">
        <v>-306.58</v>
      </c>
      <c r="D78" s="18" t="n">
        <v>-238.58</v>
      </c>
      <c r="E78" s="18" t="n">
        <v>-281.72</v>
      </c>
      <c r="F78" s="18" t="n">
        <v>-232.15</v>
      </c>
      <c r="G78" s="18" t="n">
        <v>-372.18</v>
      </c>
      <c r="H78" s="18" t="n">
        <v>-275.92</v>
      </c>
      <c r="I78" s="18" t="n">
        <v>-201.98</v>
      </c>
      <c r="J78" s="18" t="n">
        <v>-203.18</v>
      </c>
      <c r="K78" s="18" t="n">
        <v>-459.45</v>
      </c>
      <c r="L78" s="18" t="n">
        <v>-245.24</v>
      </c>
      <c r="M78" s="18" t="n">
        <v>-297</v>
      </c>
      <c r="N78" s="8">
        <f>SUM(B78:M78)</f>
        <v/>
      </c>
      <c r="O78" s="60">
        <f>-SUMIF('BK TB '!$T:$T,'BK P&amp;L'!$A78,'BK TB '!C:C)</f>
        <v/>
      </c>
      <c r="P78" s="60">
        <f>-SUMIF('BK TB '!$T:$T,'BK P&amp;L'!$A78,'BK TB '!D:D)</f>
        <v/>
      </c>
      <c r="Q78" s="60">
        <f>-SUMIF('BK TB '!$T:$T,'BK P&amp;L'!$A78,'BK TB '!E:E)</f>
        <v/>
      </c>
      <c r="R78" s="60">
        <f>-SUMIF('BK TB '!$T:$T,'BK P&amp;L'!$A78,'BK TB '!F:F)</f>
        <v/>
      </c>
      <c r="S78" s="60">
        <f>-SUMIF('BK TB '!$T:$T,'BK P&amp;L'!$A78,'BK TB '!G:G)</f>
        <v/>
      </c>
      <c r="T78" s="60">
        <f>-SUMIF('BK TB '!$T:$T,'BK P&amp;L'!$A78,'BK TB '!H:H)</f>
        <v/>
      </c>
      <c r="U78" s="60">
        <f>-SUMIF('BK TB '!$T:$T,'BK P&amp;L'!$A78,'BK TB '!I:I)</f>
        <v/>
      </c>
      <c r="V78" s="20" t="n"/>
      <c r="W78" s="20" t="n"/>
      <c r="X78" s="20" t="n"/>
      <c r="Y78" s="20" t="n"/>
      <c r="Z78" s="20" t="n"/>
      <c r="AA78" s="8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134" t="n">
        <v>0</v>
      </c>
      <c r="AJ78" s="134" t="n">
        <v>0</v>
      </c>
      <c r="AK78" s="134" t="n">
        <v>0</v>
      </c>
      <c r="AL78" s="134" t="n">
        <v>0</v>
      </c>
      <c r="AM78" s="134" t="n">
        <v>0</v>
      </c>
      <c r="AN78" s="134" t="n">
        <v>0</v>
      </c>
      <c r="AO78" s="147">
        <f>SUM(AC78:AH78)+SUM(AI78:AN78)</f>
        <v/>
      </c>
      <c r="AP78" s="145">
        <f>IF(AB78&lt;&gt;0,(AO78-AB78)/ABS(AB78),0)</f>
        <v/>
      </c>
    </row>
    <row r="79" ht="15.75" customHeight="1">
      <c r="A79" s="8" t="n"/>
      <c r="B79" s="67" t="n">
        <v>11278.46</v>
      </c>
      <c r="C79" s="67" t="n">
        <v>6705.209999999999</v>
      </c>
      <c r="D79" s="67" t="n">
        <v>35352.91999999999</v>
      </c>
      <c r="E79" s="67" t="n">
        <v>14050.32000000001</v>
      </c>
      <c r="F79" s="67" t="n">
        <v>7344.560000000003</v>
      </c>
      <c r="G79" s="67" t="n">
        <v>17602.66</v>
      </c>
      <c r="H79" s="67" t="n">
        <v>24019.18</v>
      </c>
      <c r="I79" s="67" t="n">
        <v>62.9999999999973</v>
      </c>
      <c r="J79" s="67" t="n">
        <v>4252.329999999999</v>
      </c>
      <c r="K79" s="67" t="n">
        <v>4043.919999999996</v>
      </c>
      <c r="L79" s="67" t="n">
        <v>9091.809999999996</v>
      </c>
      <c r="M79" s="67" t="n">
        <v>17028.98</v>
      </c>
      <c r="N79" s="8">
        <f>SUM(B79:M79)</f>
        <v/>
      </c>
      <c r="O79" s="64">
        <f>SUM(O73:O78)</f>
        <v/>
      </c>
      <c r="P79" s="64">
        <f>SUM(P73:P78)</f>
        <v/>
      </c>
      <c r="Q79" s="64">
        <f>SUM(Q73:Q78)</f>
        <v/>
      </c>
      <c r="R79" s="64">
        <f>SUM(R73:R78)</f>
        <v/>
      </c>
      <c r="S79" s="64">
        <f>SUM(S73:S78)</f>
        <v/>
      </c>
      <c r="T79" s="64">
        <f>SUM(T73:T78)</f>
        <v/>
      </c>
      <c r="U79" s="64">
        <f>SUM(U73:U78)</f>
        <v/>
      </c>
      <c r="V79" s="68" t="n"/>
      <c r="W79" s="68" t="n"/>
      <c r="X79" s="68" t="n"/>
      <c r="Y79" s="68" t="n"/>
      <c r="Z79" s="68" t="n"/>
      <c r="AA79" s="8">
        <f>SUM(O79:T79)</f>
        <v/>
      </c>
      <c r="AB79" s="8" t="n"/>
      <c r="AC79" s="68" t="n"/>
      <c r="AD79" s="68" t="n"/>
      <c r="AE79" s="68" t="n"/>
      <c r="AF79" s="68" t="n"/>
      <c r="AG79" s="68" t="n"/>
      <c r="AH79" s="68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7">
        <f>SUM(AC79:AH79)+SUM(AI79:AN79)</f>
        <v/>
      </c>
      <c r="AP79" s="145">
        <f>IF(AB79&lt;&gt;0,(AO79-AB79)/ABS(AB79),0)</f>
        <v/>
      </c>
    </row>
    <row r="80" ht="15.75" customHeight="1">
      <c r="A80" s="8" t="n"/>
      <c r="B80" s="18" t="n">
        <v>0</v>
      </c>
      <c r="C80" s="18" t="n">
        <v>0</v>
      </c>
      <c r="D80" s="18" t="n">
        <v>0</v>
      </c>
      <c r="E80" s="18" t="n">
        <v>0</v>
      </c>
      <c r="F80" s="18" t="n">
        <v>0</v>
      </c>
      <c r="G80" s="18" t="n">
        <v>0</v>
      </c>
      <c r="H80" s="18" t="n">
        <v>0</v>
      </c>
      <c r="I80" s="18" t="n">
        <v>2.273736754432321e-12</v>
      </c>
      <c r="J80" s="18" t="n">
        <v>0</v>
      </c>
      <c r="K80" s="18" t="n">
        <v>0</v>
      </c>
      <c r="L80" s="18" t="n">
        <v>0</v>
      </c>
      <c r="M80" s="18" t="n">
        <v>0</v>
      </c>
      <c r="N80" s="60">
        <f>SUM(B80:M80)</f>
        <v/>
      </c>
      <c r="O80" s="60">
        <f>+O70-O79</f>
        <v/>
      </c>
      <c r="P80" s="60">
        <f>+P70-P79</f>
        <v/>
      </c>
      <c r="Q80" s="60">
        <f>+Q70-Q79</f>
        <v/>
      </c>
      <c r="R80" s="60">
        <f>+R70-R79</f>
        <v/>
      </c>
      <c r="S80" s="60">
        <f>+S70-S79</f>
        <v/>
      </c>
      <c r="T80" s="60">
        <f>+T70-T79</f>
        <v/>
      </c>
      <c r="U80" s="60">
        <f>+U70-U79</f>
        <v/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7">
        <f>SUM(AC80:AH80)+SUM(AI80:AN80)</f>
        <v/>
      </c>
      <c r="AP80" s="145">
        <f>IF(AB80&lt;&gt;0,(AO80-AB80)/ABS(AB80),0)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69" t="inlineStr">
        <is>
          <t>CHECK TO TB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-3.460343123151688e-12</v>
      </c>
      <c r="J82" s="18" t="n">
        <v>0</v>
      </c>
      <c r="K82" s="18" t="n">
        <v>0</v>
      </c>
      <c r="L82" s="18" t="n">
        <v>0</v>
      </c>
      <c r="M82" s="18" t="n"/>
      <c r="N82" s="65" t="n"/>
      <c r="O82" s="65">
        <f>O79+O83</f>
        <v/>
      </c>
      <c r="P82" s="65">
        <f>P79+P83</f>
        <v/>
      </c>
      <c r="Q82" s="65">
        <f>Q79+Q83</f>
        <v/>
      </c>
      <c r="R82" s="65">
        <f>R79+R83</f>
        <v/>
      </c>
      <c r="S82" s="65">
        <f>S79+S83</f>
        <v/>
      </c>
      <c r="T82" s="65">
        <f>T79+T83</f>
        <v/>
      </c>
      <c r="U82" s="65">
        <f>U79+U83</f>
        <v/>
      </c>
      <c r="V82" s="65">
        <f>V79+V83</f>
        <v/>
      </c>
      <c r="W82" s="65">
        <f>W79+W83</f>
        <v/>
      </c>
      <c r="X82" s="65">
        <f>X79+X83</f>
        <v/>
      </c>
      <c r="Y82" s="65">
        <f>Y79+Y83</f>
        <v/>
      </c>
      <c r="Z82" s="65">
        <f>Z79+Z83</f>
        <v/>
      </c>
      <c r="AA82" s="65" t="n"/>
      <c r="AB82" s="8" t="n"/>
      <c r="AC82" s="65" t="n"/>
      <c r="AD82" s="65" t="n"/>
      <c r="AE82" s="65" t="n"/>
      <c r="AF82" s="65" t="n"/>
      <c r="AG82" s="65" t="n"/>
      <c r="AH82" s="65" t="n"/>
      <c r="AI82" s="134" t="n">
        <v>0</v>
      </c>
      <c r="AJ82" s="134" t="n">
        <v>0</v>
      </c>
      <c r="AK82" s="134" t="n">
        <v>0</v>
      </c>
      <c r="AL82" s="134" t="n">
        <v>0</v>
      </c>
      <c r="AM82" s="134" t="n">
        <v>0</v>
      </c>
      <c r="AN82" s="134" t="n">
        <v>0</v>
      </c>
      <c r="AO82" s="151">
        <f>SUM(AC82:AH82)+SUM(AI82:AN82)</f>
        <v/>
      </c>
      <c r="AP82" s="145">
        <f>IF(AB82&lt;&gt;0,(AO82-AB82)/ABS(AB82),0)</f>
        <v/>
      </c>
    </row>
    <row r="83">
      <c r="A83" s="65" t="n"/>
      <c r="B83" s="65" t="n">
        <v>-11278.46</v>
      </c>
      <c r="C83" s="65" t="n">
        <v>-6705.21</v>
      </c>
      <c r="D83" s="65" t="n">
        <v>-35352.92</v>
      </c>
      <c r="E83" s="65" t="n">
        <v>-14050.32000000001</v>
      </c>
      <c r="F83" s="65" t="n">
        <v>-7344.56</v>
      </c>
      <c r="G83" s="65" t="n">
        <v>-17602.66</v>
      </c>
      <c r="H83" s="65" t="n">
        <v>-24019.17999999999</v>
      </c>
      <c r="I83" s="65" t="n">
        <v>-63.00000000000076</v>
      </c>
      <c r="J83" s="65" t="n">
        <v>-4252.330000000001</v>
      </c>
      <c r="K83" s="65" t="n">
        <v>-4043.919999999996</v>
      </c>
      <c r="L83" s="65" t="n">
        <v>-9091.809999999998</v>
      </c>
      <c r="M83" s="65" t="n"/>
      <c r="N83" s="65" t="n"/>
      <c r="O83" s="65">
        <f>SUM('BK TB '!C2:C44)</f>
        <v/>
      </c>
      <c r="P83" s="65">
        <f>SUM('BK TB '!D2:D44)</f>
        <v/>
      </c>
      <c r="Q83" s="65">
        <f>SUM('BK TB '!E2:E44)</f>
        <v/>
      </c>
      <c r="R83" s="65">
        <f>SUM('BK TB '!F2:F44)</f>
        <v/>
      </c>
      <c r="S83" s="65">
        <f>SUM('BK TB '!G2:G44)</f>
        <v/>
      </c>
      <c r="T83" s="65">
        <f>SUM('BK TB '!H2:H44)</f>
        <v/>
      </c>
      <c r="U83" s="65">
        <f>SUM('BK TB '!I2:I44)</f>
        <v/>
      </c>
      <c r="V83" s="65">
        <f>SUM('BK TB '!J2:J44)</f>
        <v/>
      </c>
      <c r="W83" s="65">
        <f>SUM('BK TB '!K2:K44)</f>
        <v/>
      </c>
      <c r="X83" s="65">
        <f>SUM('BK TB '!L2:L44)</f>
        <v/>
      </c>
      <c r="Y83" s="65">
        <f>SUM('BK TB '!M2:M44)</f>
        <v/>
      </c>
      <c r="Z83" s="65">
        <f>SUM('BK TB '!N2:N44)</f>
        <v/>
      </c>
      <c r="AA83" s="65" t="n"/>
      <c r="AB83" s="8" t="n"/>
      <c r="AC83" s="65" t="n"/>
      <c r="AD83" s="65" t="n"/>
      <c r="AE83" s="65" t="n"/>
      <c r="AF83" s="65" t="n"/>
      <c r="AG83" s="65" t="n"/>
      <c r="AH83" s="65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51">
        <f>SUM(AC83:AH83)+SUM(AI83:AN83)</f>
        <v/>
      </c>
      <c r="AP83" s="145">
        <f>IF(AB83&lt;&gt;0,(AO83-AB83)/ABS(AB83),0)</f>
        <v/>
      </c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pane xSplit="19" ySplit="32" topLeftCell="T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12.85546875" customWidth="1" min="27" max="27"/>
    <col width="13.140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Bramleywood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5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122156.52</v>
      </c>
      <c r="C8" s="35" t="n">
        <v>106947.36</v>
      </c>
      <c r="D8" s="35" t="n">
        <v>128166.24</v>
      </c>
      <c r="E8" s="35" t="n">
        <v>139357.58</v>
      </c>
      <c r="F8" s="35" t="n">
        <v>114644.73</v>
      </c>
      <c r="G8" s="35" t="n">
        <v>108480.27</v>
      </c>
      <c r="H8" s="35" t="n">
        <v>145137.16</v>
      </c>
      <c r="I8" s="35" t="n">
        <v>119462.05</v>
      </c>
      <c r="J8" s="35" t="n">
        <v>97287.09</v>
      </c>
      <c r="K8" s="35" t="n">
        <v>96101.48</v>
      </c>
      <c r="L8" s="35" t="n">
        <v>84850.06000000001</v>
      </c>
      <c r="M8" s="35" t="n">
        <v>119634.28</v>
      </c>
      <c r="N8" s="36">
        <f>SUM(B8:M8)</f>
        <v/>
      </c>
      <c r="O8" s="37" t="n">
        <v>92712.5</v>
      </c>
      <c r="P8" s="37" t="n">
        <v>82084.3</v>
      </c>
      <c r="Q8" s="37" t="n">
        <v>99688.3</v>
      </c>
      <c r="R8" s="37" t="n">
        <v>113186</v>
      </c>
      <c r="S8" s="37" t="n">
        <v>93282.10000000001</v>
      </c>
      <c r="T8" s="37" t="n">
        <v>104024</v>
      </c>
      <c r="U8" s="37" t="n">
        <v>127224</v>
      </c>
      <c r="V8" s="38" t="n">
        <v>113672.68</v>
      </c>
      <c r="W8" s="38" t="n">
        <v>79799</v>
      </c>
      <c r="X8" s="38" t="n">
        <v>72350</v>
      </c>
      <c r="Y8" s="38" t="n">
        <v>69625</v>
      </c>
      <c r="Z8" s="38" t="n">
        <v>102181</v>
      </c>
      <c r="AA8" s="36">
        <f>SUM(O8:U8)</f>
        <v/>
      </c>
      <c r="AB8" s="36">
        <f>SUM(O8:Z8)</f>
        <v/>
      </c>
      <c r="AC8" s="38" t="n">
        <v>144535.68</v>
      </c>
      <c r="AD8" s="38" t="n">
        <v>132031.1</v>
      </c>
      <c r="AE8" s="38" t="n">
        <v>158165.89</v>
      </c>
      <c r="AF8" s="38" t="n">
        <v>141527.16</v>
      </c>
      <c r="AG8" s="38" t="n">
        <v>148240.86</v>
      </c>
      <c r="AH8" s="38" t="n">
        <v>153396.96</v>
      </c>
      <c r="AI8" s="117" t="n">
        <v>153396.96</v>
      </c>
      <c r="AJ8" s="118" t="n">
        <v>153396.96</v>
      </c>
      <c r="AK8" s="118" t="n">
        <v>153396.96</v>
      </c>
      <c r="AL8" s="118" t="n">
        <v>153396.96</v>
      </c>
      <c r="AM8" s="119" t="n">
        <v>153396.96</v>
      </c>
      <c r="AN8" s="117" t="n">
        <v>153396.96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33585.45</v>
      </c>
      <c r="C9" s="35" t="n">
        <v>66581.12</v>
      </c>
      <c r="D9" s="35" t="n">
        <v>66581.12</v>
      </c>
      <c r="E9" s="35" t="n">
        <v>28706.8</v>
      </c>
      <c r="F9" s="35" t="n">
        <v>28706.8</v>
      </c>
      <c r="G9" s="35" t="n">
        <v>67317.07000000001</v>
      </c>
      <c r="H9" s="35" t="n">
        <v>67317.05</v>
      </c>
      <c r="I9" s="35" t="n">
        <v>0</v>
      </c>
      <c r="J9" s="35" t="n">
        <v>35210.21</v>
      </c>
      <c r="K9" s="35" t="n">
        <v>33827.21</v>
      </c>
      <c r="L9" s="35" t="n">
        <v>97735.45</v>
      </c>
      <c r="M9" s="35" t="n">
        <v>101444.41</v>
      </c>
      <c r="N9" s="36">
        <f>SUM(B9:M9)</f>
        <v/>
      </c>
      <c r="O9" s="37" t="n">
        <v>44989.2</v>
      </c>
      <c r="P9" s="37" t="n">
        <v>94001.8</v>
      </c>
      <c r="Q9" s="37" t="n">
        <v>103241</v>
      </c>
      <c r="R9" s="37" t="n">
        <v>48659.8</v>
      </c>
      <c r="S9" s="37" t="n">
        <v>48659.8</v>
      </c>
      <c r="T9" s="37" t="n">
        <v>112571</v>
      </c>
      <c r="U9" s="37" t="n">
        <v>69963.39999999999</v>
      </c>
      <c r="V9" s="38" t="n"/>
      <c r="W9" s="38" t="n">
        <v>64770</v>
      </c>
      <c r="X9" s="38" t="n">
        <v>75327</v>
      </c>
      <c r="Y9" s="38" t="n">
        <v>72680</v>
      </c>
      <c r="Z9" s="38" t="n">
        <v>31680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200</v>
      </c>
      <c r="C10" s="35" t="n">
        <v>200</v>
      </c>
      <c r="D10" s="35" t="n">
        <v>250</v>
      </c>
      <c r="E10" s="35" t="n">
        <v>150</v>
      </c>
      <c r="F10" s="35" t="n">
        <v>150</v>
      </c>
      <c r="G10" s="35" t="n">
        <v>150</v>
      </c>
      <c r="H10" s="35" t="n">
        <v>150</v>
      </c>
      <c r="I10" s="35" t="n">
        <v>12901.66</v>
      </c>
      <c r="J10" s="35" t="n">
        <v>150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 t="n">
        <v>150</v>
      </c>
      <c r="P10" s="37" t="n">
        <v>150</v>
      </c>
      <c r="Q10" s="37" t="n">
        <v>150</v>
      </c>
      <c r="R10" s="37" t="n">
        <v>150</v>
      </c>
      <c r="S10" s="37" t="n">
        <v>150</v>
      </c>
      <c r="T10" s="37" t="n">
        <v>450</v>
      </c>
      <c r="U10" s="37" t="n">
        <v>150</v>
      </c>
      <c r="V10" s="38" t="n"/>
      <c r="W10" s="38" t="n">
        <v>0</v>
      </c>
      <c r="X10" s="38" t="n">
        <v>0</v>
      </c>
      <c r="Y10" s="38" t="n">
        <v>0</v>
      </c>
      <c r="Z10" s="38" t="n">
        <v>0</v>
      </c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155941.97</v>
      </c>
      <c r="C11" s="42" t="n">
        <v>173728.48</v>
      </c>
      <c r="D11" s="42" t="n">
        <v>194997.36</v>
      </c>
      <c r="E11" s="42" t="n">
        <v>168214.38</v>
      </c>
      <c r="F11" s="42" t="n">
        <v>143501.53</v>
      </c>
      <c r="G11" s="42" t="n">
        <v>175947.34</v>
      </c>
      <c r="H11" s="42" t="n">
        <v>212604.21</v>
      </c>
      <c r="I11" s="42" t="n">
        <v>132363.71</v>
      </c>
      <c r="J11" s="42" t="n">
        <v>132647.3</v>
      </c>
      <c r="K11" s="42" t="n">
        <v>130078.69</v>
      </c>
      <c r="L11" s="42" t="n">
        <v>182735.51</v>
      </c>
      <c r="M11" s="42" t="n">
        <v>221228.69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68586.24000000001</v>
      </c>
      <c r="C16" s="35" t="n">
        <v>60676.75</v>
      </c>
      <c r="D16" s="35" t="n">
        <v>61011.57</v>
      </c>
      <c r="E16" s="35" t="n">
        <v>67443.19</v>
      </c>
      <c r="F16" s="35" t="n">
        <v>72917.98</v>
      </c>
      <c r="G16" s="35" t="n">
        <v>67825.41</v>
      </c>
      <c r="H16" s="35" t="n">
        <v>75334.7</v>
      </c>
      <c r="I16" s="35" t="n">
        <v>72777.63</v>
      </c>
      <c r="J16" s="35" t="n">
        <v>80807.62</v>
      </c>
      <c r="K16" s="35" t="n">
        <v>70161.91</v>
      </c>
      <c r="L16" s="35" t="n">
        <v>67160.5</v>
      </c>
      <c r="M16" s="35" t="n">
        <v>64917.87</v>
      </c>
      <c r="N16" s="36">
        <f>SUM(B16:M16)</f>
        <v/>
      </c>
      <c r="O16" s="37" t="n">
        <v>67397.78999999999</v>
      </c>
      <c r="P16" s="37" t="n">
        <v>65169.32</v>
      </c>
      <c r="Q16" s="37" t="n">
        <v>57920.38</v>
      </c>
      <c r="R16" s="37" t="n">
        <v>61937.98</v>
      </c>
      <c r="S16" s="37" t="n">
        <v>66920.32000000001</v>
      </c>
      <c r="T16" s="37" t="n">
        <v>67131.92999999999</v>
      </c>
      <c r="U16" s="37" t="n">
        <v>67043.3</v>
      </c>
      <c r="V16" s="38" t="n">
        <v>67043.3</v>
      </c>
      <c r="W16" s="38" t="n">
        <v>67043.3</v>
      </c>
      <c r="X16" s="38" t="n">
        <v>67043.3</v>
      </c>
      <c r="Y16" s="38" t="n">
        <v>67043.3</v>
      </c>
      <c r="Z16" s="38" t="n">
        <v>67043.3</v>
      </c>
      <c r="AA16" s="36">
        <f>SUM(O16:U16)</f>
        <v/>
      </c>
      <c r="AB16" s="36">
        <f>SUM(O16:Z16)</f>
        <v/>
      </c>
      <c r="AC16" s="38" t="n">
        <v>67043.3</v>
      </c>
      <c r="AD16" s="38" t="n">
        <v>67043.3</v>
      </c>
      <c r="AE16" s="38" t="n">
        <v>67043.3</v>
      </c>
      <c r="AF16" s="38" t="n">
        <v>67043.3</v>
      </c>
      <c r="AG16" s="38" t="n">
        <v>67043.3</v>
      </c>
      <c r="AH16" s="38" t="n">
        <v>67043.3</v>
      </c>
      <c r="AI16" s="117" t="n">
        <v>67043.3</v>
      </c>
      <c r="AJ16" s="118" t="n">
        <v>67043.3</v>
      </c>
      <c r="AK16" s="118" t="n">
        <v>67043.3</v>
      </c>
      <c r="AL16" s="118" t="n">
        <v>67043.3</v>
      </c>
      <c r="AM16" s="119" t="n">
        <v>67043.3</v>
      </c>
      <c r="AN16" s="117" t="n">
        <v>67043.3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5300.22</v>
      </c>
      <c r="C17" s="35" t="n">
        <v>4463.01</v>
      </c>
      <c r="D17" s="35" t="n">
        <v>4517.4</v>
      </c>
      <c r="E17" s="35" t="n">
        <v>6985.94</v>
      </c>
      <c r="F17" s="35" t="n">
        <v>7294.24</v>
      </c>
      <c r="G17" s="35" t="n">
        <v>6627.99</v>
      </c>
      <c r="H17" s="35" t="n">
        <v>7346.36</v>
      </c>
      <c r="I17" s="35" t="n">
        <v>7134.49</v>
      </c>
      <c r="J17" s="35" t="n">
        <v>9821.09</v>
      </c>
      <c r="K17" s="35" t="n">
        <v>6696.34</v>
      </c>
      <c r="L17" s="35" t="n">
        <v>6289.94</v>
      </c>
      <c r="M17" s="35" t="n">
        <v>6024.82</v>
      </c>
      <c r="N17" s="36">
        <f>SUM(B17:M17)</f>
        <v/>
      </c>
      <c r="O17" s="37" t="n">
        <v>6420.59</v>
      </c>
      <c r="P17" s="37" t="n">
        <v>5749.78</v>
      </c>
      <c r="Q17" s="37" t="n">
        <v>5741.09</v>
      </c>
      <c r="R17" s="37" t="n">
        <v>6217.05</v>
      </c>
      <c r="S17" s="37" t="n">
        <v>6359.57</v>
      </c>
      <c r="T17" s="37" t="n">
        <v>6618.61</v>
      </c>
      <c r="U17" s="37" t="n">
        <v>6517.08</v>
      </c>
      <c r="V17" s="38" t="n">
        <v>6517.08</v>
      </c>
      <c r="W17" s="38" t="n">
        <v>6517.08</v>
      </c>
      <c r="X17" s="38" t="n">
        <v>6517.08</v>
      </c>
      <c r="Y17" s="38" t="n">
        <v>6517.08</v>
      </c>
      <c r="Z17" s="38" t="n">
        <v>6517.08</v>
      </c>
      <c r="AA17" s="36">
        <f>SUM(O17:U17)</f>
        <v/>
      </c>
      <c r="AB17" s="36">
        <f>SUM(O17:Z17)</f>
        <v/>
      </c>
      <c r="AC17" s="38" t="n">
        <v>6517.08</v>
      </c>
      <c r="AD17" s="38" t="n">
        <v>6517.08</v>
      </c>
      <c r="AE17" s="38" t="n">
        <v>6517.08</v>
      </c>
      <c r="AF17" s="38" t="n">
        <v>6517.08</v>
      </c>
      <c r="AG17" s="38" t="n">
        <v>6517.08</v>
      </c>
      <c r="AH17" s="38" t="n">
        <v>6517.08</v>
      </c>
      <c r="AI17" s="117" t="n">
        <v>6517.08</v>
      </c>
      <c r="AJ17" s="118" t="n">
        <v>6517.08</v>
      </c>
      <c r="AK17" s="118" t="n">
        <v>6517.08</v>
      </c>
      <c r="AL17" s="118" t="n">
        <v>6517.08</v>
      </c>
      <c r="AM17" s="119" t="n">
        <v>6517.08</v>
      </c>
      <c r="AN17" s="117" t="n">
        <v>6517.08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1186.64</v>
      </c>
      <c r="C18" s="35" t="n">
        <v>1102.67</v>
      </c>
      <c r="D18" s="35" t="n">
        <v>1084.37</v>
      </c>
      <c r="E18" s="35" t="n">
        <v>1172.06</v>
      </c>
      <c r="F18" s="35" t="n">
        <v>1236.3</v>
      </c>
      <c r="G18" s="35" t="n">
        <v>1145.18</v>
      </c>
      <c r="H18" s="35" t="n">
        <v>1293.63</v>
      </c>
      <c r="I18" s="35" t="n">
        <v>1252.61</v>
      </c>
      <c r="J18" s="35" t="n">
        <v>1273.7</v>
      </c>
      <c r="K18" s="35" t="n">
        <v>1200.38</v>
      </c>
      <c r="L18" s="35" t="n">
        <v>1188.64</v>
      </c>
      <c r="M18" s="35" t="n">
        <v>1124.16</v>
      </c>
      <c r="N18" s="36">
        <f>SUM(B18:M18)</f>
        <v/>
      </c>
      <c r="O18" s="37" t="n">
        <v>1190.11</v>
      </c>
      <c r="P18" s="37" t="n">
        <v>1065.61</v>
      </c>
      <c r="Q18" s="37" t="n">
        <v>997.11</v>
      </c>
      <c r="R18" s="37" t="n">
        <v>1098.81</v>
      </c>
      <c r="S18" s="37" t="n">
        <v>1034.65</v>
      </c>
      <c r="T18" s="37" t="n">
        <v>1054.41</v>
      </c>
      <c r="U18" s="37" t="n">
        <v>1087.65</v>
      </c>
      <c r="V18" s="38" t="n">
        <v>1087.65</v>
      </c>
      <c r="W18" s="38" t="n">
        <v>1087.65</v>
      </c>
      <c r="X18" s="38" t="n">
        <v>1087.65</v>
      </c>
      <c r="Y18" s="38" t="n">
        <v>1087.65</v>
      </c>
      <c r="Z18" s="38" t="n">
        <v>1087.65</v>
      </c>
      <c r="AA18" s="36">
        <f>SUM(O18:U18)</f>
        <v/>
      </c>
      <c r="AB18" s="36">
        <f>SUM(O18:Z18)</f>
        <v/>
      </c>
      <c r="AC18" s="38" t="n">
        <v>1087.65</v>
      </c>
      <c r="AD18" s="38" t="n">
        <v>1087.65</v>
      </c>
      <c r="AE18" s="38" t="n">
        <v>1087.65</v>
      </c>
      <c r="AF18" s="38" t="n">
        <v>1087.65</v>
      </c>
      <c r="AG18" s="38" t="n">
        <v>1087.65</v>
      </c>
      <c r="AH18" s="38" t="n">
        <v>1087.65</v>
      </c>
      <c r="AI18" s="117" t="n">
        <v>1087.65</v>
      </c>
      <c r="AJ18" s="118" t="n">
        <v>1087.65</v>
      </c>
      <c r="AK18" s="118" t="n">
        <v>1087.65</v>
      </c>
      <c r="AL18" s="118" t="n">
        <v>1087.65</v>
      </c>
      <c r="AM18" s="119" t="n">
        <v>1087.65</v>
      </c>
      <c r="AN18" s="117" t="n">
        <v>1087.65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149.22</v>
      </c>
      <c r="C19" s="35" t="n">
        <v>0</v>
      </c>
      <c r="D19" s="35" t="n">
        <v>79.08</v>
      </c>
      <c r="E19" s="35" t="n">
        <v>0</v>
      </c>
      <c r="F19" s="35" t="n">
        <v>0</v>
      </c>
      <c r="G19" s="35" t="n">
        <v>350.58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77.22</v>
      </c>
      <c r="M19" s="35" t="n">
        <v>1091.59</v>
      </c>
      <c r="N19" s="36">
        <f>SUM(B19:M19)</f>
        <v/>
      </c>
      <c r="O19" s="37" t="n">
        <v>145.8</v>
      </c>
      <c r="P19" s="37" t="n">
        <v>0</v>
      </c>
      <c r="Q19" s="37" t="n">
        <v>0</v>
      </c>
      <c r="R19" s="37" t="n">
        <v>114.42</v>
      </c>
      <c r="S19" s="37" t="n">
        <v>0</v>
      </c>
      <c r="T19" s="37" t="n">
        <v>0</v>
      </c>
      <c r="U19" s="37" t="n">
        <v>0</v>
      </c>
      <c r="V19" s="38" t="n">
        <v>176</v>
      </c>
      <c r="W19" s="38" t="n">
        <v>176</v>
      </c>
      <c r="X19" s="38" t="n">
        <v>176</v>
      </c>
      <c r="Y19" s="38" t="n">
        <v>176</v>
      </c>
      <c r="Z19" s="38" t="n">
        <v>176</v>
      </c>
      <c r="AA19" s="36">
        <f>SUM(O19:U19)</f>
        <v/>
      </c>
      <c r="AB19" s="36">
        <f>SUM(O19:Z19)</f>
        <v/>
      </c>
      <c r="AC19" s="38" t="n">
        <v>176</v>
      </c>
      <c r="AD19" s="38" t="n">
        <v>176</v>
      </c>
      <c r="AE19" s="38" t="n">
        <v>176</v>
      </c>
      <c r="AF19" s="38" t="n">
        <v>176</v>
      </c>
      <c r="AG19" s="38" t="n">
        <v>176</v>
      </c>
      <c r="AH19" s="38" t="n">
        <v>176</v>
      </c>
      <c r="AI19" s="117" t="n">
        <v>176</v>
      </c>
      <c r="AJ19" s="118" t="n">
        <v>176</v>
      </c>
      <c r="AK19" s="118" t="n">
        <v>176</v>
      </c>
      <c r="AL19" s="118" t="n">
        <v>176</v>
      </c>
      <c r="AM19" s="119" t="n">
        <v>176</v>
      </c>
      <c r="AN19" s="117" t="n">
        <v>176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30</v>
      </c>
      <c r="D20" s="35" t="n">
        <v>480</v>
      </c>
      <c r="E20" s="35" t="n">
        <v>0</v>
      </c>
      <c r="F20" s="35" t="n">
        <v>18</v>
      </c>
      <c r="G20" s="35" t="n">
        <v>540</v>
      </c>
      <c r="H20" s="35" t="n">
        <v>189.28</v>
      </c>
      <c r="I20" s="35" t="n">
        <v>0</v>
      </c>
      <c r="J20" s="35" t="n">
        <v>0</v>
      </c>
      <c r="K20" s="35" t="n">
        <v>384</v>
      </c>
      <c r="L20" s="35" t="n">
        <v>50</v>
      </c>
      <c r="M20" s="35" t="n">
        <v>-156</v>
      </c>
      <c r="N20" s="36">
        <f>SUM(B20:M20)</f>
        <v/>
      </c>
      <c r="O20" s="37" t="n">
        <v>1254</v>
      </c>
      <c r="P20" s="37" t="n">
        <v>100</v>
      </c>
      <c r="Q20" s="37" t="n">
        <v>0</v>
      </c>
      <c r="R20" s="37" t="n">
        <v>335</v>
      </c>
      <c r="S20" s="37" t="n">
        <v>-7.87</v>
      </c>
      <c r="T20" s="37" t="n">
        <v>55.86</v>
      </c>
      <c r="U20" s="37" t="n">
        <v>0</v>
      </c>
      <c r="V20" s="38" t="n">
        <v>500</v>
      </c>
      <c r="W20" s="38" t="n">
        <v>500</v>
      </c>
      <c r="X20" s="38" t="n">
        <v>500</v>
      </c>
      <c r="Y20" s="38" t="n">
        <v>500</v>
      </c>
      <c r="Z20" s="38" t="n">
        <v>500</v>
      </c>
      <c r="AA20" s="36">
        <f>SUM(O20:U20)</f>
        <v/>
      </c>
      <c r="AB20" s="36">
        <f>SUM(O20:Z20)</f>
        <v/>
      </c>
      <c r="AC20" s="38" t="n">
        <v>500</v>
      </c>
      <c r="AD20" s="38" t="n">
        <v>500</v>
      </c>
      <c r="AE20" s="38" t="n">
        <v>500</v>
      </c>
      <c r="AF20" s="38" t="n">
        <v>500</v>
      </c>
      <c r="AG20" s="38" t="n">
        <v>500</v>
      </c>
      <c r="AH20" s="38" t="n">
        <v>500</v>
      </c>
      <c r="AI20" s="117" t="n">
        <v>500</v>
      </c>
      <c r="AJ20" s="118" t="n">
        <v>500</v>
      </c>
      <c r="AK20" s="118" t="n">
        <v>500</v>
      </c>
      <c r="AL20" s="118" t="n">
        <v>500</v>
      </c>
      <c r="AM20" s="119" t="n">
        <v>500</v>
      </c>
      <c r="AN20" s="117" t="n">
        <v>500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292.56</v>
      </c>
      <c r="C21" s="35" t="n">
        <v>327.49</v>
      </c>
      <c r="D21" s="35" t="n">
        <v>190</v>
      </c>
      <c r="E21" s="35" t="n">
        <v>238.69</v>
      </c>
      <c r="F21" s="35" t="n">
        <v>147.43</v>
      </c>
      <c r="G21" s="35" t="n">
        <v>436.17</v>
      </c>
      <c r="H21" s="35" t="n">
        <v>265.44</v>
      </c>
      <c r="I21" s="35" t="n">
        <v>187.74</v>
      </c>
      <c r="J21" s="35" t="n">
        <v>173.74</v>
      </c>
      <c r="K21" s="35" t="n">
        <v>173.74</v>
      </c>
      <c r="L21" s="35" t="n">
        <v>327.78</v>
      </c>
      <c r="M21" s="35" t="n">
        <v>302.37</v>
      </c>
      <c r="N21" s="36">
        <f>SUM(B21:M21)</f>
        <v/>
      </c>
      <c r="O21" s="37" t="n">
        <v>0</v>
      </c>
      <c r="P21" s="37" t="n">
        <v>212.72</v>
      </c>
      <c r="Q21" s="37" t="n">
        <v>232.51</v>
      </c>
      <c r="R21" s="37" t="n">
        <v>452.35</v>
      </c>
      <c r="S21" s="37" t="n">
        <v>231.54</v>
      </c>
      <c r="T21" s="37" t="n">
        <v>29.19</v>
      </c>
      <c r="U21" s="37" t="n">
        <v>139.62</v>
      </c>
      <c r="V21" s="38" t="n">
        <v>360</v>
      </c>
      <c r="W21" s="38" t="n">
        <v>360</v>
      </c>
      <c r="X21" s="38" t="n">
        <v>360</v>
      </c>
      <c r="Y21" s="38" t="n">
        <v>360</v>
      </c>
      <c r="Z21" s="38" t="n">
        <v>360</v>
      </c>
      <c r="AA21" s="36">
        <f>SUM(O21:U21)</f>
        <v/>
      </c>
      <c r="AB21" s="36">
        <f>SUM(O21:Z21)</f>
        <v/>
      </c>
      <c r="AC21" s="38" t="n">
        <v>360</v>
      </c>
      <c r="AD21" s="38" t="n">
        <v>360</v>
      </c>
      <c r="AE21" s="38" t="n">
        <v>360</v>
      </c>
      <c r="AF21" s="38" t="n">
        <v>360</v>
      </c>
      <c r="AG21" s="38" t="n">
        <v>360</v>
      </c>
      <c r="AH21" s="38" t="n">
        <v>360</v>
      </c>
      <c r="AI21" s="117" t="n">
        <v>360</v>
      </c>
      <c r="AJ21" s="118" t="n">
        <v>360</v>
      </c>
      <c r="AK21" s="118" t="n">
        <v>360</v>
      </c>
      <c r="AL21" s="118" t="n">
        <v>360</v>
      </c>
      <c r="AM21" s="119" t="n">
        <v>360</v>
      </c>
      <c r="AN21" s="117" t="n">
        <v>360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64.8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SUMIF('BW TB'!$R:$R,'BW P&amp;L'!$A22,'BW TB'!C:C)</f>
        <v/>
      </c>
      <c r="P22" s="37">
        <f>SUMIF('BW TB'!$R:$R,'BW P&amp;L'!$A22,'BW TB'!D:D)</f>
        <v/>
      </c>
      <c r="Q22" s="37">
        <f>SUMIF('BW TB'!$R:$R,'BW P&amp;L'!$A22,'BW TB'!E:E)</f>
        <v/>
      </c>
      <c r="R22" s="37">
        <f>SUMIF('BW TB'!$R:$R,'BW P&amp;L'!$A22,'BW TB'!F:F)</f>
        <v/>
      </c>
      <c r="S22" s="37">
        <f>SUMIF('BW TB'!$R:$R,'BW P&amp;L'!$A22,'BW TB'!G:G)</f>
        <v/>
      </c>
      <c r="T22" s="37">
        <f>SUMIF('BW TB'!$R:$R,'BW P&amp;L'!$A22,'BW TB'!H:H)</f>
        <v/>
      </c>
      <c r="U22" s="37">
        <f>SUMIF('BW TB'!$R:$R,'BW P&amp;L'!$A22,'BW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47.96</v>
      </c>
      <c r="L23" s="35" t="n">
        <v>101.16</v>
      </c>
      <c r="M23" s="35" t="n">
        <v>0</v>
      </c>
      <c r="N23" s="36">
        <f>SUM(B23:M23)</f>
        <v/>
      </c>
      <c r="O23" s="37">
        <f>SUMIF('BW TB'!$R:$R,'BW P&amp;L'!$A23,'BW TB'!C:C)</f>
        <v/>
      </c>
      <c r="P23" s="37">
        <f>SUMIF('BW TB'!$R:$R,'BW P&amp;L'!$A23,'BW TB'!D:D)</f>
        <v/>
      </c>
      <c r="Q23" s="37">
        <f>SUMIF('BW TB'!$R:$R,'BW P&amp;L'!$A23,'BW TB'!E:E)</f>
        <v/>
      </c>
      <c r="R23" s="37">
        <f>SUMIF('BW TB'!$R:$R,'BW P&amp;L'!$A23,'BW TB'!F:F)</f>
        <v/>
      </c>
      <c r="S23" s="37">
        <f>SUMIF('BW TB'!$R:$R,'BW P&amp;L'!$A23,'BW TB'!G:G)</f>
        <v/>
      </c>
      <c r="T23" s="37">
        <f>SUMIF('BW TB'!$R:$R,'BW P&amp;L'!$A23,'BW TB'!H:H)</f>
        <v/>
      </c>
      <c r="U23" s="37">
        <f>SUMIF('BW TB'!$R:$R,'BW P&amp;L'!$A23,'BW TB'!I:I)</f>
        <v/>
      </c>
      <c r="V23" s="38" t="n">
        <v>150</v>
      </c>
      <c r="W23" s="38" t="n">
        <v>150</v>
      </c>
      <c r="X23" s="38" t="n">
        <v>150</v>
      </c>
      <c r="Y23" s="38" t="n">
        <v>150</v>
      </c>
      <c r="Z23" s="38" t="n">
        <v>150</v>
      </c>
      <c r="AA23" s="36">
        <f>SUM(O23:U23)</f>
        <v/>
      </c>
      <c r="AB23" s="36">
        <f>SUM(O23:Z23)</f>
        <v/>
      </c>
      <c r="AC23" s="38" t="n">
        <v>150</v>
      </c>
      <c r="AD23" s="38" t="n">
        <v>150</v>
      </c>
      <c r="AE23" s="38" t="n">
        <v>150</v>
      </c>
      <c r="AF23" s="38" t="n">
        <v>150</v>
      </c>
      <c r="AG23" s="38" t="n">
        <v>150</v>
      </c>
      <c r="AH23" s="38" t="n">
        <v>150</v>
      </c>
      <c r="AI23" s="117" t="n">
        <v>150</v>
      </c>
      <c r="AJ23" s="118" t="n">
        <v>150</v>
      </c>
      <c r="AK23" s="118" t="n">
        <v>150</v>
      </c>
      <c r="AL23" s="118" t="n">
        <v>150</v>
      </c>
      <c r="AM23" s="119" t="n">
        <v>150</v>
      </c>
      <c r="AN23" s="117" t="n">
        <v>150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SUMIF('BW TB'!$R:$R,'BW P&amp;L'!$A24,'BW TB'!C:C)</f>
        <v/>
      </c>
      <c r="P24" s="37">
        <f>SUMIF('BW TB'!$R:$R,'BW P&amp;L'!$A24,'BW TB'!D:D)</f>
        <v/>
      </c>
      <c r="Q24" s="37">
        <f>SUMIF('BW TB'!$R:$R,'BW P&amp;L'!$A24,'BW TB'!E:E)</f>
        <v/>
      </c>
      <c r="R24" s="37">
        <f>SUMIF('BW TB'!$R:$R,'BW P&amp;L'!$A24,'BW TB'!F:F)</f>
        <v/>
      </c>
      <c r="S24" s="37">
        <f>SUMIF('BW TB'!$R:$R,'BW P&amp;L'!$A24,'BW TB'!G:G)</f>
        <v/>
      </c>
      <c r="T24" s="37">
        <f>SUMIF('BW TB'!$R:$R,'BW P&amp;L'!$A24,'BW TB'!H:H)</f>
        <v/>
      </c>
      <c r="U24" s="37">
        <f>SUMIF('BW TB'!$R:$R,'BW P&amp;L'!$A24,'BW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75514.88</v>
      </c>
      <c r="C25" s="42" t="n">
        <v>66664.72000000002</v>
      </c>
      <c r="D25" s="42" t="n">
        <v>67362.42</v>
      </c>
      <c r="E25" s="42" t="n">
        <v>75839.88</v>
      </c>
      <c r="F25" s="42" t="n">
        <v>81613.95</v>
      </c>
      <c r="G25" s="42" t="n">
        <v>76925.33</v>
      </c>
      <c r="H25" s="42" t="n">
        <v>84429.41</v>
      </c>
      <c r="I25" s="42" t="n">
        <v>81352.47000000002</v>
      </c>
      <c r="J25" s="42" t="n">
        <v>92076.14999999999</v>
      </c>
      <c r="K25" s="42" t="n">
        <v>78664.33000000002</v>
      </c>
      <c r="L25" s="42" t="n">
        <v>75195.24000000001</v>
      </c>
      <c r="M25" s="42" t="n">
        <v>73304.81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3976.44</v>
      </c>
      <c r="C27" s="35" t="n">
        <v>5535.73</v>
      </c>
      <c r="D27" s="35" t="n">
        <v>5538.81</v>
      </c>
      <c r="E27" s="35" t="n">
        <v>4291.04</v>
      </c>
      <c r="F27" s="35" t="n">
        <v>4795.09</v>
      </c>
      <c r="G27" s="35" t="n">
        <v>4504.63</v>
      </c>
      <c r="H27" s="35" t="n">
        <v>4768.150000000001</v>
      </c>
      <c r="I27" s="35" t="n">
        <v>4288.04</v>
      </c>
      <c r="J27" s="35" t="n">
        <v>4177.65</v>
      </c>
      <c r="K27" s="35" t="n">
        <v>4478.409999999999</v>
      </c>
      <c r="L27" s="35" t="n">
        <v>5151.79</v>
      </c>
      <c r="M27" s="35" t="n">
        <v>3622.1</v>
      </c>
      <c r="N27" s="36">
        <f>SUM(B27:M27)</f>
        <v/>
      </c>
      <c r="O27" s="37" t="n">
        <v>4148.71</v>
      </c>
      <c r="P27" s="37" t="n">
        <v>4930.31</v>
      </c>
      <c r="Q27" s="37" t="n">
        <v>5124.93</v>
      </c>
      <c r="R27" s="37" t="n">
        <v>4010.78</v>
      </c>
      <c r="S27" s="37" t="n">
        <v>5788.22</v>
      </c>
      <c r="T27" s="37" t="n">
        <v>5150.48</v>
      </c>
      <c r="U27" s="37" t="n">
        <v>4936.23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330.13</v>
      </c>
      <c r="C28" s="35" t="n">
        <v>1111.29</v>
      </c>
      <c r="D28" s="35" t="n">
        <v>135.72</v>
      </c>
      <c r="E28" s="35" t="n">
        <v>172.74</v>
      </c>
      <c r="F28" s="35" t="n">
        <v>1014.7</v>
      </c>
      <c r="G28" s="35" t="n">
        <v>1919.79</v>
      </c>
      <c r="H28" s="35" t="n">
        <v>265.47</v>
      </c>
      <c r="I28" s="35" t="n">
        <v>171.34</v>
      </c>
      <c r="J28" s="35" t="n">
        <v>0</v>
      </c>
      <c r="K28" s="35" t="n">
        <v>183.06</v>
      </c>
      <c r="L28" s="35" t="n">
        <v>257.43</v>
      </c>
      <c r="M28" s="35" t="n">
        <v>59.92</v>
      </c>
      <c r="N28" s="36">
        <f>SUM(B28:M28)</f>
        <v/>
      </c>
      <c r="O28" s="37" t="n">
        <v>91.2</v>
      </c>
      <c r="P28" s="37" t="n">
        <v>89.62</v>
      </c>
      <c r="Q28" s="37" t="n">
        <v>249.67</v>
      </c>
      <c r="R28" s="37" t="n">
        <v>456.76</v>
      </c>
      <c r="S28" s="37" t="n">
        <v>98.94</v>
      </c>
      <c r="T28" s="37" t="n">
        <v>1175.49</v>
      </c>
      <c r="U28" s="37" t="n">
        <v>39.09</v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117" t="n">
        <v>100</v>
      </c>
      <c r="AJ28" s="118" t="n">
        <v>100</v>
      </c>
      <c r="AK28" s="118" t="n">
        <v>100</v>
      </c>
      <c r="AL28" s="118" t="n">
        <v>100</v>
      </c>
      <c r="AM28" s="119" t="n">
        <v>100</v>
      </c>
      <c r="AN28" s="117" t="n">
        <v>100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254.49</v>
      </c>
      <c r="C29" s="35" t="n">
        <v>156.01</v>
      </c>
      <c r="D29" s="35" t="n">
        <v>409.77</v>
      </c>
      <c r="E29" s="35" t="n">
        <v>42.94</v>
      </c>
      <c r="F29" s="35" t="n">
        <v>33.34</v>
      </c>
      <c r="G29" s="35" t="n">
        <v>272.97</v>
      </c>
      <c r="H29" s="35" t="n">
        <v>83.72</v>
      </c>
      <c r="I29" s="35" t="n">
        <v>57.63</v>
      </c>
      <c r="J29" s="35" t="n">
        <v>102.12</v>
      </c>
      <c r="K29" s="35" t="n">
        <v>759.96</v>
      </c>
      <c r="L29" s="35" t="n">
        <v>355.62</v>
      </c>
      <c r="M29" s="35" t="n">
        <v>390.02</v>
      </c>
      <c r="N29" s="36">
        <f>SUM(B29:M29)</f>
        <v/>
      </c>
      <c r="O29" s="37" t="n">
        <v>0</v>
      </c>
      <c r="P29" s="37" t="n">
        <v>160.57</v>
      </c>
      <c r="Q29" s="37" t="n">
        <v>230.91</v>
      </c>
      <c r="R29" s="37" t="n">
        <v>143.14</v>
      </c>
      <c r="S29" s="37" t="n">
        <v>88.79000000000001</v>
      </c>
      <c r="T29" s="37" t="n">
        <v>256.61</v>
      </c>
      <c r="U29" s="37" t="n">
        <v>223.33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15</v>
      </c>
      <c r="C30" s="35" t="n">
        <v>63.01</v>
      </c>
      <c r="D30" s="35" t="n">
        <v>61.27</v>
      </c>
      <c r="E30" s="35" t="n">
        <v>3.06</v>
      </c>
      <c r="F30" s="35" t="n">
        <v>1.38</v>
      </c>
      <c r="G30" s="35" t="n">
        <v>44.8</v>
      </c>
      <c r="H30" s="35" t="n">
        <v>112.74</v>
      </c>
      <c r="I30" s="35" t="n">
        <v>0</v>
      </c>
      <c r="J30" s="35" t="n">
        <v>104.18</v>
      </c>
      <c r="K30" s="35" t="n">
        <v>88.44</v>
      </c>
      <c r="L30" s="35" t="n">
        <v>41.01</v>
      </c>
      <c r="M30" s="35" t="n">
        <v>38.29</v>
      </c>
      <c r="N30" s="36">
        <f>SUM(B30:M30)</f>
        <v/>
      </c>
      <c r="O30" s="37" t="n">
        <v>6.39</v>
      </c>
      <c r="P30" s="37" t="n">
        <v>72.61</v>
      </c>
      <c r="Q30" s="37" t="n">
        <v>43.57</v>
      </c>
      <c r="R30" s="37" t="n">
        <v>35.07</v>
      </c>
      <c r="S30" s="37" t="n">
        <v>16.02</v>
      </c>
      <c r="T30" s="37" t="n">
        <v>69.76000000000001</v>
      </c>
      <c r="U30" s="37" t="n">
        <v>48.33</v>
      </c>
      <c r="V30" s="38" t="n">
        <v>278</v>
      </c>
      <c r="W30" s="38" t="n">
        <v>278</v>
      </c>
      <c r="X30" s="38" t="n">
        <v>278</v>
      </c>
      <c r="Y30" s="38" t="n">
        <v>278</v>
      </c>
      <c r="Z30" s="38" t="n">
        <v>278</v>
      </c>
      <c r="AA30" s="36">
        <f>SUM(O30:U30)</f>
        <v/>
      </c>
      <c r="AB30" s="36">
        <f>SUM(O30:Z30)</f>
        <v/>
      </c>
      <c r="AC30" s="38" t="n">
        <v>278</v>
      </c>
      <c r="AD30" s="38" t="n">
        <v>278</v>
      </c>
      <c r="AE30" s="38" t="n">
        <v>278</v>
      </c>
      <c r="AF30" s="38" t="n">
        <v>278</v>
      </c>
      <c r="AG30" s="38" t="n">
        <v>278</v>
      </c>
      <c r="AH30" s="38" t="n">
        <v>278</v>
      </c>
      <c r="AI30" s="117" t="n">
        <v>278</v>
      </c>
      <c r="AJ30" s="118" t="n">
        <v>278</v>
      </c>
      <c r="AK30" s="118" t="n">
        <v>278</v>
      </c>
      <c r="AL30" s="118" t="n">
        <v>278</v>
      </c>
      <c r="AM30" s="119" t="n">
        <v>278</v>
      </c>
      <c r="AN30" s="117" t="n">
        <v>278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134.83</v>
      </c>
      <c r="C31" s="35" t="n">
        <v>92.94</v>
      </c>
      <c r="D31" s="35" t="n">
        <v>339.69</v>
      </c>
      <c r="E31" s="35" t="n">
        <v>63.56</v>
      </c>
      <c r="F31" s="35" t="n">
        <v>390.09</v>
      </c>
      <c r="G31" s="35" t="n">
        <v>775.99</v>
      </c>
      <c r="H31" s="35" t="n">
        <v>63.76</v>
      </c>
      <c r="I31" s="35" t="n">
        <v>35.62</v>
      </c>
      <c r="J31" s="35" t="n">
        <v>45.98</v>
      </c>
      <c r="K31" s="35" t="n">
        <v>380.46</v>
      </c>
      <c r="L31" s="35" t="n">
        <v>86.03999999999999</v>
      </c>
      <c r="M31" s="35" t="n">
        <v>54.77</v>
      </c>
      <c r="N31" s="36">
        <f>SUM(B31:M31)</f>
        <v/>
      </c>
      <c r="O31" s="37" t="n">
        <v>55.86</v>
      </c>
      <c r="P31" s="37" t="n">
        <v>123.78</v>
      </c>
      <c r="Q31" s="37" t="n">
        <v>0</v>
      </c>
      <c r="R31" s="37" t="n">
        <v>22.45</v>
      </c>
      <c r="S31" s="37" t="n">
        <v>59.08</v>
      </c>
      <c r="T31" s="37" t="n">
        <v>466.76</v>
      </c>
      <c r="U31" s="37" t="n">
        <v>206.96</v>
      </c>
      <c r="V31" s="38" t="n">
        <v>100</v>
      </c>
      <c r="W31" s="38" t="n">
        <v>100</v>
      </c>
      <c r="X31" s="38" t="n">
        <v>100</v>
      </c>
      <c r="Y31" s="38" t="n">
        <v>100</v>
      </c>
      <c r="Z31" s="38" t="n">
        <v>100</v>
      </c>
      <c r="AA31" s="36">
        <f>SUM(O31:U31)</f>
        <v/>
      </c>
      <c r="AB31" s="36">
        <f>SUM(O31:Z31)</f>
        <v/>
      </c>
      <c r="AC31" s="38" t="n">
        <v>100</v>
      </c>
      <c r="AD31" s="38" t="n">
        <v>100</v>
      </c>
      <c r="AE31" s="38" t="n">
        <v>100</v>
      </c>
      <c r="AF31" s="38" t="n">
        <v>100</v>
      </c>
      <c r="AG31" s="38" t="n">
        <v>100</v>
      </c>
      <c r="AH31" s="38" t="n">
        <v>100</v>
      </c>
      <c r="AI31" s="117" t="n">
        <v>100</v>
      </c>
      <c r="AJ31" s="118" t="n">
        <v>100</v>
      </c>
      <c r="AK31" s="118" t="n">
        <v>100</v>
      </c>
      <c r="AL31" s="118" t="n">
        <v>100</v>
      </c>
      <c r="AM31" s="119" t="n">
        <v>100</v>
      </c>
      <c r="AN31" s="117" t="n">
        <v>100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613.9399999999999</v>
      </c>
      <c r="C32" s="35" t="n">
        <v>594.12</v>
      </c>
      <c r="D32" s="35" t="n">
        <v>559.58</v>
      </c>
      <c r="E32" s="35" t="n">
        <v>836.4699999999999</v>
      </c>
      <c r="F32" s="35" t="n">
        <v>1013.37</v>
      </c>
      <c r="G32" s="35" t="n">
        <v>899.1799999999999</v>
      </c>
      <c r="H32" s="35" t="n">
        <v>727.6099999999999</v>
      </c>
      <c r="I32" s="35" t="n">
        <v>927.6</v>
      </c>
      <c r="J32" s="35" t="n">
        <v>674.42</v>
      </c>
      <c r="K32" s="35" t="n">
        <v>746.21</v>
      </c>
      <c r="L32" s="35" t="n">
        <v>746.59</v>
      </c>
      <c r="M32" s="35" t="n">
        <v>1042.1</v>
      </c>
      <c r="N32" s="36">
        <f>SUM(B32:M32)</f>
        <v/>
      </c>
      <c r="O32" s="37" t="n">
        <v>1014.79</v>
      </c>
      <c r="P32" s="37" t="n">
        <v>667.24</v>
      </c>
      <c r="Q32" s="37" t="n">
        <v>625.97</v>
      </c>
      <c r="R32" s="37" t="n">
        <v>1223.46</v>
      </c>
      <c r="S32" s="37" t="n">
        <v>1072.87</v>
      </c>
      <c r="T32" s="37" t="n">
        <v>248.7</v>
      </c>
      <c r="U32" s="37" t="n">
        <v>985.75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SUMIF('BW TB'!$R:$R,'BW P&amp;L'!$A33,'BW TB'!C:C)</f>
        <v/>
      </c>
      <c r="P33" s="37">
        <f>SUMIF('BW TB'!$R:$R,'BW P&amp;L'!$A33,'BW TB'!D:D)</f>
        <v/>
      </c>
      <c r="Q33" s="37">
        <f>SUMIF('BW TB'!$R:$R,'BW P&amp;L'!$A33,'BW TB'!E:E)</f>
        <v/>
      </c>
      <c r="R33" s="37">
        <f>SUMIF('BW TB'!$R:$R,'BW P&amp;L'!$A33,'BW TB'!F:F)</f>
        <v/>
      </c>
      <c r="S33" s="37">
        <f>SUMIF('BW TB'!$R:$R,'BW P&amp;L'!$A33,'BW TB'!G:G)</f>
        <v/>
      </c>
      <c r="T33" s="37">
        <f>SUMIF('BW TB'!$R:$R,'BW P&amp;L'!$A33,'BW TB'!H:H)</f>
        <v/>
      </c>
      <c r="U33" s="37">
        <f>SUMIF('BW TB'!$R:$R,'BW P&amp;L'!$A33,'BW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5324.829999999999</v>
      </c>
      <c r="C34" s="42" t="n">
        <v>7553.1</v>
      </c>
      <c r="D34" s="42" t="n">
        <v>7044.840000000001</v>
      </c>
      <c r="E34" s="42" t="n">
        <v>5409.81</v>
      </c>
      <c r="F34" s="42" t="n">
        <v>7247.97</v>
      </c>
      <c r="G34" s="42" t="n">
        <v>8417.360000000001</v>
      </c>
      <c r="H34" s="42" t="n">
        <v>6021.450000000001</v>
      </c>
      <c r="I34" s="42" t="n">
        <v>5480.23</v>
      </c>
      <c r="J34" s="42" t="n">
        <v>5104.349999999999</v>
      </c>
      <c r="K34" s="42" t="n">
        <v>6636.539999999999</v>
      </c>
      <c r="L34" s="42" t="n">
        <v>6638.48</v>
      </c>
      <c r="M34" s="42" t="n">
        <v>5207.200000000001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SUMIF('BW TB'!$R:$R,'BW P&amp;L'!$A36,'BW TB'!C:C)</f>
        <v/>
      </c>
      <c r="P36" s="37">
        <f>SUMIF('BW TB'!$R:$R,'BW P&amp;L'!$A36,'BW TB'!D:D)</f>
        <v/>
      </c>
      <c r="Q36" s="37">
        <f>SUMIF('BW TB'!$R:$R,'BW P&amp;L'!$A36,'BW TB'!E:E)</f>
        <v/>
      </c>
      <c r="R36" s="37">
        <f>SUMIF('BW TB'!$R:$R,'BW P&amp;L'!$A36,'BW TB'!F:F)</f>
        <v/>
      </c>
      <c r="S36" s="37">
        <f>SUMIF('BW TB'!$R:$R,'BW P&amp;L'!$A36,'BW TB'!G:G)</f>
        <v/>
      </c>
      <c r="T36" s="37">
        <f>SUMIF('BW TB'!$R:$R,'BW P&amp;L'!$A36,'BW TB'!H:H)</f>
        <v/>
      </c>
      <c r="U36" s="37">
        <f>SUMIF('BW TB'!$R:$R,'BW P&amp;L'!$A36,'BW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3025.75</v>
      </c>
      <c r="C37" s="35" t="n">
        <v>3025.75</v>
      </c>
      <c r="D37" s="35" t="n">
        <v>3025.75</v>
      </c>
      <c r="E37" s="35" t="n">
        <v>3075.63</v>
      </c>
      <c r="F37" s="35" t="n">
        <v>3075.63</v>
      </c>
      <c r="G37" s="35" t="n">
        <v>3075.63</v>
      </c>
      <c r="H37" s="35" t="n">
        <v>3075.63</v>
      </c>
      <c r="I37" s="35" t="n">
        <v>3075.63</v>
      </c>
      <c r="J37" s="35" t="n">
        <v>3075.63</v>
      </c>
      <c r="K37" s="35" t="n">
        <v>3075.63</v>
      </c>
      <c r="L37" s="35" t="n">
        <v>3075.63</v>
      </c>
      <c r="M37" s="35" t="n">
        <v>3075.63</v>
      </c>
      <c r="N37" s="36">
        <f>SUM(B37:M37)</f>
        <v/>
      </c>
      <c r="O37" s="37" t="n">
        <v>3075.61</v>
      </c>
      <c r="P37" s="37" t="n">
        <v>3075.61</v>
      </c>
      <c r="Q37" s="37" t="n">
        <v>3075.61</v>
      </c>
      <c r="R37" s="37" t="n">
        <v>3123.75</v>
      </c>
      <c r="S37" s="37" t="n">
        <v>3123.75</v>
      </c>
      <c r="T37" s="37" t="n">
        <v>3123.75</v>
      </c>
      <c r="U37" s="37" t="n">
        <v>3123.75</v>
      </c>
      <c r="V37" s="38" t="n">
        <v>3123.75</v>
      </c>
      <c r="W37" s="38" t="n">
        <v>3123.75</v>
      </c>
      <c r="X37" s="38" t="n">
        <v>3123.75</v>
      </c>
      <c r="Y37" s="38" t="n">
        <v>3123.75</v>
      </c>
      <c r="Z37" s="38" t="n">
        <v>3123.75</v>
      </c>
      <c r="AA37" s="36">
        <f>SUM(O37:U37)</f>
        <v/>
      </c>
      <c r="AB37" s="36">
        <f>SUM(O37:Z37)</f>
        <v/>
      </c>
      <c r="AC37" s="38" t="n">
        <v>3123.75</v>
      </c>
      <c r="AD37" s="38" t="n">
        <v>3123.75</v>
      </c>
      <c r="AE37" s="38" t="n">
        <v>3123.75</v>
      </c>
      <c r="AF37" s="38" t="n">
        <v>3123.75</v>
      </c>
      <c r="AG37" s="38" t="n">
        <v>3123.75</v>
      </c>
      <c r="AH37" s="38" t="n">
        <v>3123.75</v>
      </c>
      <c r="AI37" s="117" t="n">
        <v>3123.75</v>
      </c>
      <c r="AJ37" s="118" t="n">
        <v>3123.75</v>
      </c>
      <c r="AK37" s="118" t="n">
        <v>3123.75</v>
      </c>
      <c r="AL37" s="118" t="n">
        <v>3123.75</v>
      </c>
      <c r="AM37" s="119" t="n">
        <v>3123.75</v>
      </c>
      <c r="AN37" s="117" t="n">
        <v>3123.75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2790.8</v>
      </c>
      <c r="C38" s="35" t="n">
        <v>2628.84</v>
      </c>
      <c r="D38" s="35" t="n">
        <v>4292.94</v>
      </c>
      <c r="E38" s="35" t="n">
        <v>5529.950000000001</v>
      </c>
      <c r="F38" s="35" t="n">
        <v>1656.64</v>
      </c>
      <c r="G38" s="35" t="n">
        <v>2428.37</v>
      </c>
      <c r="H38" s="35" t="n">
        <v>1773.3</v>
      </c>
      <c r="I38" s="35" t="n">
        <v>1422.35</v>
      </c>
      <c r="J38" s="35" t="n">
        <v>2223.76</v>
      </c>
      <c r="K38" s="35" t="n">
        <v>3805.35</v>
      </c>
      <c r="L38" s="35" t="n">
        <v>3193.73</v>
      </c>
      <c r="M38" s="35" t="n">
        <v>3368.92</v>
      </c>
      <c r="N38" s="36">
        <f>SUM(B38:M38)</f>
        <v/>
      </c>
      <c r="O38" s="37" t="n">
        <v>4087.64</v>
      </c>
      <c r="P38" s="37" t="n">
        <v>4314.61</v>
      </c>
      <c r="Q38" s="37" t="n">
        <v>2945.05</v>
      </c>
      <c r="R38" s="37" t="n">
        <v>2778.49</v>
      </c>
      <c r="S38" s="37" t="n">
        <v>2142.48</v>
      </c>
      <c r="T38" s="37" t="n">
        <v>2285.87</v>
      </c>
      <c r="U38" s="37" t="n">
        <v>1722.41</v>
      </c>
      <c r="V38" s="38" t="n">
        <v>3138</v>
      </c>
      <c r="W38" s="38" t="n">
        <v>3138</v>
      </c>
      <c r="X38" s="38" t="n">
        <v>3138</v>
      </c>
      <c r="Y38" s="38" t="n">
        <v>3138</v>
      </c>
      <c r="Z38" s="38" t="n">
        <v>3138</v>
      </c>
      <c r="AA38" s="36">
        <f>SUM(O38:U38)</f>
        <v/>
      </c>
      <c r="AB38" s="36">
        <f>SUM(O38:Z38)</f>
        <v/>
      </c>
      <c r="AC38" s="38" t="n">
        <v>3138</v>
      </c>
      <c r="AD38" s="38" t="n">
        <v>3138</v>
      </c>
      <c r="AE38" s="38" t="n">
        <v>3138</v>
      </c>
      <c r="AF38" s="38" t="n">
        <v>3138</v>
      </c>
      <c r="AG38" s="38" t="n">
        <v>3138</v>
      </c>
      <c r="AH38" s="38" t="n">
        <v>3138</v>
      </c>
      <c r="AI38" s="117" t="n">
        <v>3138</v>
      </c>
      <c r="AJ38" s="118" t="n">
        <v>3138</v>
      </c>
      <c r="AK38" s="118" t="n">
        <v>3138</v>
      </c>
      <c r="AL38" s="118" t="n">
        <v>3138</v>
      </c>
      <c r="AM38" s="119" t="n">
        <v>3138</v>
      </c>
      <c r="AN38" s="117" t="n">
        <v>3138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924.6799999999999</v>
      </c>
      <c r="C39" s="35" t="n">
        <v>752.58</v>
      </c>
      <c r="D39" s="35" t="n">
        <v>409.33</v>
      </c>
      <c r="E39" s="35" t="n">
        <v>1010.79</v>
      </c>
      <c r="F39" s="35" t="n">
        <v>213.72</v>
      </c>
      <c r="G39" s="35" t="n">
        <v>535.9799999999999</v>
      </c>
      <c r="H39" s="35" t="n">
        <v>2248.4</v>
      </c>
      <c r="I39" s="35" t="n">
        <v>2709.69</v>
      </c>
      <c r="J39" s="35" t="n">
        <v>912.3100000000001</v>
      </c>
      <c r="K39" s="35" t="n">
        <v>1226.69</v>
      </c>
      <c r="L39" s="35" t="n">
        <v>65.19</v>
      </c>
      <c r="M39" s="35" t="n">
        <v>192.39</v>
      </c>
      <c r="N39" s="36">
        <f>SUM(B39:M39)</f>
        <v/>
      </c>
      <c r="O39" s="37" t="n">
        <v>482.98</v>
      </c>
      <c r="P39" s="37" t="n">
        <v>65.19</v>
      </c>
      <c r="Q39" s="37" t="n">
        <v>81.48</v>
      </c>
      <c r="R39" s="37" t="n">
        <v>217.62</v>
      </c>
      <c r="S39" s="37" t="n">
        <v>546.64</v>
      </c>
      <c r="T39" s="37" t="n">
        <v>445.08</v>
      </c>
      <c r="U39" s="37" t="n">
        <v>1103.45</v>
      </c>
      <c r="V39" s="38" t="n">
        <v>1500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3992.33</v>
      </c>
      <c r="C40" s="35" t="n">
        <v>3985.5</v>
      </c>
      <c r="D40" s="35" t="n">
        <v>3876.24</v>
      </c>
      <c r="E40" s="35" t="n">
        <v>4757.82</v>
      </c>
      <c r="F40" s="35" t="n">
        <v>3752.54</v>
      </c>
      <c r="G40" s="35" t="n">
        <v>3993.33</v>
      </c>
      <c r="H40" s="35" t="n">
        <v>4752.64</v>
      </c>
      <c r="I40" s="35" t="n">
        <v>8059.97</v>
      </c>
      <c r="J40" s="35" t="n">
        <v>4609.84</v>
      </c>
      <c r="K40" s="35" t="n">
        <v>755.6900000000001</v>
      </c>
      <c r="L40" s="35" t="n">
        <v>4164.74</v>
      </c>
      <c r="M40" s="35" t="n">
        <v>4041.48</v>
      </c>
      <c r="N40" s="36">
        <f>SUM(B40:M40)</f>
        <v/>
      </c>
      <c r="O40" s="37" t="n">
        <v>3097.61</v>
      </c>
      <c r="P40" s="37" t="n">
        <v>7311.5</v>
      </c>
      <c r="Q40" s="37" t="n">
        <v>416.9</v>
      </c>
      <c r="R40" s="37" t="n">
        <v>4015.5</v>
      </c>
      <c r="S40" s="37" t="n">
        <v>4246.18</v>
      </c>
      <c r="T40" s="37" t="n">
        <v>4420.44</v>
      </c>
      <c r="U40" s="37" t="n">
        <v>4546.02</v>
      </c>
      <c r="V40" s="38" t="n">
        <v>4300</v>
      </c>
      <c r="W40" s="38" t="n">
        <v>4300</v>
      </c>
      <c r="X40" s="38" t="n">
        <v>4300</v>
      </c>
      <c r="Y40" s="38" t="n">
        <v>4300</v>
      </c>
      <c r="Z40" s="38" t="n">
        <v>4300</v>
      </c>
      <c r="AA40" s="36">
        <f>SUM(O40:U40)</f>
        <v/>
      </c>
      <c r="AB40" s="36">
        <f>SUM(O40:Z40)</f>
        <v/>
      </c>
      <c r="AC40" s="38" t="n">
        <v>4300</v>
      </c>
      <c r="AD40" s="38" t="n">
        <v>4300</v>
      </c>
      <c r="AE40" s="38" t="n">
        <v>4300</v>
      </c>
      <c r="AF40" s="38" t="n">
        <v>4300</v>
      </c>
      <c r="AG40" s="38" t="n">
        <v>4300</v>
      </c>
      <c r="AH40" s="38" t="n">
        <v>4300</v>
      </c>
      <c r="AI40" s="117" t="n">
        <v>4300</v>
      </c>
      <c r="AJ40" s="118" t="n">
        <v>4300</v>
      </c>
      <c r="AK40" s="118" t="n">
        <v>4300</v>
      </c>
      <c r="AL40" s="118" t="n">
        <v>4300</v>
      </c>
      <c r="AM40" s="119" t="n">
        <v>4300</v>
      </c>
      <c r="AN40" s="117" t="n">
        <v>4300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623.08</v>
      </c>
      <c r="C41" s="35" t="n">
        <v>831.76</v>
      </c>
      <c r="D41" s="35" t="n">
        <v>836.49</v>
      </c>
      <c r="E41" s="35" t="n">
        <v>747.74</v>
      </c>
      <c r="F41" s="35" t="n">
        <v>481.62</v>
      </c>
      <c r="G41" s="35" t="n">
        <v>810.6499999999999</v>
      </c>
      <c r="H41" s="35" t="n">
        <v>662.91</v>
      </c>
      <c r="I41" s="35" t="n">
        <v>701.49</v>
      </c>
      <c r="J41" s="35" t="n">
        <v>1035.73</v>
      </c>
      <c r="K41" s="35" t="n">
        <v>720.8</v>
      </c>
      <c r="L41" s="35" t="n">
        <v>715.36</v>
      </c>
      <c r="M41" s="35" t="n">
        <v>834.1999999999999</v>
      </c>
      <c r="N41" s="36">
        <f>SUM(B41:M41)</f>
        <v/>
      </c>
      <c r="O41" s="37" t="n">
        <v>715.36</v>
      </c>
      <c r="P41" s="37" t="n">
        <v>715.36</v>
      </c>
      <c r="Q41" s="37" t="n">
        <v>843.86</v>
      </c>
      <c r="R41" s="37" t="n">
        <v>1039.5</v>
      </c>
      <c r="S41" s="37" t="n">
        <v>796.4</v>
      </c>
      <c r="T41" s="37" t="n">
        <v>429.02</v>
      </c>
      <c r="U41" s="37" t="n">
        <v>1016.67</v>
      </c>
      <c r="V41" s="38" t="n">
        <v>746</v>
      </c>
      <c r="W41" s="38" t="n">
        <v>746</v>
      </c>
      <c r="X41" s="38" t="n">
        <v>746</v>
      </c>
      <c r="Y41" s="38" t="n">
        <v>746</v>
      </c>
      <c r="Z41" s="38" t="n">
        <v>746</v>
      </c>
      <c r="AA41" s="36">
        <f>SUM(O41:U41)</f>
        <v/>
      </c>
      <c r="AB41" s="36">
        <f>SUM(O41:Z41)</f>
        <v/>
      </c>
      <c r="AC41" s="38" t="n">
        <v>746</v>
      </c>
      <c r="AD41" s="38" t="n">
        <v>746</v>
      </c>
      <c r="AE41" s="38" t="n">
        <v>746</v>
      </c>
      <c r="AF41" s="38" t="n">
        <v>746</v>
      </c>
      <c r="AG41" s="38" t="n">
        <v>746</v>
      </c>
      <c r="AH41" s="38" t="n">
        <v>746</v>
      </c>
      <c r="AI41" s="117" t="n">
        <v>746</v>
      </c>
      <c r="AJ41" s="118" t="n">
        <v>746</v>
      </c>
      <c r="AK41" s="118" t="n">
        <v>746</v>
      </c>
      <c r="AL41" s="118" t="n">
        <v>746</v>
      </c>
      <c r="AM41" s="119" t="n">
        <v>746</v>
      </c>
      <c r="AN41" s="117" t="n">
        <v>746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72.16</v>
      </c>
      <c r="C42" s="35" t="n">
        <v>108.21</v>
      </c>
      <c r="D42" s="35" t="n">
        <v>93.42</v>
      </c>
      <c r="E42" s="35" t="n">
        <v>86.88</v>
      </c>
      <c r="F42" s="35" t="n">
        <v>91.48</v>
      </c>
      <c r="G42" s="35" t="n">
        <v>133.56</v>
      </c>
      <c r="H42" s="35" t="n">
        <v>135.07</v>
      </c>
      <c r="I42" s="35" t="n">
        <v>63.11</v>
      </c>
      <c r="J42" s="35" t="n">
        <v>156.44</v>
      </c>
      <c r="K42" s="35" t="n">
        <v>93.01000000000001</v>
      </c>
      <c r="L42" s="35" t="n">
        <v>12.84</v>
      </c>
      <c r="M42" s="35" t="n">
        <v>72.92</v>
      </c>
      <c r="N42" s="36">
        <f>SUM(B42:M42)</f>
        <v/>
      </c>
      <c r="O42" s="37" t="n">
        <v>75.37</v>
      </c>
      <c r="P42" s="37" t="n">
        <v>96.28</v>
      </c>
      <c r="Q42" s="37" t="n">
        <v>268.58</v>
      </c>
      <c r="R42" s="37" t="n">
        <v>106.13</v>
      </c>
      <c r="S42" s="37" t="n">
        <v>149.21</v>
      </c>
      <c r="T42" s="37" t="n">
        <v>172.86</v>
      </c>
      <c r="U42" s="37" t="n">
        <v>64.59999999999999</v>
      </c>
      <c r="V42" s="38" t="n">
        <v>150</v>
      </c>
      <c r="W42" s="38" t="n">
        <v>150</v>
      </c>
      <c r="X42" s="38" t="n">
        <v>150</v>
      </c>
      <c r="Y42" s="38" t="n">
        <v>150</v>
      </c>
      <c r="Z42" s="38" t="n">
        <v>150</v>
      </c>
      <c r="AA42" s="36">
        <f>SUM(O42:U42)</f>
        <v/>
      </c>
      <c r="AB42" s="36">
        <f>SUM(O42:Z42)</f>
        <v/>
      </c>
      <c r="AC42" s="38" t="n">
        <v>150</v>
      </c>
      <c r="AD42" s="38" t="n">
        <v>150</v>
      </c>
      <c r="AE42" s="38" t="n">
        <v>150</v>
      </c>
      <c r="AF42" s="38" t="n">
        <v>150</v>
      </c>
      <c r="AG42" s="38" t="n">
        <v>150</v>
      </c>
      <c r="AH42" s="38" t="n">
        <v>150</v>
      </c>
      <c r="AI42" s="117" t="n">
        <v>150</v>
      </c>
      <c r="AJ42" s="118" t="n">
        <v>150</v>
      </c>
      <c r="AK42" s="118" t="n">
        <v>150</v>
      </c>
      <c r="AL42" s="118" t="n">
        <v>150</v>
      </c>
      <c r="AM42" s="119" t="n">
        <v>150</v>
      </c>
      <c r="AN42" s="117" t="n">
        <v>150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SUMIF('BW TB'!$R:$R,'BW P&amp;L'!$A43,'BW TB'!C:C)</f>
        <v/>
      </c>
      <c r="P43" s="37">
        <f>SUMIF('BW TB'!$R:$R,'BW P&amp;L'!$A43,'BW TB'!D:D)</f>
        <v/>
      </c>
      <c r="Q43" s="37">
        <f>SUMIF('BW TB'!$R:$R,'BW P&amp;L'!$A43,'BW TB'!E:E)</f>
        <v/>
      </c>
      <c r="R43" s="37">
        <f>SUMIF('BW TB'!$R:$R,'BW P&amp;L'!$A43,'BW TB'!F:F)</f>
        <v/>
      </c>
      <c r="S43" s="37">
        <f>SUMIF('BW TB'!$R:$R,'BW P&amp;L'!$A43,'BW TB'!G:G)</f>
        <v/>
      </c>
      <c r="T43" s="37">
        <f>SUMIF('BW TB'!$R:$R,'BW P&amp;L'!$A43,'BW TB'!H:H)</f>
        <v/>
      </c>
      <c r="U43" s="37">
        <f>SUMIF('BW TB'!$R:$R,'BW P&amp;L'!$A43,'BW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SUMIF('BW TB'!$R:$R,'BW P&amp;L'!$A44,'BW TB'!C:C)</f>
        <v/>
      </c>
      <c r="P44" s="37">
        <f>SUMIF('BW TB'!$R:$R,'BW P&amp;L'!$A44,'BW TB'!D:D)</f>
        <v/>
      </c>
      <c r="Q44" s="37">
        <f>SUMIF('BW TB'!$R:$R,'BW P&amp;L'!$A44,'BW TB'!E:E)</f>
        <v/>
      </c>
      <c r="R44" s="37">
        <f>SUMIF('BW TB'!$R:$R,'BW P&amp;L'!$A44,'BW TB'!F:F)</f>
        <v/>
      </c>
      <c r="S44" s="37">
        <f>SUMIF('BW TB'!$R:$R,'BW P&amp;L'!$A44,'BW TB'!G:G)</f>
        <v/>
      </c>
      <c r="T44" s="37">
        <f>SUMIF('BW TB'!$R:$R,'BW P&amp;L'!$A44,'BW TB'!H:H)</f>
        <v/>
      </c>
      <c r="U44" s="37">
        <f>SUMIF('BW TB'!$R:$R,'BW P&amp;L'!$A44,'BW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64.8</v>
      </c>
      <c r="D45" s="35" t="n">
        <v>345.62</v>
      </c>
      <c r="E45" s="35" t="n">
        <v>0</v>
      </c>
      <c r="F45" s="35" t="n">
        <v>129.6</v>
      </c>
      <c r="G45" s="35" t="n">
        <v>45</v>
      </c>
      <c r="H45" s="35" t="n">
        <v>0</v>
      </c>
      <c r="I45" s="35" t="n">
        <v>90</v>
      </c>
      <c r="J45" s="35" t="n">
        <v>0</v>
      </c>
      <c r="K45" s="35" t="n">
        <v>0</v>
      </c>
      <c r="L45" s="35" t="n">
        <v>220</v>
      </c>
      <c r="M45" s="35" t="n">
        <v>0</v>
      </c>
      <c r="N45" s="36">
        <f>SUM(B45:M45)</f>
        <v/>
      </c>
      <c r="O45" s="37" t="n">
        <v>264</v>
      </c>
      <c r="P45" s="37" t="n">
        <v>0</v>
      </c>
      <c r="Q45" s="37" t="n">
        <v>0</v>
      </c>
      <c r="R45" s="37" t="n">
        <v>282</v>
      </c>
      <c r="S45" s="37" t="n">
        <v>0</v>
      </c>
      <c r="T45" s="37" t="n">
        <v>0</v>
      </c>
      <c r="U45" s="37" t="n">
        <v>3.75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7" t="n">
        <v>100</v>
      </c>
      <c r="AJ45" s="118" t="n">
        <v>100</v>
      </c>
      <c r="AK45" s="118" t="n">
        <v>100</v>
      </c>
      <c r="AL45" s="118" t="n">
        <v>100</v>
      </c>
      <c r="AM45" s="119" t="n">
        <v>100</v>
      </c>
      <c r="AN45" s="117" t="n">
        <v>100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SUMIF('BW TB'!$R:$R,'BW P&amp;L'!$A46,'BW TB'!C:C)</f>
        <v/>
      </c>
      <c r="P46" s="37">
        <f>SUMIF('BW TB'!$R:$R,'BW P&amp;L'!$A46,'BW TB'!D:D)</f>
        <v/>
      </c>
      <c r="Q46" s="37">
        <f>SUMIF('BW TB'!$R:$R,'BW P&amp;L'!$A46,'BW TB'!E:E)</f>
        <v/>
      </c>
      <c r="R46" s="37">
        <f>SUMIF('BW TB'!$R:$R,'BW P&amp;L'!$A46,'BW TB'!F:F)</f>
        <v/>
      </c>
      <c r="S46" s="37">
        <f>SUMIF('BW TB'!$R:$R,'BW P&amp;L'!$A46,'BW TB'!G:G)</f>
        <v/>
      </c>
      <c r="T46" s="37">
        <f>SUMIF('BW TB'!$R:$R,'BW P&amp;L'!$A46,'BW TB'!H:H)</f>
        <v/>
      </c>
      <c r="U46" s="37">
        <f>SUMIF('BW TB'!$R:$R,'BW P&amp;L'!$A46,'BW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11428.8</v>
      </c>
      <c r="C47" s="42" t="n">
        <v>11397.44</v>
      </c>
      <c r="D47" s="42" t="n">
        <v>12879.79</v>
      </c>
      <c r="E47" s="42" t="n">
        <v>15208.81</v>
      </c>
      <c r="F47" s="42" t="n">
        <v>9401.230000000001</v>
      </c>
      <c r="G47" s="42" t="n">
        <v>11022.52</v>
      </c>
      <c r="H47" s="42" t="n">
        <v>12647.95</v>
      </c>
      <c r="I47" s="42" t="n">
        <v>16122.24</v>
      </c>
      <c r="J47" s="42" t="n">
        <v>12013.71</v>
      </c>
      <c r="K47" s="42" t="n">
        <v>9677.17</v>
      </c>
      <c r="L47" s="42" t="n">
        <v>11447.49</v>
      </c>
      <c r="M47" s="42" t="n">
        <v>11585.54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92268.51000000001</v>
      </c>
      <c r="C48" s="23" t="n">
        <v>85615.26000000001</v>
      </c>
      <c r="D48" s="23" t="n">
        <v>87287.04999999999</v>
      </c>
      <c r="E48" s="23" t="n">
        <v>96458.5</v>
      </c>
      <c r="F48" s="23" t="n">
        <v>98263.14999999999</v>
      </c>
      <c r="G48" s="23" t="n">
        <v>96365.21000000001</v>
      </c>
      <c r="H48" s="23" t="n">
        <v>103098.81</v>
      </c>
      <c r="I48" s="23" t="n">
        <v>102954.94</v>
      </c>
      <c r="J48" s="23" t="n">
        <v>109194.21</v>
      </c>
      <c r="K48" s="23" t="n">
        <v>94978.04000000001</v>
      </c>
      <c r="L48" s="23" t="n">
        <v>93281.21000000001</v>
      </c>
      <c r="M48" s="23" t="n">
        <v>90097.54999999999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63673.45999999999</v>
      </c>
      <c r="C50" s="55" t="n">
        <v>88113.21999999997</v>
      </c>
      <c r="D50" s="55" t="n">
        <v>107710.31</v>
      </c>
      <c r="E50" s="55" t="n">
        <v>71755.87999999998</v>
      </c>
      <c r="F50" s="55" t="n">
        <v>45238.38</v>
      </c>
      <c r="G50" s="55" t="n">
        <v>79582.13000000002</v>
      </c>
      <c r="H50" s="55" t="n">
        <v>109505.4</v>
      </c>
      <c r="I50" s="55" t="n">
        <v>29408.76999999997</v>
      </c>
      <c r="J50" s="55" t="n">
        <v>23453.08999999998</v>
      </c>
      <c r="K50" s="55" t="n">
        <v>35100.64999999999</v>
      </c>
      <c r="L50" s="55" t="n">
        <v>89454.3</v>
      </c>
      <c r="M50" s="55" t="n">
        <v>131131.14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SUMIF('BW TB'!$R:$R,'BW P&amp;L'!$A53,'BW TB'!C:C)</f>
        <v/>
      </c>
      <c r="P53" s="37">
        <f>SUMIF('BW TB'!$R:$R,'BW P&amp;L'!$A53,'BW TB'!D:D)</f>
        <v/>
      </c>
      <c r="Q53" s="37">
        <f>SUMIF('BW TB'!$R:$R,'BW P&amp;L'!$A53,'BW TB'!E:E)</f>
        <v/>
      </c>
      <c r="R53" s="37">
        <f>SUMIF('BW TB'!$R:$R,'BW P&amp;L'!$A53,'BW TB'!F:F)</f>
        <v/>
      </c>
      <c r="S53" s="37">
        <f>SUMIF('BW TB'!$R:$R,'BW P&amp;L'!$A53,'BW TB'!G:G)</f>
        <v/>
      </c>
      <c r="T53" s="37">
        <f>SUMIF('BW TB'!$R:$R,'BW P&amp;L'!$A53,'BW TB'!H:H)</f>
        <v/>
      </c>
      <c r="U53" s="37">
        <f>SUMIF('BW TB'!$R:$R,'BW P&amp;L'!$A53,'BW TB'!I:I)</f>
        <v/>
      </c>
      <c r="V53" s="38" t="n">
        <v>0</v>
      </c>
      <c r="W53" s="38" t="n">
        <v>0</v>
      </c>
      <c r="X53" s="38" t="n">
        <v>0</v>
      </c>
      <c r="Y53" s="38" t="n">
        <v>0</v>
      </c>
      <c r="Z53" s="38" t="n">
        <v>0</v>
      </c>
      <c r="AA53" s="36">
        <f>SUM(O53:U53)</f>
        <v/>
      </c>
      <c r="AB53" s="36">
        <f>SUM(O53:Z53)</f>
        <v/>
      </c>
      <c r="AC53" s="38" t="n">
        <v>0</v>
      </c>
      <c r="AD53" s="38" t="n">
        <v>0</v>
      </c>
      <c r="AE53" s="38" t="n">
        <v>0</v>
      </c>
      <c r="AF53" s="38" t="n">
        <v>0</v>
      </c>
      <c r="AG53" s="38" t="n">
        <v>0</v>
      </c>
      <c r="AH53" s="38" t="n">
        <v>0</v>
      </c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SUMIF('BW TB'!$R:$R,'BW P&amp;L'!$A54,'BW TB'!C:C)</f>
        <v/>
      </c>
      <c r="P54" s="37">
        <f>SUMIF('BW TB'!$R:$R,'BW P&amp;L'!$A54,'BW TB'!D:D)</f>
        <v/>
      </c>
      <c r="Q54" s="37">
        <f>SUMIF('BW TB'!$R:$R,'BW P&amp;L'!$A54,'BW TB'!E:E)</f>
        <v/>
      </c>
      <c r="R54" s="37">
        <f>SUMIF('BW TB'!$R:$R,'BW P&amp;L'!$A54,'BW TB'!F:F)</f>
        <v/>
      </c>
      <c r="S54" s="37">
        <f>SUMIF('BW TB'!$R:$R,'BW P&amp;L'!$A54,'BW TB'!G:G)</f>
        <v/>
      </c>
      <c r="T54" s="37">
        <f>SUMIF('BW TB'!$R:$R,'BW P&amp;L'!$A54,'BW TB'!H:H)</f>
        <v/>
      </c>
      <c r="U54" s="37">
        <f>SUMIF('BW TB'!$R:$R,'BW P&amp;L'!$A54,'BW TB'!I:I)</f>
        <v/>
      </c>
      <c r="V54" s="38" t="n">
        <v>0</v>
      </c>
      <c r="W54" s="38" t="n">
        <v>0</v>
      </c>
      <c r="X54" s="38" t="n">
        <v>0</v>
      </c>
      <c r="Y54" s="38" t="n">
        <v>0</v>
      </c>
      <c r="Z54" s="38" t="n">
        <v>0</v>
      </c>
      <c r="AA54" s="36">
        <f>SUM(O54:U54)</f>
        <v/>
      </c>
      <c r="AB54" s="36">
        <f>SUM(O54:Z54)</f>
        <v/>
      </c>
      <c r="AC54" s="38" t="n">
        <v>0</v>
      </c>
      <c r="AD54" s="38" t="n">
        <v>0</v>
      </c>
      <c r="AE54" s="38" t="n">
        <v>0</v>
      </c>
      <c r="AF54" s="38" t="n">
        <v>0</v>
      </c>
      <c r="AG54" s="38" t="n">
        <v>0</v>
      </c>
      <c r="AH54" s="38" t="n">
        <v>0</v>
      </c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SUMIF('BW TB'!$R:$R,'BW P&amp;L'!$A55,'BW TB'!C:C)</f>
        <v/>
      </c>
      <c r="P55" s="37">
        <f>SUMIF('BW TB'!$R:$R,'BW P&amp;L'!$A55,'BW TB'!D:D)</f>
        <v/>
      </c>
      <c r="Q55" s="37">
        <f>SUMIF('BW TB'!$R:$R,'BW P&amp;L'!$A55,'BW TB'!E:E)</f>
        <v/>
      </c>
      <c r="R55" s="37">
        <f>SUMIF('BW TB'!$R:$R,'BW P&amp;L'!$A55,'BW TB'!F:F)</f>
        <v/>
      </c>
      <c r="S55" s="37">
        <f>SUMIF('BW TB'!$R:$R,'BW P&amp;L'!$A55,'BW TB'!G:G)</f>
        <v/>
      </c>
      <c r="T55" s="37">
        <f>SUMIF('BW TB'!$R:$R,'BW P&amp;L'!$A55,'BW TB'!H:H)</f>
        <v/>
      </c>
      <c r="U55" s="37">
        <f>SUMIF('BW TB'!$R:$R,'BW P&amp;L'!$A55,'BW TB'!I:I)</f>
        <v/>
      </c>
      <c r="V55" s="38" t="n">
        <v>0</v>
      </c>
      <c r="W55" s="38" t="n">
        <v>0</v>
      </c>
      <c r="X55" s="38" t="n">
        <v>0</v>
      </c>
      <c r="Y55" s="38" t="n">
        <v>0</v>
      </c>
      <c r="Z55" s="38" t="n">
        <v>0</v>
      </c>
      <c r="AA55" s="36">
        <f>SUM(O55:U55)</f>
        <v/>
      </c>
      <c r="AB55" s="36">
        <f>SUM(O55:Z55)</f>
        <v/>
      </c>
      <c r="AC55" s="38" t="n">
        <v>0</v>
      </c>
      <c r="AD55" s="38" t="n">
        <v>0</v>
      </c>
      <c r="AE55" s="38" t="n">
        <v>0</v>
      </c>
      <c r="AF55" s="38" t="n">
        <v>0</v>
      </c>
      <c r="AG55" s="38" t="n">
        <v>0</v>
      </c>
      <c r="AH55" s="38" t="n">
        <v>0</v>
      </c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SUMIF('BW TB'!$R:$R,'BW P&amp;L'!$A56,'BW TB'!C:C)</f>
        <v/>
      </c>
      <c r="P56" s="37">
        <f>SUMIF('BW TB'!$R:$R,'BW P&amp;L'!$A56,'BW TB'!D:D)</f>
        <v/>
      </c>
      <c r="Q56" s="37">
        <f>SUMIF('BW TB'!$R:$R,'BW P&amp;L'!$A56,'BW TB'!E:E)</f>
        <v/>
      </c>
      <c r="R56" s="37">
        <f>SUMIF('BW TB'!$R:$R,'BW P&amp;L'!$A56,'BW TB'!F:F)</f>
        <v/>
      </c>
      <c r="S56" s="37">
        <f>SUMIF('BW TB'!$R:$R,'BW P&amp;L'!$A56,'BW TB'!G:G)</f>
        <v/>
      </c>
      <c r="T56" s="37">
        <f>SUMIF('BW TB'!$R:$R,'BW P&amp;L'!$A56,'BW TB'!H:H)</f>
        <v/>
      </c>
      <c r="U56" s="37">
        <f>SUMIF('BW TB'!$R:$R,'BW P&amp;L'!$A56,'BW TB'!I:I)</f>
        <v/>
      </c>
      <c r="V56" s="38" t="n">
        <v>0</v>
      </c>
      <c r="W56" s="38" t="n">
        <v>0</v>
      </c>
      <c r="X56" s="38" t="n">
        <v>0</v>
      </c>
      <c r="Y56" s="38" t="n">
        <v>0</v>
      </c>
      <c r="Z56" s="38" t="n">
        <v>0</v>
      </c>
      <c r="AA56" s="36">
        <f>SUM(O56:U56)</f>
        <v/>
      </c>
      <c r="AB56" s="36">
        <f>SUM(O56:Z56)</f>
        <v/>
      </c>
      <c r="AC56" s="38" t="n">
        <v>0</v>
      </c>
      <c r="AD56" s="38" t="n">
        <v>0</v>
      </c>
      <c r="AE56" s="38" t="n">
        <v>0</v>
      </c>
      <c r="AF56" s="38" t="n">
        <v>0</v>
      </c>
      <c r="AG56" s="38" t="n">
        <v>0</v>
      </c>
      <c r="AH56" s="38" t="n">
        <v>0</v>
      </c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310</v>
      </c>
      <c r="M57" s="35" t="n">
        <v>0</v>
      </c>
      <c r="N57" s="36">
        <f>SUM(B57:M57)</f>
        <v/>
      </c>
      <c r="O57" s="37">
        <f>SUMIF('BW TB'!$R:$R,'BW P&amp;L'!$A57,'BW TB'!C:C)</f>
        <v/>
      </c>
      <c r="P57" s="37">
        <f>SUMIF('BW TB'!$R:$R,'BW P&amp;L'!$A57,'BW TB'!D:D)</f>
        <v/>
      </c>
      <c r="Q57" s="37">
        <f>SUMIF('BW TB'!$R:$R,'BW P&amp;L'!$A57,'BW TB'!E:E)</f>
        <v/>
      </c>
      <c r="R57" s="37">
        <f>SUMIF('BW TB'!$R:$R,'BW P&amp;L'!$A57,'BW TB'!F:F)</f>
        <v/>
      </c>
      <c r="S57" s="37">
        <f>SUMIF('BW TB'!$R:$R,'BW P&amp;L'!$A57,'BW TB'!G:G)</f>
        <v/>
      </c>
      <c r="T57" s="37">
        <f>SUMIF('BW TB'!$R:$R,'BW P&amp;L'!$A57,'BW TB'!H:H)</f>
        <v/>
      </c>
      <c r="U57" s="37">
        <f>SUMIF('BW TB'!$R:$R,'BW P&amp;L'!$A57,'BW TB'!I:I)</f>
        <v/>
      </c>
      <c r="V57" s="38" t="n">
        <v>0</v>
      </c>
      <c r="W57" s="38" t="n">
        <v>0</v>
      </c>
      <c r="X57" s="38" t="n">
        <v>0</v>
      </c>
      <c r="Y57" s="38" t="n">
        <v>0</v>
      </c>
      <c r="Z57" s="38">
        <f>36*30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SUMIF('BW TB'!$R:$R,'BW P&amp;L'!$A58,'BW TB'!C:C)</f>
        <v/>
      </c>
      <c r="P58" s="37">
        <f>SUMIF('BW TB'!$R:$R,'BW P&amp;L'!$A58,'BW TB'!D:D)</f>
        <v/>
      </c>
      <c r="Q58" s="37">
        <f>SUMIF('BW TB'!$R:$R,'BW P&amp;L'!$A58,'BW TB'!E:E)</f>
        <v/>
      </c>
      <c r="R58" s="37">
        <f>SUMIF('BW TB'!$R:$R,'BW P&amp;L'!$A58,'BW TB'!F:F)</f>
        <v/>
      </c>
      <c r="S58" s="37">
        <f>SUMIF('BW TB'!$R:$R,'BW P&amp;L'!$A58,'BW TB'!G:G)</f>
        <v/>
      </c>
      <c r="T58" s="37">
        <f>SUMIF('BW TB'!$R:$R,'BW P&amp;L'!$A58,'BW TB'!H:H)</f>
        <v/>
      </c>
      <c r="U58" s="37">
        <f>SUMIF('BW TB'!$R:$R,'BW P&amp;L'!$A58,'BW TB'!I:I)</f>
        <v/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296.28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214.8</v>
      </c>
      <c r="W59" s="38" t="n">
        <v>214.8</v>
      </c>
      <c r="X59" s="38" t="n">
        <v>214.8</v>
      </c>
      <c r="Y59" s="38" t="n">
        <v>214.8</v>
      </c>
      <c r="Z59" s="38" t="n">
        <v>214.8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8.399999999999999</v>
      </c>
      <c r="C60" s="35" t="n">
        <v>8.399999999999999</v>
      </c>
      <c r="D60" s="35" t="n">
        <v>8.4</v>
      </c>
      <c r="E60" s="35" t="n">
        <v>7.2</v>
      </c>
      <c r="F60" s="35" t="n">
        <v>7.2</v>
      </c>
      <c r="G60" s="35" t="n">
        <v>7.799999999999999</v>
      </c>
      <c r="H60" s="35" t="n">
        <v>9</v>
      </c>
      <c r="I60" s="35" t="n">
        <v>7.800000000000001</v>
      </c>
      <c r="J60" s="35" t="n">
        <v>5.4</v>
      </c>
      <c r="K60" s="35" t="n">
        <v>73</v>
      </c>
      <c r="L60" s="35" t="n">
        <v>4.2</v>
      </c>
      <c r="M60" s="35" t="n">
        <v>4.2</v>
      </c>
      <c r="N60" s="36">
        <f>SUM(B60:M60)</f>
        <v/>
      </c>
      <c r="O60" s="37" t="n">
        <v>34.15</v>
      </c>
      <c r="P60" s="37" t="n">
        <v>3.6</v>
      </c>
      <c r="Q60" s="37" t="n">
        <v>4.2</v>
      </c>
      <c r="R60" s="37" t="n">
        <v>4.8</v>
      </c>
      <c r="S60" s="37" t="n">
        <v>3.6</v>
      </c>
      <c r="T60" s="37" t="n">
        <v>3</v>
      </c>
      <c r="U60" s="37" t="n">
        <v>5.4</v>
      </c>
      <c r="V60" s="38" t="n">
        <v>3.6</v>
      </c>
      <c r="W60" s="38" t="n">
        <v>3.6</v>
      </c>
      <c r="X60" s="38" t="n">
        <v>3.6</v>
      </c>
      <c r="Y60" s="38" t="n">
        <v>3.6</v>
      </c>
      <c r="Z60" s="38" t="n">
        <v>3.6</v>
      </c>
      <c r="AA60" s="36">
        <f>SUM(O60:U60)</f>
        <v/>
      </c>
      <c r="AB60" s="36">
        <f>SUM(O60:Z60)</f>
        <v/>
      </c>
      <c r="AC60" s="38" t="n">
        <v>3.6</v>
      </c>
      <c r="AD60" s="38" t="n">
        <v>3.6</v>
      </c>
      <c r="AE60" s="38" t="n">
        <v>3.6</v>
      </c>
      <c r="AF60" s="38" t="n">
        <v>3.6</v>
      </c>
      <c r="AG60" s="38" t="n">
        <v>3.6</v>
      </c>
      <c r="AH60" s="38" t="n">
        <v>3.6</v>
      </c>
      <c r="AI60" s="117" t="n">
        <v>3.6</v>
      </c>
      <c r="AJ60" s="118" t="n">
        <v>3.6</v>
      </c>
      <c r="AK60" s="118" t="n">
        <v>3.6</v>
      </c>
      <c r="AL60" s="118" t="n">
        <v>3.6</v>
      </c>
      <c r="AM60" s="119" t="n">
        <v>3.6</v>
      </c>
      <c r="AN60" s="117" t="n">
        <v>3.6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20.17</v>
      </c>
      <c r="C61" s="35" t="n">
        <v>52.95</v>
      </c>
      <c r="D61" s="35" t="n">
        <v>830.5</v>
      </c>
      <c r="E61" s="35" t="n">
        <v>0</v>
      </c>
      <c r="F61" s="35" t="n">
        <v>98.28</v>
      </c>
      <c r="G61" s="35" t="n">
        <v>571.5899999999999</v>
      </c>
      <c r="H61" s="35" t="n">
        <v>155.06</v>
      </c>
      <c r="I61" s="35" t="n">
        <v>54.99</v>
      </c>
      <c r="J61" s="35" t="n">
        <v>0</v>
      </c>
      <c r="K61" s="35" t="n">
        <v>51.66</v>
      </c>
      <c r="L61" s="35" t="n">
        <v>133.75</v>
      </c>
      <c r="M61" s="35" t="n">
        <v>0</v>
      </c>
      <c r="N61" s="36">
        <f>SUM(B61:M61)</f>
        <v/>
      </c>
      <c r="O61" s="37">
        <f>SUMIF('BW TB'!$R:$R,'BW P&amp;L'!$A61,'BW TB'!C:C)</f>
        <v/>
      </c>
      <c r="P61" s="37">
        <f>SUMIF('BW TB'!$R:$R,'BW P&amp;L'!$A61,'BW TB'!D:D)</f>
        <v/>
      </c>
      <c r="Q61" s="37">
        <f>SUMIF('BW TB'!$R:$R,'BW P&amp;L'!$A61,'BW TB'!E:E)</f>
        <v/>
      </c>
      <c r="R61" s="37">
        <f>SUMIF('BW TB'!$R:$R,'BW P&amp;L'!$A61,'BW TB'!F:F)</f>
        <v/>
      </c>
      <c r="S61" s="37">
        <f>SUMIF('BW TB'!$R:$R,'BW P&amp;L'!$A61,'BW TB'!G:G)</f>
        <v/>
      </c>
      <c r="T61" s="37">
        <f>SUMIF('BW TB'!$R:$R,'BW P&amp;L'!$A61,'BW TB'!H:H)</f>
        <v/>
      </c>
      <c r="U61" s="37">
        <f>SUMIF('BW TB'!$R:$R,'BW P&amp;L'!$A61,'BW TB'!I:I)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25</v>
      </c>
      <c r="C62" s="35" t="n">
        <v>139</v>
      </c>
      <c r="D62" s="35" t="n">
        <v>186</v>
      </c>
      <c r="E62" s="35" t="n">
        <v>100</v>
      </c>
      <c r="F62" s="35" t="n">
        <v>204</v>
      </c>
      <c r="G62" s="35" t="n">
        <v>294</v>
      </c>
      <c r="H62" s="35" t="n">
        <v>397</v>
      </c>
      <c r="I62" s="35" t="n">
        <v>418</v>
      </c>
      <c r="J62" s="35" t="n">
        <v>436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 t="n">
        <v>0</v>
      </c>
      <c r="P62" s="37" t="n">
        <v>0</v>
      </c>
      <c r="Q62" s="37" t="n">
        <v>120</v>
      </c>
      <c r="R62" s="37" t="n">
        <v>266</v>
      </c>
      <c r="S62" s="37" t="n">
        <v>310</v>
      </c>
      <c r="T62" s="37" t="n">
        <v>0</v>
      </c>
      <c r="U62" s="37" t="n">
        <v>90</v>
      </c>
      <c r="V62" s="38" t="n">
        <v>0</v>
      </c>
      <c r="W62" s="38" t="n">
        <v>0</v>
      </c>
      <c r="X62" s="38" t="n">
        <v>0</v>
      </c>
      <c r="Y62" s="38" t="n">
        <v>0</v>
      </c>
      <c r="Z62" s="38" t="n">
        <v>0</v>
      </c>
      <c r="AA62" s="36">
        <f>SUM(O62:U62)</f>
        <v/>
      </c>
      <c r="AB62" s="36">
        <f>SUM(O62:Z62)</f>
        <v/>
      </c>
      <c r="AC62" s="38" t="n">
        <v>0</v>
      </c>
      <c r="AD62" s="38" t="n">
        <v>0</v>
      </c>
      <c r="AE62" s="38" t="n">
        <v>0</v>
      </c>
      <c r="AF62" s="38" t="n">
        <v>0</v>
      </c>
      <c r="AG62" s="38" t="n">
        <v>0</v>
      </c>
      <c r="AH62" s="38" t="n">
        <v>0</v>
      </c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SUMIF('BW TB'!$R:$R,'BW P&amp;L'!$A63,'BW TB'!C:C)</f>
        <v/>
      </c>
      <c r="P63" s="37">
        <f>SUMIF('BW TB'!$R:$R,'BW P&amp;L'!$A63,'BW TB'!D:D)</f>
        <v/>
      </c>
      <c r="Q63" s="37">
        <f>SUMIF('BW TB'!$R:$R,'BW P&amp;L'!$A63,'BW TB'!E:E)</f>
        <v/>
      </c>
      <c r="R63" s="37">
        <f>SUMIF('BW TB'!$R:$R,'BW P&amp;L'!$A63,'BW TB'!F:F)</f>
        <v/>
      </c>
      <c r="S63" s="37">
        <f>SUMIF('BW TB'!$R:$R,'BW P&amp;L'!$A63,'BW TB'!G:G)</f>
        <v/>
      </c>
      <c r="T63" s="37">
        <f>SUMIF('BW TB'!$R:$R,'BW P&amp;L'!$A63,'BW TB'!H:H)</f>
        <v/>
      </c>
      <c r="U63" s="37">
        <f>SUMIF('BW TB'!$R:$R,'BW P&amp;L'!$A63,'BW TB'!I:I)</f>
        <v/>
      </c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</v>
      </c>
      <c r="AA63" s="36">
        <f>SUM(O63:U63)</f>
        <v/>
      </c>
      <c r="AB63" s="36">
        <f>SUM(O63:Z63)</f>
        <v/>
      </c>
      <c r="AC63" s="38" t="n">
        <v>0</v>
      </c>
      <c r="AD63" s="38" t="n">
        <v>0</v>
      </c>
      <c r="AE63" s="38" t="n">
        <v>0</v>
      </c>
      <c r="AF63" s="38" t="n">
        <v>0</v>
      </c>
      <c r="AG63" s="38" t="n">
        <v>0</v>
      </c>
      <c r="AH63" s="38" t="n">
        <v>0</v>
      </c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SUMIF('BW TB'!$R:$R,'BW P&amp;L'!$A64,'BW TB'!C:C)</f>
        <v/>
      </c>
      <c r="P64" s="37">
        <f>SUMIF('BW TB'!$R:$R,'BW P&amp;L'!$A64,'BW TB'!D:D)</f>
        <v/>
      </c>
      <c r="Q64" s="37">
        <f>SUMIF('BW TB'!$R:$R,'BW P&amp;L'!$A64,'BW TB'!E:E)</f>
        <v/>
      </c>
      <c r="R64" s="37">
        <f>SUMIF('BW TB'!$R:$R,'BW P&amp;L'!$A64,'BW TB'!F:F)</f>
        <v/>
      </c>
      <c r="S64" s="37">
        <f>SUMIF('BW TB'!$R:$R,'BW P&amp;L'!$A64,'BW TB'!G:G)</f>
        <v/>
      </c>
      <c r="T64" s="37">
        <f>SUMIF('BW TB'!$R:$R,'BW P&amp;L'!$A64,'BW TB'!H:H)</f>
        <v/>
      </c>
      <c r="U64" s="37">
        <f>SUMIF('BW TB'!$R:$R,'BW P&amp;L'!$A64,'BW TB'!I:I)</f>
        <v/>
      </c>
      <c r="V64" s="38" t="n">
        <v>0</v>
      </c>
      <c r="W64" s="38" t="n">
        <v>0</v>
      </c>
      <c r="X64" s="38" t="n">
        <v>0</v>
      </c>
      <c r="Y64" s="38" t="n">
        <v>0</v>
      </c>
      <c r="Z64" s="38" t="n">
        <v>0</v>
      </c>
      <c r="AA64" s="36">
        <f>SUM(O64:U64)</f>
        <v/>
      </c>
      <c r="AB64" s="36">
        <f>SUM(O64:Z64)</f>
        <v/>
      </c>
      <c r="AC64" s="38" t="n">
        <v>0</v>
      </c>
      <c r="AD64" s="38" t="n">
        <v>0</v>
      </c>
      <c r="AE64" s="38" t="n">
        <v>0</v>
      </c>
      <c r="AF64" s="38" t="n">
        <v>0</v>
      </c>
      <c r="AG64" s="38" t="n">
        <v>0</v>
      </c>
      <c r="AH64" s="38" t="n">
        <v>0</v>
      </c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SUMIF('BW TB'!$R:$R,'BW P&amp;L'!$A65,'BW TB'!C:C)</f>
        <v/>
      </c>
      <c r="P65" s="37">
        <f>SUMIF('BW TB'!$R:$R,'BW P&amp;L'!$A65,'BW TB'!D:D)</f>
        <v/>
      </c>
      <c r="Q65" s="37">
        <f>SUMIF('BW TB'!$R:$R,'BW P&amp;L'!$A65,'BW TB'!E:E)</f>
        <v/>
      </c>
      <c r="R65" s="37">
        <f>SUMIF('BW TB'!$R:$R,'BW P&amp;L'!$A65,'BW TB'!F:F)</f>
        <v/>
      </c>
      <c r="S65" s="37">
        <f>SUMIF('BW TB'!$R:$R,'BW P&amp;L'!$A65,'BW TB'!G:G)</f>
        <v/>
      </c>
      <c r="T65" s="37">
        <f>SUMIF('BW TB'!$R:$R,'BW P&amp;L'!$A65,'BW TB'!H:H)</f>
        <v/>
      </c>
      <c r="U65" s="37">
        <f>SUMIF('BW TB'!$R:$R,'BW P&amp;L'!$A65,'BW TB'!I:I)</f>
        <v/>
      </c>
      <c r="V65" s="38" t="n">
        <v>0</v>
      </c>
      <c r="W65" s="38" t="n">
        <v>0</v>
      </c>
      <c r="X65" s="38" t="n">
        <v>0</v>
      </c>
      <c r="Y65" s="38" t="n">
        <v>0</v>
      </c>
      <c r="Z65" s="38" t="n">
        <v>0</v>
      </c>
      <c r="AA65" s="36">
        <f>SUM(O65:U65)</f>
        <v/>
      </c>
      <c r="AB65" s="36">
        <f>SUM(O65:Z65)</f>
        <v/>
      </c>
      <c r="AC65" s="38" t="n">
        <v>0</v>
      </c>
      <c r="AD65" s="38" t="n">
        <v>0</v>
      </c>
      <c r="AE65" s="38" t="n">
        <v>0</v>
      </c>
      <c r="AF65" s="38" t="n">
        <v>0</v>
      </c>
      <c r="AG65" s="38" t="n">
        <v>0</v>
      </c>
      <c r="AH65" s="38" t="n">
        <v>0</v>
      </c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SUMIF('BW TB'!$R:$R,'BW P&amp;L'!$A66,'BW TB'!C:C)</f>
        <v/>
      </c>
      <c r="P66" s="37">
        <f>SUMIF('BW TB'!$R:$R,'BW P&amp;L'!$A66,'BW TB'!D:D)</f>
        <v/>
      </c>
      <c r="Q66" s="37">
        <f>SUMIF('BW TB'!$R:$R,'BW P&amp;L'!$A66,'BW TB'!E:E)</f>
        <v/>
      </c>
      <c r="R66" s="37">
        <f>SUMIF('BW TB'!$R:$R,'BW P&amp;L'!$A66,'BW TB'!F:F)</f>
        <v/>
      </c>
      <c r="S66" s="37">
        <f>SUMIF('BW TB'!$R:$R,'BW P&amp;L'!$A66,'BW TB'!G:G)</f>
        <v/>
      </c>
      <c r="T66" s="37">
        <f>SUMIF('BW TB'!$R:$R,'BW P&amp;L'!$A66,'BW TB'!H:H)</f>
        <v/>
      </c>
      <c r="U66" s="37">
        <f>SUMIF('BW TB'!$R:$R,'BW P&amp;L'!$A66,'BW TB'!I:I)</f>
        <v/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SUMIF('BW TB'!$R:$R,'BW P&amp;L'!$A67,'BW TB'!C:C)</f>
        <v/>
      </c>
      <c r="P67" s="37">
        <f>SUMIF('BW TB'!$R:$R,'BW P&amp;L'!$A67,'BW TB'!D:D)</f>
        <v/>
      </c>
      <c r="Q67" s="37">
        <f>SUMIF('BW TB'!$R:$R,'BW P&amp;L'!$A67,'BW TB'!E:E)</f>
        <v/>
      </c>
      <c r="R67" s="37">
        <f>SUMIF('BW TB'!$R:$R,'BW P&amp;L'!$A67,'BW TB'!F:F)</f>
        <v/>
      </c>
      <c r="S67" s="37">
        <f>SUMIF('BW TB'!$R:$R,'BW P&amp;L'!$A67,'BW TB'!G:G)</f>
        <v/>
      </c>
      <c r="T67" s="37">
        <f>SUMIF('BW TB'!$R:$R,'BW P&amp;L'!$A67,'BW TB'!H:H)</f>
        <v/>
      </c>
      <c r="U67" s="37">
        <f>SUMIF('BW TB'!$R:$R,'BW P&amp;L'!$A67,'BW TB'!I:I)</f>
        <v/>
      </c>
      <c r="V67" s="38" t="n">
        <v>0</v>
      </c>
      <c r="W67" s="38" t="n">
        <v>0</v>
      </c>
      <c r="X67" s="38" t="n">
        <v>0</v>
      </c>
      <c r="Y67" s="38" t="n">
        <v>0</v>
      </c>
      <c r="Z67" s="38" t="n">
        <v>0</v>
      </c>
      <c r="AA67" s="36">
        <f>SUM(O67:U67)</f>
        <v/>
      </c>
      <c r="AB67" s="36">
        <f>SUM(O67:Z67)</f>
        <v/>
      </c>
      <c r="AC67" s="38" t="n">
        <v>0</v>
      </c>
      <c r="AD67" s="38" t="n">
        <v>0</v>
      </c>
      <c r="AE67" s="38" t="n">
        <v>0</v>
      </c>
      <c r="AF67" s="38" t="n">
        <v>0</v>
      </c>
      <c r="AG67" s="38" t="n">
        <v>0</v>
      </c>
      <c r="AH67" s="38" t="n">
        <v>0</v>
      </c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SUMIF('BW TB'!$R:$R,'BW P&amp;L'!$A68,'BW TB'!C:C)</f>
        <v/>
      </c>
      <c r="P68" s="37">
        <f>SUMIF('BW TB'!$R:$R,'BW P&amp;L'!$A68,'BW TB'!D:D)</f>
        <v/>
      </c>
      <c r="Q68" s="37">
        <f>SUMIF('BW TB'!$R:$R,'BW P&amp;L'!$A68,'BW TB'!E:E)</f>
        <v/>
      </c>
      <c r="R68" s="37">
        <f>SUMIF('BW TB'!$R:$R,'BW P&amp;L'!$A68,'BW TB'!F:F)</f>
        <v/>
      </c>
      <c r="S68" s="37">
        <f>SUMIF('BW TB'!$R:$R,'BW P&amp;L'!$A68,'BW TB'!G:G)</f>
        <v/>
      </c>
      <c r="T68" s="37">
        <f>SUMIF('BW TB'!$R:$R,'BW P&amp;L'!$A68,'BW TB'!H:H)</f>
        <v/>
      </c>
      <c r="U68" s="37">
        <f>SUMIF('BW TB'!$R:$R,'BW P&amp;L'!$A68,'BW TB'!I:I)</f>
        <v/>
      </c>
      <c r="V68" s="38" t="n">
        <v>0</v>
      </c>
      <c r="W68" s="38" t="n">
        <v>0</v>
      </c>
      <c r="X68" s="38" t="n">
        <v>0</v>
      </c>
      <c r="Y68" s="38" t="n">
        <v>0</v>
      </c>
      <c r="Z68" s="38" t="n">
        <v>0</v>
      </c>
      <c r="AA68" s="36">
        <f>SUM(O68:U68)</f>
        <v/>
      </c>
      <c r="AB68" s="36">
        <f>SUM(O68:Z68)</f>
        <v/>
      </c>
      <c r="AC68" s="38" t="n">
        <v>0</v>
      </c>
      <c r="AD68" s="38" t="n">
        <v>0</v>
      </c>
      <c r="AE68" s="38" t="n">
        <v>0</v>
      </c>
      <c r="AF68" s="38" t="n">
        <v>0</v>
      </c>
      <c r="AG68" s="38" t="n">
        <v>0</v>
      </c>
      <c r="AH68" s="38" t="n">
        <v>0</v>
      </c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254.95</v>
      </c>
      <c r="C69" s="42" t="n">
        <v>401.73</v>
      </c>
      <c r="D69" s="42" t="n">
        <v>1226.28</v>
      </c>
      <c r="E69" s="42" t="n">
        <v>308.58</v>
      </c>
      <c r="F69" s="42" t="n">
        <v>510.86</v>
      </c>
      <c r="G69" s="42" t="n">
        <v>1074.77</v>
      </c>
      <c r="H69" s="42" t="n">
        <v>762.4400000000001</v>
      </c>
      <c r="I69" s="42" t="n">
        <v>682.1700000000001</v>
      </c>
      <c r="J69" s="42" t="n">
        <v>642.78</v>
      </c>
      <c r="K69" s="42" t="n">
        <v>339.46</v>
      </c>
      <c r="L69" s="42" t="n">
        <v>662.75</v>
      </c>
      <c r="M69" s="42" t="n">
        <v>300.48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63418.50999999999</v>
      </c>
      <c r="C70" s="55" t="n">
        <v>87711.48999999998</v>
      </c>
      <c r="D70" s="55" t="n">
        <v>106484.03</v>
      </c>
      <c r="E70" s="55" t="n">
        <v>71447.29999999997</v>
      </c>
      <c r="F70" s="55" t="n">
        <v>44727.52</v>
      </c>
      <c r="G70" s="55" t="n">
        <v>78507.36000000002</v>
      </c>
      <c r="H70" s="55" t="n">
        <v>108742.96</v>
      </c>
      <c r="I70" s="55" t="n">
        <v>28726.59999999998</v>
      </c>
      <c r="J70" s="55" t="n">
        <v>22810.30999999998</v>
      </c>
      <c r="K70" s="55" t="n">
        <v>34761.19</v>
      </c>
      <c r="L70" s="55" t="n">
        <v>88791.55</v>
      </c>
      <c r="M70" s="55" t="n">
        <v>130830.66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56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22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60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56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7">
        <f>SUM(AC72:AH72)+SUM(AI72:AN72)</f>
        <v/>
      </c>
      <c r="AP72" s="145">
        <f>IF(AB72&lt;&gt;0,(AO72-AB72)/ABS(AB72),0)</f>
        <v/>
      </c>
    </row>
    <row r="73">
      <c r="A73" s="22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60">
        <f>SUM(B73:M73)</f>
        <v/>
      </c>
      <c r="O73" s="8" t="n"/>
      <c r="P73" s="8" t="n"/>
      <c r="Q73" s="8" t="n"/>
      <c r="R73" s="8" t="n"/>
      <c r="S73" s="8" t="n"/>
      <c r="T73" s="8" t="n"/>
      <c r="U73" s="8" t="n"/>
      <c r="V73" s="20" t="n"/>
      <c r="W73" s="20" t="n"/>
      <c r="X73" s="20" t="n"/>
      <c r="Y73" s="20" t="n"/>
      <c r="Z73" s="20" t="n"/>
      <c r="AA73" s="56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134" t="n">
        <v>0</v>
      </c>
      <c r="AJ73" s="134" t="n">
        <v>0</v>
      </c>
      <c r="AK73" s="134" t="n">
        <v>0</v>
      </c>
      <c r="AL73" s="134" t="n">
        <v>0</v>
      </c>
      <c r="AM73" s="134" t="n">
        <v>0</v>
      </c>
      <c r="AN73" s="134" t="n">
        <v>0</v>
      </c>
      <c r="AO73" s="147">
        <f>SUM(AC73:AH73)+SUM(AI73:AN73)</f>
        <v/>
      </c>
      <c r="AP73" s="145">
        <f>IF(AB73&lt;&gt;0,(AO73-AB73)/ABS(AB73),0)</f>
        <v/>
      </c>
    </row>
    <row r="74">
      <c r="A74" s="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60">
        <f>SUM(B74:M74)</f>
        <v/>
      </c>
      <c r="O74" s="8" t="n"/>
      <c r="P74" s="8" t="n"/>
      <c r="Q74" s="8" t="n"/>
      <c r="R74" s="8" t="n"/>
      <c r="S74" s="8" t="n"/>
      <c r="T74" s="8" t="n"/>
      <c r="U74" s="8" t="n"/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134" t="n">
        <v>0</v>
      </c>
      <c r="AJ74" s="134" t="n">
        <v>0</v>
      </c>
      <c r="AK74" s="134" t="n">
        <v>0</v>
      </c>
      <c r="AL74" s="134" t="n">
        <v>0</v>
      </c>
      <c r="AM74" s="134" t="n">
        <v>0</v>
      </c>
      <c r="AN74" s="134" t="n">
        <v>0</v>
      </c>
      <c r="AO74" s="147">
        <f>SUM(AC74:AH74)+SUM(AI74:AN74)</f>
        <v/>
      </c>
      <c r="AP74" s="145">
        <f>IF(AB74&lt;&gt;0,(AO74-AB74)/ABS(AB74),0)</f>
        <v/>
      </c>
    </row>
    <row r="75">
      <c r="A75" s="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60">
        <f>SUM(B75:M75)</f>
        <v/>
      </c>
      <c r="O75" s="8" t="n"/>
      <c r="P75" s="8" t="n"/>
      <c r="Q75" s="8" t="n"/>
      <c r="R75" s="8" t="n"/>
      <c r="S75" s="8" t="n"/>
      <c r="T75" s="8" t="n"/>
      <c r="U75" s="8" t="n"/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134" t="n">
        <v>0</v>
      </c>
      <c r="AJ75" s="134" t="n">
        <v>0</v>
      </c>
      <c r="AK75" s="134" t="n">
        <v>0</v>
      </c>
      <c r="AL75" s="134" t="n">
        <v>0</v>
      </c>
      <c r="AM75" s="134" t="n">
        <v>0</v>
      </c>
      <c r="AN75" s="134" t="n">
        <v>0</v>
      </c>
      <c r="AO75" s="147">
        <f>SUM(AC75:AH75)+SUM(AI75:AN75)</f>
        <v/>
      </c>
      <c r="AP75" s="145">
        <f>IF(AB75&lt;&gt;0,(AO75-AB75)/ABS(AB75),0)</f>
        <v/>
      </c>
    </row>
    <row r="76">
      <c r="A76" s="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60">
        <f>SUM(B76:M76)</f>
        <v/>
      </c>
      <c r="O76" s="8" t="n"/>
      <c r="P76" s="8" t="n"/>
      <c r="Q76" s="8" t="n"/>
      <c r="R76" s="8" t="n"/>
      <c r="S76" s="8" t="n"/>
      <c r="T76" s="8" t="n"/>
      <c r="U76" s="8" t="n"/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134" t="n">
        <v>0</v>
      </c>
      <c r="AJ76" s="134" t="n">
        <v>0</v>
      </c>
      <c r="AK76" s="134" t="n">
        <v>0</v>
      </c>
      <c r="AL76" s="134" t="n">
        <v>0</v>
      </c>
      <c r="AM76" s="134" t="n">
        <v>0</v>
      </c>
      <c r="AN76" s="134" t="n">
        <v>0</v>
      </c>
      <c r="AO76" s="147">
        <f>SUM(AC76:AH76)+SUM(AI76:AN76)</f>
        <v/>
      </c>
      <c r="AP76" s="145">
        <f>IF(AB76&lt;&gt;0,(AO76-AB76)/ABS(AB76),0)</f>
        <v/>
      </c>
    </row>
    <row r="77">
      <c r="A77" s="22" t="inlineStr">
        <is>
          <t>Memo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60">
        <f>SUM(B77:M77)</f>
        <v/>
      </c>
      <c r="O77" s="8" t="n"/>
      <c r="P77" s="8" t="n"/>
      <c r="Q77" s="8" t="n"/>
      <c r="R77" s="8" t="n"/>
      <c r="S77" s="8" t="n"/>
      <c r="T77" s="8" t="n"/>
      <c r="U77" s="8" t="n"/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7">
        <f>SUM(AC77:AH77)+SUM(AI77:AN77)</f>
        <v/>
      </c>
      <c r="AP77" s="145">
        <f>IF(AB77&lt;&gt;0,(AO77-AB77)/ABS(AB77),0)</f>
        <v/>
      </c>
    </row>
    <row r="78">
      <c r="A78" s="34" t="inlineStr">
        <is>
          <t>Direct - Sales</t>
        </is>
      </c>
      <c r="B78" s="18" t="n">
        <v>155941.97</v>
      </c>
      <c r="C78" s="18" t="n">
        <v>173728.48</v>
      </c>
      <c r="D78" s="18" t="n">
        <v>194997.36</v>
      </c>
      <c r="E78" s="18" t="n">
        <v>168214.38</v>
      </c>
      <c r="F78" s="18" t="n">
        <v>143501.53</v>
      </c>
      <c r="G78" s="18" t="n">
        <v>175947.34</v>
      </c>
      <c r="H78" s="18" t="n">
        <v>212604.21</v>
      </c>
      <c r="I78" s="18" t="n">
        <v>132363.71</v>
      </c>
      <c r="J78" s="18" t="n">
        <v>132647.3</v>
      </c>
      <c r="K78" s="18" t="n">
        <v>130078.69</v>
      </c>
      <c r="L78" s="18" t="n">
        <v>182735.51</v>
      </c>
      <c r="M78" s="18" t="n">
        <v>221228.69</v>
      </c>
      <c r="N78" s="60">
        <f>SUM(B78:M78)</f>
        <v/>
      </c>
      <c r="O78" s="60">
        <f>-SUMIF('BW TB'!$T:$T,'BW P&amp;L'!$A78,'BW TB'!C:C)</f>
        <v/>
      </c>
      <c r="P78" s="60">
        <f>-SUMIF('BW TB'!$T:$T,'BW P&amp;L'!$A78,'BW TB'!D:D)</f>
        <v/>
      </c>
      <c r="Q78" s="60">
        <f>-SUMIF('BW TB'!$T:$T,'BW P&amp;L'!$A78,'BW TB'!E:E)</f>
        <v/>
      </c>
      <c r="R78" s="60">
        <f>-SUMIF('BW TB'!$T:$T,'BW P&amp;L'!$A78,'BW TB'!F:F)</f>
        <v/>
      </c>
      <c r="S78" s="60">
        <f>-SUMIF('BW TB'!$T:$T,'BW P&amp;L'!$A78,'BW TB'!G:G)</f>
        <v/>
      </c>
      <c r="T78" s="60">
        <f>-SUMIF('BW TB'!$T:$T,'BW P&amp;L'!$A78,'BW TB'!H:H)</f>
        <v/>
      </c>
      <c r="U78" s="60">
        <f>-SUMIF('BW TB'!$T:$T,'BW P&amp;L'!$A78,'BW TB'!I:I)</f>
        <v/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134" t="n">
        <v>0</v>
      </c>
      <c r="AJ78" s="134" t="n">
        <v>0</v>
      </c>
      <c r="AK78" s="134" t="n">
        <v>0</v>
      </c>
      <c r="AL78" s="134" t="n">
        <v>0</v>
      </c>
      <c r="AM78" s="134" t="n">
        <v>0</v>
      </c>
      <c r="AN78" s="134" t="n">
        <v>0</v>
      </c>
      <c r="AO78" s="147">
        <f>SUM(AC78:AH78)+SUM(AI78:AN78)</f>
        <v/>
      </c>
      <c r="AP78" s="145">
        <f>IF(AB78&lt;&gt;0,(AO78-AB78)/ABS(AB78),0)</f>
        <v/>
      </c>
    </row>
    <row r="79">
      <c r="A79" s="34" t="inlineStr">
        <is>
          <t>Direct - Staff Cost</t>
        </is>
      </c>
      <c r="B79" s="18" t="n">
        <v>-75514.88</v>
      </c>
      <c r="C79" s="18" t="n">
        <v>-66664.72000000002</v>
      </c>
      <c r="D79" s="18" t="n">
        <v>-67362.42</v>
      </c>
      <c r="E79" s="18" t="n">
        <v>-75839.88</v>
      </c>
      <c r="F79" s="18" t="n">
        <v>-81613.95</v>
      </c>
      <c r="G79" s="18" t="n">
        <v>-76925.33</v>
      </c>
      <c r="H79" s="18" t="n">
        <v>-84429.41</v>
      </c>
      <c r="I79" s="18" t="n">
        <v>-81352.47000000002</v>
      </c>
      <c r="J79" s="18" t="n">
        <v>-92076.14999999999</v>
      </c>
      <c r="K79" s="18" t="n">
        <v>-78664.33000000002</v>
      </c>
      <c r="L79" s="18" t="n">
        <v>-75195.24000000001</v>
      </c>
      <c r="M79" s="18" t="n">
        <v>-73304.81</v>
      </c>
      <c r="N79" s="60">
        <f>SUM(B79:M79)</f>
        <v/>
      </c>
      <c r="O79" s="60">
        <f>-SUMIF('BW TB'!$T:$T,'BW P&amp;L'!$A79,'BW TB'!C:C)</f>
        <v/>
      </c>
      <c r="P79" s="60">
        <f>-SUMIF('BW TB'!$T:$T,'BW P&amp;L'!$A79,'BW TB'!D:D)</f>
        <v/>
      </c>
      <c r="Q79" s="60">
        <f>-SUMIF('BW TB'!$T:$T,'BW P&amp;L'!$A79,'BW TB'!E:E)</f>
        <v/>
      </c>
      <c r="R79" s="60">
        <f>-SUMIF('BW TB'!$T:$T,'BW P&amp;L'!$A79,'BW TB'!F:F)</f>
        <v/>
      </c>
      <c r="S79" s="60">
        <f>-SUMIF('BW TB'!$T:$T,'BW P&amp;L'!$A79,'BW TB'!G:G)</f>
        <v/>
      </c>
      <c r="T79" s="60">
        <f>-SUMIF('BW TB'!$T:$T,'BW P&amp;L'!$A79,'BW TB'!H:H)</f>
        <v/>
      </c>
      <c r="U79" s="60">
        <f>-SUMIF('BW TB'!$T:$T,'BW P&amp;L'!$A79,'BW TB'!I:I)</f>
        <v/>
      </c>
      <c r="V79" s="20" t="n"/>
      <c r="W79" s="20" t="n"/>
      <c r="X79" s="20" t="n"/>
      <c r="Y79" s="20" t="n"/>
      <c r="Z79" s="20" t="n"/>
      <c r="AA79" s="60">
        <f>SUM(O79:T79)</f>
        <v/>
      </c>
      <c r="AB79" s="8" t="n"/>
      <c r="AC79" s="20" t="n"/>
      <c r="AD79" s="20" t="n"/>
      <c r="AE79" s="20" t="n"/>
      <c r="AF79" s="20" t="n"/>
      <c r="AG79" s="20" t="n"/>
      <c r="AH79" s="20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7">
        <f>SUM(AC79:AH79)+SUM(AI79:AN79)</f>
        <v/>
      </c>
      <c r="AP79" s="145">
        <f>IF(AB79&lt;&gt;0,(AO79-AB79)/ABS(AB79),0)</f>
        <v/>
      </c>
    </row>
    <row r="80">
      <c r="A80" s="60" t="inlineStr">
        <is>
          <t>Direct - Childcare Cost</t>
        </is>
      </c>
      <c r="B80" s="18" t="n">
        <v>-5324.83</v>
      </c>
      <c r="C80" s="18" t="n">
        <v>-7553.1</v>
      </c>
      <c r="D80" s="18" t="n">
        <v>-7044.840000000001</v>
      </c>
      <c r="E80" s="18" t="n">
        <v>-5409.81</v>
      </c>
      <c r="F80" s="18" t="n">
        <v>-7247.970000000001</v>
      </c>
      <c r="G80" s="18" t="n">
        <v>-8417.360000000001</v>
      </c>
      <c r="H80" s="18" t="n">
        <v>-6021.450000000002</v>
      </c>
      <c r="I80" s="18" t="n">
        <v>-5480.23</v>
      </c>
      <c r="J80" s="18" t="n">
        <v>-5104.349999999999</v>
      </c>
      <c r="K80" s="18" t="n">
        <v>-6636.539999999999</v>
      </c>
      <c r="L80" s="18" t="n">
        <v>-6638.48</v>
      </c>
      <c r="M80" s="18" t="n">
        <v>-5207.200000000001</v>
      </c>
      <c r="N80" s="60">
        <f>SUM(B80:M80)</f>
        <v/>
      </c>
      <c r="O80" s="60">
        <f>-SUMIF('BW TB'!$T:$T,'BW P&amp;L'!$A80,'BW TB'!C:C)</f>
        <v/>
      </c>
      <c r="P80" s="60">
        <f>-SUMIF('BW TB'!$T:$T,'BW P&amp;L'!$A80,'BW TB'!D:D)</f>
        <v/>
      </c>
      <c r="Q80" s="60">
        <f>-SUMIF('BW TB'!$T:$T,'BW P&amp;L'!$A80,'BW TB'!E:E)</f>
        <v/>
      </c>
      <c r="R80" s="60">
        <f>-SUMIF('BW TB'!$T:$T,'BW P&amp;L'!$A80,'BW TB'!F:F)</f>
        <v/>
      </c>
      <c r="S80" s="60">
        <f>-SUMIF('BW TB'!$T:$T,'BW P&amp;L'!$A80,'BW TB'!G:G)</f>
        <v/>
      </c>
      <c r="T80" s="60">
        <f>-SUMIF('BW TB'!$T:$T,'BW P&amp;L'!$A80,'BW TB'!H:H)</f>
        <v/>
      </c>
      <c r="U80" s="60">
        <f>-SUMIF('BW TB'!$T:$T,'BW P&amp;L'!$A80,'BW TB'!I:I)</f>
        <v/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7">
        <f>SUM(AC80:AH80)+SUM(AI80:AN80)</f>
        <v/>
      </c>
      <c r="AP80" s="145">
        <f>IF(AB80&lt;&gt;0,(AO80-AB80)/ABS(AB80),0)</f>
        <v/>
      </c>
    </row>
    <row r="81">
      <c r="A81" s="60" t="inlineStr">
        <is>
          <t>Direct - Premises &amp; Admin</t>
        </is>
      </c>
      <c r="B81" s="60" t="n">
        <v>-11428.8</v>
      </c>
      <c r="C81" s="60" t="n">
        <v>-11397.44</v>
      </c>
      <c r="D81" s="60" t="n">
        <v>-12879.79</v>
      </c>
      <c r="E81" s="60" t="n">
        <v>-15208.81</v>
      </c>
      <c r="F81" s="60" t="n">
        <v>-9401.230000000001</v>
      </c>
      <c r="G81" s="60" t="n">
        <v>-11022.52</v>
      </c>
      <c r="H81" s="60" t="n">
        <v>-12647.95</v>
      </c>
      <c r="I81" s="60" t="n">
        <v>-16122.24</v>
      </c>
      <c r="J81" s="60" t="n">
        <v>-12013.71</v>
      </c>
      <c r="K81" s="60" t="n">
        <v>-9677.17</v>
      </c>
      <c r="L81" s="60" t="n">
        <v>-11447.49</v>
      </c>
      <c r="M81" s="60" t="n">
        <v>-11585.54</v>
      </c>
      <c r="N81" s="60">
        <f>SUM(B81:M81)</f>
        <v/>
      </c>
      <c r="O81" s="60">
        <f>-SUMIF('BW TB'!$T:$T,'BW P&amp;L'!$A81,'BW TB'!C:C)</f>
        <v/>
      </c>
      <c r="P81" s="60">
        <f>-SUMIF('BW TB'!$T:$T,'BW P&amp;L'!$A81,'BW TB'!D:D)</f>
        <v/>
      </c>
      <c r="Q81" s="60">
        <f>-SUMIF('BW TB'!$T:$T,'BW P&amp;L'!$A81,'BW TB'!E:E)</f>
        <v/>
      </c>
      <c r="R81" s="60">
        <f>-SUMIF('BW TB'!$T:$T,'BW P&amp;L'!$A81,'BW TB'!F:F)</f>
        <v/>
      </c>
      <c r="S81" s="60">
        <f>-SUMIF('BW TB'!$T:$T,'BW P&amp;L'!$A81,'BW TB'!G:G)</f>
        <v/>
      </c>
      <c r="T81" s="60">
        <f>-SUMIF('BW TB'!$T:$T,'BW P&amp;L'!$A81,'BW TB'!H:H)</f>
        <v/>
      </c>
      <c r="U81" s="60">
        <f>-SUMIF('BW TB'!$T:$T,'BW P&amp;L'!$A81,'BW TB'!I:I)</f>
        <v/>
      </c>
      <c r="V81" s="60">
        <f>-SUMIF('BW TB'!$T:$T,'BW P&amp;L'!$A81,'BW TB'!J:J)</f>
        <v/>
      </c>
      <c r="W81" s="60">
        <f>-SUMIF('BW TB'!$T:$T,'BW P&amp;L'!$A81,'BW TB'!K:K)</f>
        <v/>
      </c>
      <c r="X81" s="60">
        <f>-SUMIF('BW TB'!$T:$T,'BW P&amp;L'!$A81,'BW TB'!L:L)</f>
        <v/>
      </c>
      <c r="Y81" s="60">
        <f>-SUMIF('BW TB'!$T:$T,'BW P&amp;L'!$A81,'BW TB'!M:M)</f>
        <v/>
      </c>
      <c r="Z81" s="60">
        <f>-SUMIF('BW TB'!$T:$T,'BW P&amp;L'!$A81,'BW TB'!N:N)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60" t="inlineStr">
        <is>
          <t>In-Direct - Staff Cost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60">
        <f>-SUMIF('BW TB'!$T:$T,'BW P&amp;L'!$A82,'BW TB'!C:C)</f>
        <v/>
      </c>
      <c r="P82" s="60">
        <f>-SUMIF('BW TB'!$T:$T,'BW P&amp;L'!$A82,'BW TB'!D:D)</f>
        <v/>
      </c>
      <c r="Q82" s="60">
        <f>-SUMIF('BW TB'!$T:$T,'BW P&amp;L'!$A82,'BW TB'!E:E)</f>
        <v/>
      </c>
      <c r="R82" s="60">
        <f>-SUMIF('BW TB'!$T:$T,'BW P&amp;L'!$A82,'BW TB'!F:F)</f>
        <v/>
      </c>
      <c r="S82" s="60">
        <f>-SUMIF('BW TB'!$T:$T,'BW P&amp;L'!$A82,'BW TB'!G:G)</f>
        <v/>
      </c>
      <c r="T82" s="60">
        <f>-SUMIF('BW TB'!$T:$T,'BW P&amp;L'!$A82,'BW TB'!H:H)</f>
        <v/>
      </c>
      <c r="U82" s="60">
        <f>-SUMIF('BW TB'!$T:$T,'BW P&amp;L'!$A82,'BW TB'!I:I)</f>
        <v/>
      </c>
      <c r="V82" s="60">
        <f>-SUMIF('BW TB'!$T:$T,'BW P&amp;L'!$A82,'BW TB'!J:J)</f>
        <v/>
      </c>
      <c r="W82" s="60">
        <f>-SUMIF('BW TB'!$T:$T,'BW P&amp;L'!$A82,'BW TB'!K:K)</f>
        <v/>
      </c>
      <c r="X82" s="60">
        <f>-SUMIF('BW TB'!$T:$T,'BW P&amp;L'!$A82,'BW TB'!L:L)</f>
        <v/>
      </c>
      <c r="Y82" s="60">
        <f>-SUMIF('BW TB'!$T:$T,'BW P&amp;L'!$A82,'BW TB'!M:M)</f>
        <v/>
      </c>
      <c r="Z82" s="60">
        <f>-SUMIF('BW TB'!$T:$T,'BW P&amp;L'!$A82,'BW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148" t="n">
        <v>0</v>
      </c>
      <c r="AJ82" s="148" t="n">
        <v>0</v>
      </c>
      <c r="AK82" s="148" t="n">
        <v>0</v>
      </c>
      <c r="AL82" s="148" t="n">
        <v>0</v>
      </c>
      <c r="AM82" s="148" t="n">
        <v>0</v>
      </c>
      <c r="AN82" s="148" t="n">
        <v>0</v>
      </c>
      <c r="AO82" s="149">
        <f>SUM(AC82:AH82)+SUM(AI82:AN82)</f>
        <v/>
      </c>
      <c r="AP82" s="145">
        <f>IF(AB82&lt;&gt;0,(AO82-AB82)/ABS(AB82),0)</f>
        <v/>
      </c>
    </row>
    <row r="83">
      <c r="A83" s="60" t="inlineStr">
        <is>
          <t>In-Direct - Overheads</t>
        </is>
      </c>
      <c r="B83" s="60" t="n">
        <v>-254.95</v>
      </c>
      <c r="C83" s="60" t="n">
        <v>-401.73</v>
      </c>
      <c r="D83" s="60" t="n">
        <v>-1226.28</v>
      </c>
      <c r="E83" s="60" t="n">
        <v>-308.58</v>
      </c>
      <c r="F83" s="60" t="n">
        <v>-510.86</v>
      </c>
      <c r="G83" s="60" t="n">
        <v>-1074.77</v>
      </c>
      <c r="H83" s="60" t="n">
        <v>-762.4400000000001</v>
      </c>
      <c r="I83" s="60" t="n">
        <v>-682.1700000000001</v>
      </c>
      <c r="J83" s="60" t="n">
        <v>-642.78</v>
      </c>
      <c r="K83" s="60" t="n">
        <v>-339.46</v>
      </c>
      <c r="L83" s="60" t="n">
        <v>-662.75</v>
      </c>
      <c r="M83" s="8" t="n"/>
      <c r="N83" s="8" t="n"/>
      <c r="O83" s="60">
        <f>-SUMIF('BW TB'!$T:$T,'BW P&amp;L'!$A83,'BW TB'!C:C)</f>
        <v/>
      </c>
      <c r="P83" s="60">
        <f>-SUMIF('BW TB'!$T:$T,'BW P&amp;L'!$A83,'BW TB'!D:D)</f>
        <v/>
      </c>
      <c r="Q83" s="60">
        <f>-SUMIF('BW TB'!$T:$T,'BW P&amp;L'!$A83,'BW TB'!E:E)</f>
        <v/>
      </c>
      <c r="R83" s="60">
        <f>-SUMIF('BW TB'!$T:$T,'BW P&amp;L'!$A83,'BW TB'!F:F)</f>
        <v/>
      </c>
      <c r="S83" s="60">
        <f>-SUMIF('BW TB'!$T:$T,'BW P&amp;L'!$A83,'BW TB'!G:G)</f>
        <v/>
      </c>
      <c r="T83" s="60">
        <f>-SUMIF('BW TB'!$T:$T,'BW P&amp;L'!$A83,'BW TB'!H:H)</f>
        <v/>
      </c>
      <c r="U83" s="60">
        <f>-SUMIF('BW TB'!$T:$T,'BW P&amp;L'!$A83,'BW TB'!I:I)</f>
        <v/>
      </c>
      <c r="V83" s="60">
        <f>-SUMIF('BW TB'!$T:$T,'BW P&amp;L'!$A83,'BW TB'!J:J)</f>
        <v/>
      </c>
      <c r="W83" s="60">
        <f>-SUMIF('BW TB'!$T:$T,'BW P&amp;L'!$A83,'BW TB'!K:K)</f>
        <v/>
      </c>
      <c r="X83" s="60">
        <f>-SUMIF('BW TB'!$T:$T,'BW P&amp;L'!$A83,'BW TB'!L:L)</f>
        <v/>
      </c>
      <c r="Y83" s="60">
        <f>-SUMIF('BW TB'!$T:$T,'BW P&amp;L'!$A83,'BW TB'!M:M)</f>
        <v/>
      </c>
      <c r="Z83" s="60">
        <f>-SUMIF('BW TB'!$T:$T,'BW P&amp;L'!$A83,'BW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48" t="n">
        <v>0</v>
      </c>
      <c r="AJ83" s="148" t="n">
        <v>0</v>
      </c>
      <c r="AK83" s="148" t="n">
        <v>0</v>
      </c>
      <c r="AL83" s="148" t="n">
        <v>0</v>
      </c>
      <c r="AM83" s="148" t="n">
        <v>0</v>
      </c>
      <c r="AN83" s="148" t="n">
        <v>0</v>
      </c>
      <c r="AO83" s="149">
        <f>SUM(AC83:AH83)+SUM(AI83:AN83)</f>
        <v/>
      </c>
      <c r="AP83" s="145">
        <f>IF(AB83&lt;&gt;0,(AO83-AB83)/ABS(AB83),0)</f>
        <v/>
      </c>
    </row>
    <row r="84" ht="15.75" customHeight="1">
      <c r="A84" s="64" t="n"/>
      <c r="B84" s="64" t="n">
        <v>63418.51</v>
      </c>
      <c r="C84" s="64" t="n">
        <v>87711.48999999996</v>
      </c>
      <c r="D84" s="64" t="n">
        <v>106484.03</v>
      </c>
      <c r="E84" s="64" t="n">
        <v>71447.29999999997</v>
      </c>
      <c r="F84" s="64" t="n">
        <v>44727.52</v>
      </c>
      <c r="G84" s="64" t="n">
        <v>78507.36000000002</v>
      </c>
      <c r="H84" s="64" t="n">
        <v>108742.96</v>
      </c>
      <c r="I84" s="64" t="n">
        <v>28726.59999999998</v>
      </c>
      <c r="J84" s="64" t="n">
        <v>22810.31</v>
      </c>
      <c r="K84" s="64" t="n">
        <v>34761.18999999999</v>
      </c>
      <c r="L84" s="64" t="n">
        <v>88791.55</v>
      </c>
      <c r="M84" s="64" t="n"/>
      <c r="N84" s="64" t="n"/>
      <c r="O84" s="64">
        <f>SUM(O78:O83)</f>
        <v/>
      </c>
      <c r="P84" s="64">
        <f>SUM(P78:P83)</f>
        <v/>
      </c>
      <c r="Q84" s="64">
        <f>SUM(Q78:Q83)</f>
        <v/>
      </c>
      <c r="R84" s="64">
        <f>SUM(R78:R83)</f>
        <v/>
      </c>
      <c r="S84" s="64">
        <f>SUM(S78:S83)</f>
        <v/>
      </c>
      <c r="T84" s="64">
        <f>SUM(T78:T83)</f>
        <v/>
      </c>
      <c r="U84" s="64">
        <f>SUM(U78:U83)</f>
        <v/>
      </c>
      <c r="V84" s="64">
        <f>SUM(V78:V83)</f>
        <v/>
      </c>
      <c r="W84" s="64">
        <f>SUM(W78:W83)</f>
        <v/>
      </c>
      <c r="X84" s="64">
        <f>SUM(X78:X83)</f>
        <v/>
      </c>
      <c r="Y84" s="64">
        <f>SUM(Y78:Y83)</f>
        <v/>
      </c>
      <c r="Z84" s="64">
        <f>SUM(Z78:Z83)</f>
        <v/>
      </c>
      <c r="AA84" s="8" t="n"/>
      <c r="AB84" s="8" t="n"/>
      <c r="AC84" s="64" t="n"/>
      <c r="AD84" s="64" t="n"/>
      <c r="AE84" s="64" t="n"/>
      <c r="AF84" s="64" t="n"/>
      <c r="AG84" s="64" t="n"/>
      <c r="AH84" s="64" t="n"/>
      <c r="AI84" s="134" t="n">
        <v>0</v>
      </c>
      <c r="AJ84" s="134" t="n">
        <v>0</v>
      </c>
      <c r="AK84" s="134" t="n">
        <v>0</v>
      </c>
      <c r="AL84" s="134" t="n">
        <v>0</v>
      </c>
      <c r="AM84" s="134" t="n">
        <v>0</v>
      </c>
      <c r="AN84" s="134" t="n">
        <v>0</v>
      </c>
      <c r="AO84" s="150">
        <f>SUM(AC84:AH84)+SUM(AI84:AN84)</f>
        <v/>
      </c>
      <c r="AP84" s="145">
        <f>IF(AB84&lt;&gt;0,(AO84-AB84)/ABS(AB84),0)</f>
        <v/>
      </c>
    </row>
    <row r="85" ht="15.75" customHeight="1">
      <c r="A85" s="8" t="n"/>
      <c r="B85" s="18" t="n">
        <v>0</v>
      </c>
      <c r="C85" s="18" t="n">
        <v>0</v>
      </c>
      <c r="D85" s="18" t="n">
        <v>0</v>
      </c>
      <c r="E85" s="18" t="n">
        <v>0</v>
      </c>
      <c r="F85" s="18" t="n">
        <v>0</v>
      </c>
      <c r="G85" s="18" t="n">
        <v>0</v>
      </c>
      <c r="H85" s="18" t="n">
        <v>0</v>
      </c>
      <c r="I85" s="18" t="n">
        <v>0</v>
      </c>
      <c r="J85" s="18" t="n">
        <v>0</v>
      </c>
      <c r="K85" s="18" t="n">
        <v>0</v>
      </c>
      <c r="L85" s="18" t="n">
        <v>0</v>
      </c>
      <c r="M85" s="18" t="n"/>
      <c r="N85" s="8" t="n"/>
      <c r="O85" s="60">
        <f>+O70-O84</f>
        <v/>
      </c>
      <c r="P85" s="60">
        <f>+P70-P84</f>
        <v/>
      </c>
      <c r="Q85" s="60">
        <f>+Q70-Q84</f>
        <v/>
      </c>
      <c r="R85" s="60">
        <f>+R70-R84</f>
        <v/>
      </c>
      <c r="S85" s="60">
        <f>+S70-S84</f>
        <v/>
      </c>
      <c r="T85" s="60">
        <f>+T70-T84</f>
        <v/>
      </c>
      <c r="U85" s="60">
        <f>+U70-U84</f>
        <v/>
      </c>
      <c r="V85" s="60">
        <f>+V70-V84</f>
        <v/>
      </c>
      <c r="W85" s="60">
        <f>+W70-W84</f>
        <v/>
      </c>
      <c r="X85" s="60">
        <f>+X70-X84</f>
        <v/>
      </c>
      <c r="Y85" s="60">
        <f>+Y70-Y84</f>
        <v/>
      </c>
      <c r="Z85" s="60">
        <f>+Z70-Z84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148" t="n">
        <v>0</v>
      </c>
      <c r="AJ85" s="148" t="n">
        <v>0</v>
      </c>
      <c r="AK85" s="148" t="n">
        <v>0</v>
      </c>
      <c r="AL85" s="148" t="n">
        <v>0</v>
      </c>
      <c r="AM85" s="148" t="n">
        <v>0</v>
      </c>
      <c r="AN85" s="148" t="n">
        <v>0</v>
      </c>
      <c r="AO85" s="149">
        <f>SUM(AC85:AH85)+SUM(AI85:AN85)</f>
        <v/>
      </c>
      <c r="AP85" s="145">
        <f>IF(AB85&lt;&gt;0,(AO85-AB85)/ABS(AB85),0)</f>
        <v/>
      </c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60" t="n">
        <v>0</v>
      </c>
      <c r="C87" s="60" t="n">
        <v>0</v>
      </c>
      <c r="D87" s="60" t="n">
        <v>0</v>
      </c>
      <c r="E87" s="60" t="n">
        <v>0</v>
      </c>
      <c r="F87" s="60" t="n">
        <v>0</v>
      </c>
      <c r="G87" s="60" t="n">
        <v>0</v>
      </c>
      <c r="H87" s="60" t="n">
        <v>0</v>
      </c>
      <c r="I87" s="60" t="n">
        <v>0</v>
      </c>
      <c r="J87" s="60" t="n">
        <v>0</v>
      </c>
      <c r="K87" s="8" t="n"/>
      <c r="L87" s="8" t="n"/>
      <c r="M87" s="8" t="n"/>
      <c r="N87" s="8" t="n"/>
      <c r="O87" s="60">
        <f>O84+O88</f>
        <v/>
      </c>
      <c r="P87" s="60">
        <f>P84+P88</f>
        <v/>
      </c>
      <c r="Q87" s="60">
        <f>Q84+Q88</f>
        <v/>
      </c>
      <c r="R87" s="60">
        <f>R84+R88</f>
        <v/>
      </c>
      <c r="S87" s="60">
        <f>S84+S88</f>
        <v/>
      </c>
      <c r="T87" s="60">
        <f>T84+T88</f>
        <v/>
      </c>
      <c r="U87" s="60">
        <f>U84+U88</f>
        <v/>
      </c>
      <c r="V87" s="60">
        <f>V84+V88</f>
        <v/>
      </c>
      <c r="W87" s="60">
        <f>W84+W88</f>
        <v/>
      </c>
      <c r="X87" s="60">
        <f>X84+X88</f>
        <v/>
      </c>
      <c r="Y87" s="60">
        <f>Y84+Y88</f>
        <v/>
      </c>
      <c r="Z87" s="60">
        <f>Z84+Z88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48" t="n">
        <v>0</v>
      </c>
      <c r="AJ87" s="148" t="n">
        <v>0</v>
      </c>
      <c r="AK87" s="148" t="n">
        <v>0</v>
      </c>
      <c r="AL87" s="148" t="n">
        <v>0</v>
      </c>
      <c r="AM87" s="148" t="n">
        <v>0</v>
      </c>
      <c r="AN87" s="148" t="n">
        <v>0</v>
      </c>
      <c r="AO87" s="149">
        <f>SUM(AC87:AH87)+SUM(AI87:AN87)</f>
        <v/>
      </c>
      <c r="AP87" s="145">
        <f>IF(AB87&lt;&gt;0,(AO87-AB87)/ABS(AB87),0)</f>
        <v/>
      </c>
    </row>
    <row r="88">
      <c r="A88" s="8" t="n"/>
      <c r="B88" s="18" t="n">
        <v>-63418.50999999998</v>
      </c>
      <c r="C88" s="18" t="n">
        <v>-87711.49000000001</v>
      </c>
      <c r="D88" s="18" t="n">
        <v>-106484.03</v>
      </c>
      <c r="E88" s="18" t="n">
        <v>-71447.29999999996</v>
      </c>
      <c r="F88" s="18" t="n">
        <v>-44727.52000000003</v>
      </c>
      <c r="G88" s="18" t="n">
        <v>-78507.36000000003</v>
      </c>
      <c r="H88" s="18" t="n">
        <v>-108742.96</v>
      </c>
      <c r="I88" s="18" t="n">
        <v>-28726.59999999998</v>
      </c>
      <c r="J88" s="18" t="n">
        <v>-22810.30999999999</v>
      </c>
      <c r="K88" s="18" t="n"/>
      <c r="L88" s="18" t="n"/>
      <c r="M88" s="18" t="n"/>
      <c r="N88" s="8" t="n"/>
      <c r="O88" s="60">
        <f>SUM('BW TB'!C2:C47)</f>
        <v/>
      </c>
      <c r="P88" s="60">
        <f>SUM('BW TB'!D2:D47)</f>
        <v/>
      </c>
      <c r="Q88" s="60">
        <f>SUM('BW TB'!E2:E47)</f>
        <v/>
      </c>
      <c r="R88" s="60">
        <f>SUM('BW TB'!F2:F47)</f>
        <v/>
      </c>
      <c r="S88" s="60">
        <f>SUM('BW TB'!G2:G47)</f>
        <v/>
      </c>
      <c r="T88" s="60">
        <f>SUM('BW TB'!H2:H47)</f>
        <v/>
      </c>
      <c r="U88" s="60">
        <f>SUM('BW TB'!I2:I47)</f>
        <v/>
      </c>
      <c r="V88" s="60">
        <f>SUM('BW TB'!J2:J47)</f>
        <v/>
      </c>
      <c r="W88" s="60">
        <f>SUM('BW TB'!K2:K47)</f>
        <v/>
      </c>
      <c r="X88" s="60">
        <f>SUM('BW TB'!L2:L47)</f>
        <v/>
      </c>
      <c r="Y88" s="60">
        <f>SUM('BW TB'!M2:M47)</f>
        <v/>
      </c>
      <c r="Z88" s="60">
        <f>SUM('BW TB'!N2:N47)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48" t="n">
        <v>0</v>
      </c>
      <c r="AJ88" s="148" t="n">
        <v>0</v>
      </c>
      <c r="AK88" s="148" t="n">
        <v>0</v>
      </c>
      <c r="AL88" s="148" t="n">
        <v>0</v>
      </c>
      <c r="AM88" s="148" t="n">
        <v>0</v>
      </c>
      <c r="AN88" s="148" t="n">
        <v>0</v>
      </c>
      <c r="AO88" s="149">
        <f>SUM(AC88:AH88)+SUM(AI88:AN88)</f>
        <v/>
      </c>
      <c r="AP88" s="145">
        <f>IF(AB88&lt;&gt;0,(AO88-AB88)/ABS(AB88),0)</f>
        <v/>
      </c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570312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Cedars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23814.44</v>
      </c>
      <c r="C8" s="35" t="n">
        <v>20657.57</v>
      </c>
      <c r="D8" s="35" t="n">
        <v>26472.4</v>
      </c>
      <c r="E8" s="35" t="n">
        <v>28682.3</v>
      </c>
      <c r="F8" s="35" t="n">
        <v>21069.85</v>
      </c>
      <c r="G8" s="35" t="n">
        <v>21588.68</v>
      </c>
      <c r="H8" s="35" t="n">
        <v>29637.32</v>
      </c>
      <c r="I8" s="35" t="n">
        <v>22500.55</v>
      </c>
      <c r="J8" s="35" t="n">
        <v>19945.64</v>
      </c>
      <c r="K8" s="35" t="n">
        <v>19659.5</v>
      </c>
      <c r="L8" s="35" t="n">
        <v>18229.14</v>
      </c>
      <c r="M8" s="35" t="n">
        <v>23118.77</v>
      </c>
      <c r="N8" s="36">
        <f>SUM(B8:M8)</f>
        <v/>
      </c>
      <c r="O8" s="37" t="n">
        <v>22240.66</v>
      </c>
      <c r="P8" s="37" t="n">
        <v>18321.22</v>
      </c>
      <c r="Q8" s="37" t="n">
        <v>22883.27999999999</v>
      </c>
      <c r="R8" s="37" t="n">
        <v>22685.93</v>
      </c>
      <c r="S8" s="37" t="n">
        <v>18910.69</v>
      </c>
      <c r="T8" s="37" t="n">
        <v>20776.58</v>
      </c>
      <c r="U8" s="37" t="n">
        <v>25818.48</v>
      </c>
      <c r="V8" s="38" t="n">
        <v>18654</v>
      </c>
      <c r="W8" s="38" t="n">
        <v>11835</v>
      </c>
      <c r="X8" s="38" t="n">
        <v>12126</v>
      </c>
      <c r="Y8" s="38" t="n">
        <v>14161</v>
      </c>
      <c r="Z8" s="38" t="n">
        <v>21018</v>
      </c>
      <c r="AA8" s="36">
        <f>SUM(O8:U8)</f>
        <v/>
      </c>
      <c r="AB8" s="36">
        <f>SUM(O8:Z8)</f>
        <v/>
      </c>
      <c r="AC8" s="38" t="n">
        <v>28315.98</v>
      </c>
      <c r="AD8" s="38" t="n">
        <v>26840.28</v>
      </c>
      <c r="AE8" s="38" t="n">
        <v>31507.8</v>
      </c>
      <c r="AF8" s="38" t="n">
        <v>30543.59</v>
      </c>
      <c r="AG8" s="38" t="n">
        <v>30885.6</v>
      </c>
      <c r="AH8" s="38" t="n">
        <v>33002.04</v>
      </c>
      <c r="AI8" s="117" t="n">
        <v>33002.04</v>
      </c>
      <c r="AJ8" s="118" t="n">
        <v>33002.04</v>
      </c>
      <c r="AK8" s="118" t="n">
        <v>33002.04</v>
      </c>
      <c r="AL8" s="118" t="n">
        <v>33002.04</v>
      </c>
      <c r="AM8" s="119" t="n">
        <v>33002.04</v>
      </c>
      <c r="AN8" s="117" t="n">
        <v>33002.04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5791.72</v>
      </c>
      <c r="C9" s="35" t="n">
        <v>14479.3</v>
      </c>
      <c r="D9" s="35" t="n">
        <v>15684.58</v>
      </c>
      <c r="E9" s="35" t="n">
        <v>5185.26</v>
      </c>
      <c r="F9" s="35" t="n">
        <v>5185.26</v>
      </c>
      <c r="G9" s="35" t="n">
        <v>15608.08</v>
      </c>
      <c r="H9" s="35" t="n">
        <v>13375.26</v>
      </c>
      <c r="I9" s="35" t="n">
        <v>0</v>
      </c>
      <c r="J9" s="35" t="n">
        <v>5986.21</v>
      </c>
      <c r="K9" s="35" t="n">
        <v>12205.6</v>
      </c>
      <c r="L9" s="35" t="n">
        <v>12205.6</v>
      </c>
      <c r="M9" s="35" t="n">
        <v>16957.76</v>
      </c>
      <c r="N9" s="36">
        <f>SUM(B9:M9)</f>
        <v/>
      </c>
      <c r="O9" s="37" t="n">
        <v>6629.51</v>
      </c>
      <c r="P9" s="37" t="n">
        <v>17491.45</v>
      </c>
      <c r="Q9" s="37" t="n">
        <v>17491.45</v>
      </c>
      <c r="R9" s="37" t="n">
        <v>12006.04</v>
      </c>
      <c r="S9" s="37" t="n">
        <v>12006.05</v>
      </c>
      <c r="T9" s="37" t="n">
        <v>12927.15</v>
      </c>
      <c r="U9" s="37" t="n">
        <v>12313.08</v>
      </c>
      <c r="V9" s="38" t="n"/>
      <c r="W9" s="38" t="n">
        <v>8499</v>
      </c>
      <c r="X9" s="38" t="n">
        <v>9777</v>
      </c>
      <c r="Y9" s="38" t="n">
        <v>10656</v>
      </c>
      <c r="Z9" s="38" t="n">
        <v>6058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6.5" customHeight="1">
      <c r="A10" s="34" t="inlineStr">
        <is>
          <t>Other Income</t>
        </is>
      </c>
      <c r="B10" s="35" t="n">
        <v>200</v>
      </c>
      <c r="C10" s="35" t="n">
        <v>200</v>
      </c>
      <c r="D10" s="35" t="n">
        <v>300</v>
      </c>
      <c r="E10" s="35" t="n">
        <v>0</v>
      </c>
      <c r="F10" s="35" t="n">
        <v>300</v>
      </c>
      <c r="G10" s="35" t="n">
        <v>300</v>
      </c>
      <c r="H10" s="35" t="n">
        <v>150</v>
      </c>
      <c r="I10" s="35" t="n">
        <v>0</v>
      </c>
      <c r="J10" s="35" t="n">
        <v>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 t="n">
        <v>650</v>
      </c>
      <c r="P10" s="37" t="n">
        <v>150</v>
      </c>
      <c r="Q10" s="37" t="n">
        <v>150</v>
      </c>
      <c r="R10" s="37" t="n">
        <v>150</v>
      </c>
      <c r="S10" s="37" t="n">
        <v>150</v>
      </c>
      <c r="T10" s="37" t="n">
        <v>150</v>
      </c>
      <c r="U10" s="37" t="n">
        <v>150</v>
      </c>
      <c r="V10" s="38" t="n"/>
      <c r="W10" s="38" t="n">
        <v>0</v>
      </c>
      <c r="X10" s="38" t="n">
        <v>0</v>
      </c>
      <c r="Y10" s="38" t="n">
        <v>0</v>
      </c>
      <c r="Z10" s="38" t="n">
        <v>0</v>
      </c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6.5" customHeight="1">
      <c r="A11" s="41" t="inlineStr">
        <is>
          <t>Total Income</t>
        </is>
      </c>
      <c r="B11" s="42" t="n">
        <v>29806.16</v>
      </c>
      <c r="C11" s="42" t="n">
        <v>35336.87</v>
      </c>
      <c r="D11" s="42" t="n">
        <v>42456.98</v>
      </c>
      <c r="E11" s="42" t="n">
        <v>33867.56</v>
      </c>
      <c r="F11" s="42" t="n">
        <v>26555.11</v>
      </c>
      <c r="G11" s="42" t="n">
        <v>37496.76</v>
      </c>
      <c r="H11" s="42" t="n">
        <v>43162.58</v>
      </c>
      <c r="I11" s="42" t="n">
        <v>22500.55</v>
      </c>
      <c r="J11" s="42" t="n">
        <v>25931.85</v>
      </c>
      <c r="K11" s="42" t="n">
        <v>32015.1</v>
      </c>
      <c r="L11" s="42" t="n">
        <v>30584.74</v>
      </c>
      <c r="M11" s="42" t="n">
        <v>40226.53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15964.89</v>
      </c>
      <c r="C16" s="35" t="n">
        <v>15432.95</v>
      </c>
      <c r="D16" s="35" t="n">
        <v>16980.77</v>
      </c>
      <c r="E16" s="35" t="n">
        <v>19492.28</v>
      </c>
      <c r="F16" s="35" t="n">
        <v>19492.07</v>
      </c>
      <c r="G16" s="35" t="n">
        <v>16093.17</v>
      </c>
      <c r="H16" s="35" t="n">
        <v>19196.5</v>
      </c>
      <c r="I16" s="35" t="n">
        <v>14959.37</v>
      </c>
      <c r="J16" s="35" t="n">
        <v>19873.92</v>
      </c>
      <c r="K16" s="35" t="n">
        <v>18038.34</v>
      </c>
      <c r="L16" s="35" t="n">
        <v>18266.77</v>
      </c>
      <c r="M16" s="35" t="n">
        <v>21533.17</v>
      </c>
      <c r="N16" s="36">
        <f>SUM(B16:M16)</f>
        <v/>
      </c>
      <c r="O16" s="37" t="n">
        <v>19941.96</v>
      </c>
      <c r="P16" s="37" t="n">
        <v>18433.95</v>
      </c>
      <c r="Q16" s="37" t="n">
        <v>16301.53</v>
      </c>
      <c r="R16" s="37" t="n">
        <v>22374.13</v>
      </c>
      <c r="S16" s="37" t="n">
        <v>22592.61</v>
      </c>
      <c r="T16" s="37" t="n">
        <v>21699.26</v>
      </c>
      <c r="U16" s="37" t="n">
        <v>22510.48</v>
      </c>
      <c r="V16" s="38" t="n">
        <v>22510.48</v>
      </c>
      <c r="W16" s="38" t="n">
        <v>22510.48</v>
      </c>
      <c r="X16" s="38" t="n">
        <v>22510.48</v>
      </c>
      <c r="Y16" s="38" t="n">
        <v>22510.48</v>
      </c>
      <c r="Z16" s="38" t="n">
        <v>22510.48</v>
      </c>
      <c r="AA16" s="36">
        <f>SUM(O16:U16)</f>
        <v/>
      </c>
      <c r="AB16" s="36">
        <f>SUM(O16:Z16)</f>
        <v/>
      </c>
      <c r="AC16" s="38" t="n">
        <v>22510.48</v>
      </c>
      <c r="AD16" s="38" t="n">
        <v>22510.48</v>
      </c>
      <c r="AE16" s="38" t="n">
        <v>22510.48</v>
      </c>
      <c r="AF16" s="38" t="n">
        <v>22510.48</v>
      </c>
      <c r="AG16" s="38" t="n">
        <v>22510.48</v>
      </c>
      <c r="AH16" s="38" t="n">
        <v>22510.48</v>
      </c>
      <c r="AI16" s="117" t="n">
        <v>22510.48</v>
      </c>
      <c r="AJ16" s="118" t="n">
        <v>22510.48</v>
      </c>
      <c r="AK16" s="118" t="n">
        <v>22510.48</v>
      </c>
      <c r="AL16" s="118" t="n">
        <v>22510.48</v>
      </c>
      <c r="AM16" s="119" t="n">
        <v>22510.48</v>
      </c>
      <c r="AN16" s="117" t="n">
        <v>22510.48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1212.08</v>
      </c>
      <c r="C17" s="35" t="n">
        <v>1115.32</v>
      </c>
      <c r="D17" s="35" t="n">
        <v>1300.33</v>
      </c>
      <c r="E17" s="35" t="n">
        <v>2055.72</v>
      </c>
      <c r="F17" s="35" t="n">
        <v>1957.17</v>
      </c>
      <c r="G17" s="35" t="n">
        <v>1471.56</v>
      </c>
      <c r="H17" s="35" t="n">
        <v>1976.99</v>
      </c>
      <c r="I17" s="35" t="n">
        <v>1386.1</v>
      </c>
      <c r="J17" s="35" t="n">
        <v>2097.99</v>
      </c>
      <c r="K17" s="35" t="n">
        <v>1993.75</v>
      </c>
      <c r="L17" s="35" t="n">
        <v>1962.85</v>
      </c>
      <c r="M17" s="35" t="n">
        <v>2264.02</v>
      </c>
      <c r="N17" s="36">
        <f>SUM(B17:M17)</f>
        <v/>
      </c>
      <c r="O17" s="37" t="n">
        <v>2075.7</v>
      </c>
      <c r="P17" s="37" t="n">
        <v>2156.24</v>
      </c>
      <c r="Q17" s="37" t="n">
        <v>2109.88</v>
      </c>
      <c r="R17" s="37" t="n">
        <v>2614.86</v>
      </c>
      <c r="S17" s="37" t="n">
        <v>2663.12</v>
      </c>
      <c r="T17" s="37" t="n">
        <v>2437.78</v>
      </c>
      <c r="U17" s="37" t="n">
        <v>2763.77</v>
      </c>
      <c r="V17" s="38" t="n">
        <v>2763.77</v>
      </c>
      <c r="W17" s="38" t="n">
        <v>2763.77</v>
      </c>
      <c r="X17" s="38" t="n">
        <v>2763.77</v>
      </c>
      <c r="Y17" s="38" t="n">
        <v>2763.77</v>
      </c>
      <c r="Z17" s="38" t="n">
        <v>2763.77</v>
      </c>
      <c r="AA17" s="36">
        <f>SUM(O17:U17)</f>
        <v/>
      </c>
      <c r="AB17" s="36">
        <f>SUM(O17:Z17)</f>
        <v/>
      </c>
      <c r="AC17" s="38" t="n">
        <v>2763.77</v>
      </c>
      <c r="AD17" s="38" t="n">
        <v>2763.77</v>
      </c>
      <c r="AE17" s="38" t="n">
        <v>2763.77</v>
      </c>
      <c r="AF17" s="38" t="n">
        <v>2763.77</v>
      </c>
      <c r="AG17" s="38" t="n">
        <v>2763.77</v>
      </c>
      <c r="AH17" s="38" t="n">
        <v>2763.77</v>
      </c>
      <c r="AI17" s="117" t="n">
        <v>2763.77</v>
      </c>
      <c r="AJ17" s="118" t="n">
        <v>2763.77</v>
      </c>
      <c r="AK17" s="118" t="n">
        <v>2763.77</v>
      </c>
      <c r="AL17" s="118" t="n">
        <v>2763.77</v>
      </c>
      <c r="AM17" s="119" t="n">
        <v>2763.77</v>
      </c>
      <c r="AN17" s="117" t="n">
        <v>2763.77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216.18</v>
      </c>
      <c r="C18" s="35" t="n">
        <v>203.88</v>
      </c>
      <c r="D18" s="35" t="n">
        <v>196.57</v>
      </c>
      <c r="E18" s="35" t="n">
        <v>233.26</v>
      </c>
      <c r="F18" s="35" t="n">
        <v>228.75</v>
      </c>
      <c r="G18" s="35" t="n">
        <v>190.93</v>
      </c>
      <c r="H18" s="35" t="n">
        <v>276.28</v>
      </c>
      <c r="I18" s="35" t="n">
        <v>243.1</v>
      </c>
      <c r="J18" s="35" t="n">
        <v>298.73</v>
      </c>
      <c r="K18" s="35" t="n">
        <v>272.53</v>
      </c>
      <c r="L18" s="35" t="n">
        <v>352.17</v>
      </c>
      <c r="M18" s="35" t="n">
        <v>373.97</v>
      </c>
      <c r="N18" s="36">
        <f>SUM(B18:M18)</f>
        <v/>
      </c>
      <c r="O18" s="37" t="n">
        <v>390.39</v>
      </c>
      <c r="P18" s="37" t="n">
        <v>333.89</v>
      </c>
      <c r="Q18" s="37" t="n">
        <v>284.46</v>
      </c>
      <c r="R18" s="37" t="n">
        <v>420.57</v>
      </c>
      <c r="S18" s="37" t="n">
        <v>427.46</v>
      </c>
      <c r="T18" s="37" t="n">
        <v>446.28</v>
      </c>
      <c r="U18" s="37" t="n">
        <v>478.22</v>
      </c>
      <c r="V18" s="38" t="n">
        <v>478.22</v>
      </c>
      <c r="W18" s="38" t="n">
        <v>478.22</v>
      </c>
      <c r="X18" s="38" t="n">
        <v>478.22</v>
      </c>
      <c r="Y18" s="38" t="n">
        <v>478.22</v>
      </c>
      <c r="Z18" s="38" t="n">
        <v>478.22</v>
      </c>
      <c r="AA18" s="36">
        <f>SUM(O18:U18)</f>
        <v/>
      </c>
      <c r="AB18" s="36">
        <f>SUM(O18:Z18)</f>
        <v/>
      </c>
      <c r="AC18" s="38" t="n">
        <v>478.22</v>
      </c>
      <c r="AD18" s="38" t="n">
        <v>478.22</v>
      </c>
      <c r="AE18" s="38" t="n">
        <v>478.22</v>
      </c>
      <c r="AF18" s="38" t="n">
        <v>478.22</v>
      </c>
      <c r="AG18" s="38" t="n">
        <v>478.22</v>
      </c>
      <c r="AH18" s="38" t="n">
        <v>478.22</v>
      </c>
      <c r="AI18" s="117" t="n">
        <v>478.22</v>
      </c>
      <c r="AJ18" s="118" t="n">
        <v>478.22</v>
      </c>
      <c r="AK18" s="118" t="n">
        <v>478.22</v>
      </c>
      <c r="AL18" s="118" t="n">
        <v>478.22</v>
      </c>
      <c r="AM18" s="119" t="n">
        <v>478.22</v>
      </c>
      <c r="AN18" s="117" t="n">
        <v>478.22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524.28</v>
      </c>
      <c r="D19" s="35" t="n">
        <v>0</v>
      </c>
      <c r="E19" s="35" t="n">
        <v>0</v>
      </c>
      <c r="F19" s="35" t="n">
        <v>100.14</v>
      </c>
      <c r="G19" s="35" t="n">
        <v>100.14</v>
      </c>
      <c r="H19" s="35" t="n">
        <v>0</v>
      </c>
      <c r="I19" s="35" t="n">
        <v>0</v>
      </c>
      <c r="J19" s="35" t="n">
        <v>262.56</v>
      </c>
      <c r="K19" s="35" t="n">
        <v>0</v>
      </c>
      <c r="L19" s="35" t="n">
        <v>0</v>
      </c>
      <c r="M19" s="35" t="n">
        <v>100.14</v>
      </c>
      <c r="N19" s="36">
        <f>SUM(B19:M19)</f>
        <v/>
      </c>
      <c r="O19" s="37" t="n">
        <v>6.99</v>
      </c>
      <c r="P19" s="37" t="n">
        <v>0</v>
      </c>
      <c r="Q19" s="37" t="n">
        <v>0</v>
      </c>
      <c r="R19" s="37" t="n">
        <v>133.87</v>
      </c>
      <c r="S19" s="37" t="n">
        <v>0</v>
      </c>
      <c r="T19" s="37" t="n">
        <v>0</v>
      </c>
      <c r="U19" s="37" t="n">
        <v>0</v>
      </c>
      <c r="V19" s="38" t="n">
        <v>6.99</v>
      </c>
      <c r="W19" s="38" t="n">
        <v>6.99</v>
      </c>
      <c r="X19" s="38" t="n">
        <v>6.99</v>
      </c>
      <c r="Y19" s="38" t="n">
        <v>6.99</v>
      </c>
      <c r="Z19" s="38" t="n">
        <v>6.99</v>
      </c>
      <c r="AA19" s="36">
        <f>SUM(O19:U19)</f>
        <v/>
      </c>
      <c r="AB19" s="36">
        <f>SUM(O19:Z19)</f>
        <v/>
      </c>
      <c r="AC19" s="38" t="n">
        <v>6.99</v>
      </c>
      <c r="AD19" s="38" t="n">
        <v>6.99</v>
      </c>
      <c r="AE19" s="38" t="n">
        <v>6.99</v>
      </c>
      <c r="AF19" s="38" t="n">
        <v>6.99</v>
      </c>
      <c r="AG19" s="38" t="n">
        <v>6.99</v>
      </c>
      <c r="AH19" s="38" t="n">
        <v>6.99</v>
      </c>
      <c r="AI19" s="117" t="n">
        <v>6.99</v>
      </c>
      <c r="AJ19" s="118" t="n">
        <v>6.99</v>
      </c>
      <c r="AK19" s="118" t="n">
        <v>6.99</v>
      </c>
      <c r="AL19" s="118" t="n">
        <v>6.99</v>
      </c>
      <c r="AM19" s="119" t="n">
        <v>6.99</v>
      </c>
      <c r="AN19" s="117" t="n">
        <v>6.99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48</v>
      </c>
      <c r="C20" s="35" t="n">
        <v>78</v>
      </c>
      <c r="D20" s="35" t="n">
        <v>0</v>
      </c>
      <c r="E20" s="35" t="n">
        <v>0</v>
      </c>
      <c r="F20" s="35" t="n">
        <v>0</v>
      </c>
      <c r="G20" s="35" t="n">
        <v>72</v>
      </c>
      <c r="H20" s="35" t="n">
        <v>0</v>
      </c>
      <c r="I20" s="35" t="n">
        <v>0</v>
      </c>
      <c r="J20" s="35" t="n">
        <v>216</v>
      </c>
      <c r="K20" s="35" t="n">
        <v>916</v>
      </c>
      <c r="L20" s="35" t="n">
        <v>10</v>
      </c>
      <c r="M20" s="35" t="n">
        <v>686.49</v>
      </c>
      <c r="N20" s="36">
        <f>SUM(B20:M20)</f>
        <v/>
      </c>
      <c r="O20" s="37" t="n">
        <v>388.79</v>
      </c>
      <c r="P20" s="37" t="n">
        <v>0</v>
      </c>
      <c r="Q20" s="37" t="n">
        <v>24</v>
      </c>
      <c r="R20" s="37" t="n">
        <v>0</v>
      </c>
      <c r="S20" s="37" t="n">
        <v>0</v>
      </c>
      <c r="T20" s="37" t="n">
        <v>0</v>
      </c>
      <c r="U20" s="37" t="n">
        <v>0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7" t="n">
        <v>100</v>
      </c>
      <c r="AJ20" s="118" t="n">
        <v>100</v>
      </c>
      <c r="AK20" s="118" t="n">
        <v>100</v>
      </c>
      <c r="AL20" s="118" t="n">
        <v>100</v>
      </c>
      <c r="AM20" s="119" t="n">
        <v>100</v>
      </c>
      <c r="AN20" s="117" t="n">
        <v>100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10</v>
      </c>
      <c r="C21" s="35" t="n">
        <v>108.63</v>
      </c>
      <c r="D21" s="35" t="n">
        <v>61.08</v>
      </c>
      <c r="E21" s="35" t="n">
        <v>109.86</v>
      </c>
      <c r="F21" s="35" t="n">
        <v>137.21</v>
      </c>
      <c r="G21" s="35" t="n">
        <v>52.06</v>
      </c>
      <c r="H21" s="35" t="n">
        <v>92.56999999999999</v>
      </c>
      <c r="I21" s="35" t="n">
        <v>92.28</v>
      </c>
      <c r="J21" s="35" t="n">
        <v>92.52</v>
      </c>
      <c r="K21" s="35" t="n">
        <v>68.13</v>
      </c>
      <c r="L21" s="35" t="n">
        <v>161.98</v>
      </c>
      <c r="M21" s="35" t="n">
        <v>194.07</v>
      </c>
      <c r="N21" s="36">
        <f>SUM(B21:M21)</f>
        <v/>
      </c>
      <c r="O21" s="37" t="n">
        <v>125.23</v>
      </c>
      <c r="P21" s="37" t="n">
        <v>203.51</v>
      </c>
      <c r="Q21" s="37" t="n">
        <v>281.37</v>
      </c>
      <c r="R21" s="37" t="n">
        <v>239.69</v>
      </c>
      <c r="S21" s="37" t="n">
        <v>156.06</v>
      </c>
      <c r="T21" s="37" t="n">
        <v>149.88</v>
      </c>
      <c r="U21" s="37" t="n">
        <v>224.47</v>
      </c>
      <c r="V21" s="38" t="n">
        <v>150</v>
      </c>
      <c r="W21" s="38" t="n">
        <v>150</v>
      </c>
      <c r="X21" s="38" t="n">
        <v>150</v>
      </c>
      <c r="Y21" s="38" t="n">
        <v>150</v>
      </c>
      <c r="Z21" s="38" t="n">
        <v>150</v>
      </c>
      <c r="AA21" s="36">
        <f>SUM(O21:U21)</f>
        <v/>
      </c>
      <c r="AB21" s="36">
        <f>SUM(O21:Z21)</f>
        <v/>
      </c>
      <c r="AC21" s="38" t="n">
        <v>150</v>
      </c>
      <c r="AD21" s="38" t="n">
        <v>150</v>
      </c>
      <c r="AE21" s="38" t="n">
        <v>150</v>
      </c>
      <c r="AF21" s="38" t="n">
        <v>150</v>
      </c>
      <c r="AG21" s="38" t="n">
        <v>150</v>
      </c>
      <c r="AH21" s="38" t="n">
        <v>150</v>
      </c>
      <c r="AI21" s="117" t="n">
        <v>150</v>
      </c>
      <c r="AJ21" s="118" t="n">
        <v>150</v>
      </c>
      <c r="AK21" s="118" t="n">
        <v>150</v>
      </c>
      <c r="AL21" s="118" t="n">
        <v>150</v>
      </c>
      <c r="AM21" s="119" t="n">
        <v>150</v>
      </c>
      <c r="AN21" s="117" t="n">
        <v>150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5040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3650.4</v>
      </c>
      <c r="N22" s="36">
        <f>SUM(B22:M22)</f>
        <v/>
      </c>
      <c r="O22" s="37">
        <f>SUMIF('CED TB'!$R:$R,'CED P&amp;L'!$A22,'CED TB'!C:C)</f>
        <v/>
      </c>
      <c r="P22" s="37">
        <f>SUMIF('CED TB'!$R:$R,'CED P&amp;L'!$A22,'CED TB'!D:D)</f>
        <v/>
      </c>
      <c r="Q22" s="37">
        <f>SUMIF('CED TB'!$R:$R,'CED P&amp;L'!$A22,'CED TB'!E:E)</f>
        <v/>
      </c>
      <c r="R22" s="37">
        <f>SUMIF('CED TB'!$R:$R,'CED P&amp;L'!$A22,'CED TB'!F:F)</f>
        <v/>
      </c>
      <c r="S22" s="37">
        <f>SUMIF('CED TB'!$R:$R,'CED P&amp;L'!$A22,'CED TB'!G:G)</f>
        <v/>
      </c>
      <c r="T22" s="37">
        <f>SUMIF('CED TB'!$R:$R,'CED P&amp;L'!$A22,'CED TB'!H:H)</f>
        <v/>
      </c>
      <c r="U22" s="37">
        <f>SUMIF('CED TB'!$R:$R,'CED P&amp;L'!$A22,'CED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10</v>
      </c>
      <c r="I23" s="35" t="n">
        <v>10</v>
      </c>
      <c r="J23" s="35" t="n">
        <v>0</v>
      </c>
      <c r="K23" s="35" t="n">
        <v>0</v>
      </c>
      <c r="L23" s="35" t="n">
        <v>0</v>
      </c>
      <c r="M23" s="35" t="n">
        <v>12.99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35.95</v>
      </c>
      <c r="U23" s="37" t="n">
        <v>66.90000000000001</v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117" t="n">
        <v>42</v>
      </c>
      <c r="AJ23" s="118" t="n">
        <v>42</v>
      </c>
      <c r="AK23" s="118" t="n">
        <v>42</v>
      </c>
      <c r="AL23" s="118" t="n">
        <v>42</v>
      </c>
      <c r="AM23" s="119" t="n">
        <v>42</v>
      </c>
      <c r="AN23" s="117" t="n">
        <v>42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SUMIF('CED TB'!$R:$R,'CED P&amp;L'!$A24,'CED TB'!C:C)</f>
        <v/>
      </c>
      <c r="P24" s="37">
        <f>SUMIF('CED TB'!$R:$R,'CED P&amp;L'!$A24,'CED TB'!D:D)</f>
        <v/>
      </c>
      <c r="Q24" s="37">
        <f>SUMIF('CED TB'!$R:$R,'CED P&amp;L'!$A24,'CED TB'!E:E)</f>
        <v/>
      </c>
      <c r="R24" s="37">
        <f>SUMIF('CED TB'!$R:$R,'CED P&amp;L'!$A24,'CED TB'!F:F)</f>
        <v/>
      </c>
      <c r="S24" s="37">
        <f>SUMIF('CED TB'!$R:$R,'CED P&amp;L'!$A24,'CED TB'!G:G)</f>
        <v/>
      </c>
      <c r="T24" s="37">
        <f>SUMIF('CED TB'!$R:$R,'CED P&amp;L'!$A24,'CED TB'!H:H)</f>
        <v/>
      </c>
      <c r="U24" s="37">
        <f>SUMIF('CED TB'!$R:$R,'CED P&amp;L'!$A24,'CED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17451.15</v>
      </c>
      <c r="C25" s="42" t="n">
        <v>22503.06</v>
      </c>
      <c r="D25" s="42" t="n">
        <v>18538.75</v>
      </c>
      <c r="E25" s="42" t="n">
        <v>21891.12</v>
      </c>
      <c r="F25" s="42" t="n">
        <v>21915.34</v>
      </c>
      <c r="G25" s="42" t="n">
        <v>17979.86</v>
      </c>
      <c r="H25" s="42" t="n">
        <v>21552.34</v>
      </c>
      <c r="I25" s="42" t="n">
        <v>16690.85</v>
      </c>
      <c r="J25" s="42" t="n">
        <v>22841.72</v>
      </c>
      <c r="K25" s="42" t="n">
        <v>21288.75</v>
      </c>
      <c r="L25" s="42" t="n">
        <v>20753.77</v>
      </c>
      <c r="M25" s="42" t="n">
        <v>28815.25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859.26</v>
      </c>
      <c r="C27" s="35" t="n">
        <v>893.4</v>
      </c>
      <c r="D27" s="35" t="n">
        <v>921.17</v>
      </c>
      <c r="E27" s="35" t="n">
        <v>956.59</v>
      </c>
      <c r="F27" s="35" t="n">
        <v>1358.48</v>
      </c>
      <c r="G27" s="35" t="n">
        <v>1340.98</v>
      </c>
      <c r="H27" s="35" t="n">
        <v>1025.84</v>
      </c>
      <c r="I27" s="35" t="n">
        <v>1548.48</v>
      </c>
      <c r="J27" s="35" t="n">
        <v>1219.43</v>
      </c>
      <c r="K27" s="35" t="n">
        <v>1491.26</v>
      </c>
      <c r="L27" s="35" t="n">
        <v>1275.79</v>
      </c>
      <c r="M27" s="35" t="n">
        <v>904</v>
      </c>
      <c r="N27" s="36">
        <f>SUM(B27:M27)</f>
        <v/>
      </c>
      <c r="O27" s="37" t="n">
        <v>1124.3</v>
      </c>
      <c r="P27" s="37" t="n">
        <v>897.62</v>
      </c>
      <c r="Q27" s="37" t="n">
        <v>1008.18</v>
      </c>
      <c r="R27" s="37" t="n">
        <v>1170.82</v>
      </c>
      <c r="S27" s="37" t="n">
        <v>811.64</v>
      </c>
      <c r="T27" s="37" t="n">
        <v>968.12</v>
      </c>
      <c r="U27" s="37" t="n">
        <v>1225.01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183.52</v>
      </c>
      <c r="C28" s="35" t="n">
        <v>90.92999999999999</v>
      </c>
      <c r="D28" s="35" t="n">
        <v>151.06</v>
      </c>
      <c r="E28" s="35" t="n">
        <v>177.29</v>
      </c>
      <c r="F28" s="35" t="n">
        <v>242.78</v>
      </c>
      <c r="G28" s="35" t="n">
        <v>1990.96</v>
      </c>
      <c r="H28" s="35" t="n">
        <v>406.66</v>
      </c>
      <c r="I28" s="35" t="n">
        <v>353.82</v>
      </c>
      <c r="J28" s="35" t="n">
        <v>175.28</v>
      </c>
      <c r="K28" s="35" t="n">
        <v>16.3</v>
      </c>
      <c r="L28" s="35" t="n">
        <v>60.14</v>
      </c>
      <c r="M28" s="35" t="n">
        <v>19.96</v>
      </c>
      <c r="N28" s="36">
        <f>SUM(B28:M28)</f>
        <v/>
      </c>
      <c r="O28" s="37" t="n">
        <v>22.2</v>
      </c>
      <c r="P28" s="37" t="n">
        <v>40.4</v>
      </c>
      <c r="Q28" s="37" t="n">
        <v>106.77</v>
      </c>
      <c r="R28" s="37" t="n">
        <v>36.99</v>
      </c>
      <c r="S28" s="37" t="n">
        <v>110.33</v>
      </c>
      <c r="T28" s="37" t="n">
        <v>12</v>
      </c>
      <c r="U28" s="37" t="n">
        <v>1314.02</v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117" t="n">
        <v>100</v>
      </c>
      <c r="AJ28" s="118" t="n">
        <v>100</v>
      </c>
      <c r="AK28" s="118" t="n">
        <v>100</v>
      </c>
      <c r="AL28" s="118" t="n">
        <v>100</v>
      </c>
      <c r="AM28" s="119" t="n">
        <v>100</v>
      </c>
      <c r="AN28" s="117" t="n">
        <v>100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172.86</v>
      </c>
      <c r="C29" s="35" t="n">
        <v>134.54</v>
      </c>
      <c r="D29" s="35" t="n">
        <v>126.09</v>
      </c>
      <c r="E29" s="35" t="n">
        <v>36.83</v>
      </c>
      <c r="F29" s="35" t="n">
        <v>9.5</v>
      </c>
      <c r="G29" s="35" t="n">
        <v>322.09</v>
      </c>
      <c r="H29" s="35" t="n">
        <v>49.24</v>
      </c>
      <c r="I29" s="35" t="n">
        <v>102.73</v>
      </c>
      <c r="J29" s="35" t="n">
        <v>5.39</v>
      </c>
      <c r="K29" s="35" t="n">
        <v>130.06</v>
      </c>
      <c r="L29" s="35" t="n">
        <v>207.13</v>
      </c>
      <c r="M29" s="35" t="n">
        <v>100.93</v>
      </c>
      <c r="N29" s="36">
        <f>SUM(B29:M29)</f>
        <v/>
      </c>
      <c r="O29" s="37" t="n">
        <v>16.11</v>
      </c>
      <c r="P29" s="37" t="n">
        <v>7.99</v>
      </c>
      <c r="Q29" s="37" t="n">
        <v>68.7</v>
      </c>
      <c r="R29" s="37" t="n">
        <v>75.15000000000001</v>
      </c>
      <c r="S29" s="37" t="n">
        <v>0</v>
      </c>
      <c r="T29" s="37" t="n">
        <v>295.2</v>
      </c>
      <c r="U29" s="37" t="n">
        <v>93.08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92.48999999999999</v>
      </c>
      <c r="C30" s="35" t="n">
        <v>10.97</v>
      </c>
      <c r="D30" s="35" t="n">
        <v>0</v>
      </c>
      <c r="E30" s="35" t="n">
        <v>10.29</v>
      </c>
      <c r="F30" s="35" t="n">
        <v>45.52</v>
      </c>
      <c r="G30" s="35" t="n">
        <v>52.51000000000001</v>
      </c>
      <c r="H30" s="35" t="n">
        <v>31.85</v>
      </c>
      <c r="I30" s="35" t="n">
        <v>57.34</v>
      </c>
      <c r="J30" s="35" t="n">
        <v>65.91</v>
      </c>
      <c r="K30" s="35" t="n">
        <v>51.77</v>
      </c>
      <c r="L30" s="35" t="n">
        <v>20.32</v>
      </c>
      <c r="M30" s="35" t="n">
        <v>86.42</v>
      </c>
      <c r="N30" s="36">
        <f>SUM(B30:M30)</f>
        <v/>
      </c>
      <c r="O30" s="37" t="n">
        <v>17.54</v>
      </c>
      <c r="P30" s="37" t="n">
        <v>65.64</v>
      </c>
      <c r="Q30" s="37" t="n">
        <v>10.58</v>
      </c>
      <c r="R30" s="37" t="n">
        <v>0</v>
      </c>
      <c r="S30" s="37" t="n">
        <v>30.62</v>
      </c>
      <c r="T30" s="37" t="n">
        <v>0</v>
      </c>
      <c r="U30" s="37" t="n">
        <v>6.98</v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7" t="n">
        <v>100</v>
      </c>
      <c r="AJ30" s="118" t="n">
        <v>100</v>
      </c>
      <c r="AK30" s="118" t="n">
        <v>100</v>
      </c>
      <c r="AL30" s="118" t="n">
        <v>100</v>
      </c>
      <c r="AM30" s="119" t="n">
        <v>100</v>
      </c>
      <c r="AN30" s="117" t="n">
        <v>100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243.75</v>
      </c>
      <c r="C31" s="35" t="n">
        <v>56.46000000000001</v>
      </c>
      <c r="D31" s="35" t="n">
        <v>68.98</v>
      </c>
      <c r="E31" s="35" t="n">
        <v>0</v>
      </c>
      <c r="F31" s="35" t="n">
        <v>446.65</v>
      </c>
      <c r="G31" s="35" t="n">
        <v>238.6</v>
      </c>
      <c r="H31" s="35" t="n">
        <v>206.36</v>
      </c>
      <c r="I31" s="35" t="n">
        <v>17.01</v>
      </c>
      <c r="J31" s="35" t="n">
        <v>146.95</v>
      </c>
      <c r="K31" s="35" t="n">
        <v>217.2</v>
      </c>
      <c r="L31" s="35" t="n">
        <v>103.41</v>
      </c>
      <c r="M31" s="35" t="n">
        <v>87.67999999999999</v>
      </c>
      <c r="N31" s="36">
        <f>SUM(B31:M31)</f>
        <v/>
      </c>
      <c r="O31" s="37" t="n">
        <v>25.98</v>
      </c>
      <c r="P31" s="37" t="n">
        <v>64.59</v>
      </c>
      <c r="Q31" s="37" t="n">
        <v>42.76</v>
      </c>
      <c r="R31" s="37" t="n">
        <v>0</v>
      </c>
      <c r="S31" s="37" t="n">
        <v>159.29</v>
      </c>
      <c r="T31" s="37" t="n">
        <v>0</v>
      </c>
      <c r="U31" s="37" t="n">
        <v>116.23</v>
      </c>
      <c r="V31" s="38" t="n">
        <v>100</v>
      </c>
      <c r="W31" s="38" t="n">
        <v>100</v>
      </c>
      <c r="X31" s="38" t="n">
        <v>100</v>
      </c>
      <c r="Y31" s="38" t="n">
        <v>100</v>
      </c>
      <c r="Z31" s="38" t="n">
        <v>100</v>
      </c>
      <c r="AA31" s="36">
        <f>SUM(O31:U31)</f>
        <v/>
      </c>
      <c r="AB31" s="36">
        <f>SUM(O31:Z31)</f>
        <v/>
      </c>
      <c r="AC31" s="38" t="n">
        <v>100</v>
      </c>
      <c r="AD31" s="38" t="n">
        <v>100</v>
      </c>
      <c r="AE31" s="38" t="n">
        <v>100</v>
      </c>
      <c r="AF31" s="38" t="n">
        <v>100</v>
      </c>
      <c r="AG31" s="38" t="n">
        <v>100</v>
      </c>
      <c r="AH31" s="38" t="n">
        <v>100</v>
      </c>
      <c r="AI31" s="117" t="n">
        <v>100</v>
      </c>
      <c r="AJ31" s="118" t="n">
        <v>100</v>
      </c>
      <c r="AK31" s="118" t="n">
        <v>100</v>
      </c>
      <c r="AL31" s="118" t="n">
        <v>100</v>
      </c>
      <c r="AM31" s="119" t="n">
        <v>100</v>
      </c>
      <c r="AN31" s="117" t="n">
        <v>100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199</v>
      </c>
      <c r="C32" s="35" t="n">
        <v>155.17</v>
      </c>
      <c r="D32" s="35" t="n">
        <v>155.48</v>
      </c>
      <c r="E32" s="35" t="n">
        <v>187.34</v>
      </c>
      <c r="F32" s="35" t="n">
        <v>78.37</v>
      </c>
      <c r="G32" s="35" t="n">
        <v>65.61</v>
      </c>
      <c r="H32" s="35" t="n">
        <v>513.23</v>
      </c>
      <c r="I32" s="35" t="n">
        <v>255.27</v>
      </c>
      <c r="J32" s="35" t="n">
        <v>0</v>
      </c>
      <c r="K32" s="35" t="n">
        <v>39.19</v>
      </c>
      <c r="L32" s="35" t="n">
        <v>0</v>
      </c>
      <c r="M32" s="35" t="n">
        <v>72.90000000000001</v>
      </c>
      <c r="N32" s="36">
        <f>SUM(B32:M32)</f>
        <v/>
      </c>
      <c r="O32" s="37" t="n">
        <v>179.58</v>
      </c>
      <c r="P32" s="37" t="n">
        <v>223.95</v>
      </c>
      <c r="Q32" s="37" t="n">
        <v>176.34</v>
      </c>
      <c r="R32" s="37" t="n">
        <v>285.91</v>
      </c>
      <c r="S32" s="37" t="n">
        <v>131</v>
      </c>
      <c r="T32" s="37" t="n">
        <v>172.44</v>
      </c>
      <c r="U32" s="37" t="n">
        <v>163.98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SUMIF('CED TB'!$R:$R,'CED P&amp;L'!$A33,'CED TB'!C:C)</f>
        <v/>
      </c>
      <c r="P33" s="37">
        <f>SUMIF('CED TB'!$R:$R,'CED P&amp;L'!$A33,'CED TB'!D:D)</f>
        <v/>
      </c>
      <c r="Q33" s="37">
        <f>SUMIF('CED TB'!$R:$R,'CED P&amp;L'!$A33,'CED TB'!E:E)</f>
        <v/>
      </c>
      <c r="R33" s="37">
        <f>SUMIF('CED TB'!$R:$R,'CED P&amp;L'!$A33,'CED TB'!F:F)</f>
        <v/>
      </c>
      <c r="S33" s="37">
        <f>SUMIF('CED TB'!$R:$R,'CED P&amp;L'!$A33,'CED TB'!G:G)</f>
        <v/>
      </c>
      <c r="T33" s="37">
        <f>SUMIF('CED TB'!$R:$R,'CED P&amp;L'!$A33,'CED TB'!H:H)</f>
        <v/>
      </c>
      <c r="U33" s="37">
        <f>SUMIF('CED TB'!$R:$R,'CED P&amp;L'!$A33,'CED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1750.88</v>
      </c>
      <c r="C34" s="42" t="n">
        <v>1341.47</v>
      </c>
      <c r="D34" s="42" t="n">
        <v>1422.78</v>
      </c>
      <c r="E34" s="42" t="n">
        <v>1368.34</v>
      </c>
      <c r="F34" s="42" t="n">
        <v>2181.3</v>
      </c>
      <c r="G34" s="42" t="n">
        <v>4010.75</v>
      </c>
      <c r="H34" s="42" t="n">
        <v>2233.18</v>
      </c>
      <c r="I34" s="42" t="n">
        <v>2334.650000000001</v>
      </c>
      <c r="J34" s="42" t="n">
        <v>1612.96</v>
      </c>
      <c r="K34" s="42" t="n">
        <v>1945.78</v>
      </c>
      <c r="L34" s="42" t="n">
        <v>1666.79</v>
      </c>
      <c r="M34" s="42" t="n">
        <v>1271.89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SUMIF('CED TB'!$R:$R,'CED P&amp;L'!$A36,'CED TB'!C:C)</f>
        <v/>
      </c>
      <c r="P36" s="37">
        <f>SUMIF('CED TB'!$R:$R,'CED P&amp;L'!$A36,'CED TB'!D:D)</f>
        <v/>
      </c>
      <c r="Q36" s="37">
        <f>SUMIF('CED TB'!$R:$R,'CED P&amp;L'!$A36,'CED TB'!E:E)</f>
        <v/>
      </c>
      <c r="R36" s="37">
        <f>SUMIF('CED TB'!$R:$R,'CED P&amp;L'!$A36,'CED TB'!F:F)</f>
        <v/>
      </c>
      <c r="S36" s="37">
        <f>SUMIF('CED TB'!$R:$R,'CED P&amp;L'!$A36,'CED TB'!G:G)</f>
        <v/>
      </c>
      <c r="T36" s="37">
        <f>SUMIF('CED TB'!$R:$R,'CED P&amp;L'!$A36,'CED TB'!H:H)</f>
        <v/>
      </c>
      <c r="U36" s="37">
        <f>SUMIF('CED TB'!$R:$R,'CED P&amp;L'!$A36,'CED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769.29</v>
      </c>
      <c r="C37" s="35" t="n">
        <v>769.29</v>
      </c>
      <c r="D37" s="35" t="n">
        <v>769.29</v>
      </c>
      <c r="E37" s="35" t="n">
        <v>769.29</v>
      </c>
      <c r="F37" s="35" t="n">
        <v>769.29</v>
      </c>
      <c r="G37" s="35" t="n">
        <v>769.29</v>
      </c>
      <c r="H37" s="35" t="n">
        <v>769.29</v>
      </c>
      <c r="I37" s="35" t="n">
        <v>769.29</v>
      </c>
      <c r="J37" s="35" t="n">
        <v>769.29</v>
      </c>
      <c r="K37" s="35" t="n">
        <v>769.29</v>
      </c>
      <c r="L37" s="35" t="n">
        <v>769.29</v>
      </c>
      <c r="M37" s="35" t="n">
        <v>769.29</v>
      </c>
      <c r="N37" s="36">
        <f>SUM(B37:M37)</f>
        <v/>
      </c>
      <c r="O37" s="37" t="n">
        <v>769.3</v>
      </c>
      <c r="P37" s="37" t="n">
        <v>769.3</v>
      </c>
      <c r="Q37" s="37" t="n">
        <v>769.29</v>
      </c>
      <c r="R37" s="37" t="n">
        <v>736.67</v>
      </c>
      <c r="S37" s="37" t="n">
        <v>736.67</v>
      </c>
      <c r="T37" s="37" t="n">
        <v>736.67</v>
      </c>
      <c r="U37" s="37" t="n">
        <v>736.67</v>
      </c>
      <c r="V37" s="38" t="n">
        <v>736.67</v>
      </c>
      <c r="W37" s="38" t="n">
        <v>736.67</v>
      </c>
      <c r="X37" s="38" t="n">
        <v>736.67</v>
      </c>
      <c r="Y37" s="38" t="n">
        <v>736.67</v>
      </c>
      <c r="Z37" s="38" t="n">
        <v>736.67</v>
      </c>
      <c r="AA37" s="36">
        <f>SUM(O37:U37)</f>
        <v/>
      </c>
      <c r="AB37" s="36">
        <f>SUM(O37:Z37)</f>
        <v/>
      </c>
      <c r="AC37" s="38" t="n">
        <v>736.67</v>
      </c>
      <c r="AD37" s="38" t="n">
        <v>736.67</v>
      </c>
      <c r="AE37" s="38" t="n">
        <v>736.67</v>
      </c>
      <c r="AF37" s="38" t="n">
        <v>736.67</v>
      </c>
      <c r="AG37" s="38" t="n">
        <v>736.67</v>
      </c>
      <c r="AH37" s="38" t="n">
        <v>736.67</v>
      </c>
      <c r="AI37" s="117" t="n">
        <v>736.67</v>
      </c>
      <c r="AJ37" s="118" t="n">
        <v>736.67</v>
      </c>
      <c r="AK37" s="118" t="n">
        <v>736.67</v>
      </c>
      <c r="AL37" s="118" t="n">
        <v>736.67</v>
      </c>
      <c r="AM37" s="119" t="n">
        <v>736.67</v>
      </c>
      <c r="AN37" s="117" t="n">
        <v>736.67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876.66</v>
      </c>
      <c r="C38" s="35" t="n">
        <v>427.76</v>
      </c>
      <c r="D38" s="35" t="n">
        <v>1456.67</v>
      </c>
      <c r="E38" s="35" t="n">
        <v>-952.9899999999998</v>
      </c>
      <c r="F38" s="35" t="n">
        <v>898.87</v>
      </c>
      <c r="G38" s="35" t="n">
        <v>314.48</v>
      </c>
      <c r="H38" s="35" t="n">
        <v>283.44</v>
      </c>
      <c r="I38" s="35" t="n">
        <v>288.93</v>
      </c>
      <c r="J38" s="35" t="n">
        <v>180.99</v>
      </c>
      <c r="K38" s="35" t="n">
        <v>399.17</v>
      </c>
      <c r="L38" s="35" t="n">
        <v>339.71</v>
      </c>
      <c r="M38" s="35" t="n">
        <v>38.67000000000002</v>
      </c>
      <c r="N38" s="36">
        <f>SUM(B38:M38)</f>
        <v/>
      </c>
      <c r="O38" s="37" t="n">
        <v>1216.68</v>
      </c>
      <c r="P38" s="37" t="n">
        <v>1004.18</v>
      </c>
      <c r="Q38" s="37" t="n">
        <v>1025.61</v>
      </c>
      <c r="R38" s="37" t="n">
        <v>261.16</v>
      </c>
      <c r="S38" s="37" t="n">
        <v>176.45</v>
      </c>
      <c r="T38" s="37" t="n">
        <v>336.16</v>
      </c>
      <c r="U38" s="37" t="n">
        <v>332.8599999999999</v>
      </c>
      <c r="V38" s="38" t="n">
        <v>448</v>
      </c>
      <c r="W38" s="38" t="n">
        <v>448</v>
      </c>
      <c r="X38" s="38" t="n">
        <v>448</v>
      </c>
      <c r="Y38" s="38" t="n">
        <v>448</v>
      </c>
      <c r="Z38" s="38" t="n">
        <v>448</v>
      </c>
      <c r="AA38" s="36">
        <f>SUM(O38:U38)</f>
        <v/>
      </c>
      <c r="AB38" s="36">
        <f>SUM(O38:Z38)</f>
        <v/>
      </c>
      <c r="AC38" s="38" t="n">
        <v>448</v>
      </c>
      <c r="AD38" s="38" t="n">
        <v>448</v>
      </c>
      <c r="AE38" s="38" t="n">
        <v>448</v>
      </c>
      <c r="AF38" s="38" t="n">
        <v>448</v>
      </c>
      <c r="AG38" s="38" t="n">
        <v>448</v>
      </c>
      <c r="AH38" s="38" t="n">
        <v>448</v>
      </c>
      <c r="AI38" s="117" t="n">
        <v>448</v>
      </c>
      <c r="AJ38" s="118" t="n">
        <v>448</v>
      </c>
      <c r="AK38" s="118" t="n">
        <v>448</v>
      </c>
      <c r="AL38" s="118" t="n">
        <v>448</v>
      </c>
      <c r="AM38" s="119" t="n">
        <v>448</v>
      </c>
      <c r="AN38" s="117" t="n">
        <v>448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622.5700000000001</v>
      </c>
      <c r="C39" s="35" t="n">
        <v>29.99</v>
      </c>
      <c r="D39" s="35" t="n">
        <v>0</v>
      </c>
      <c r="E39" s="35" t="n">
        <v>0</v>
      </c>
      <c r="F39" s="35" t="n">
        <v>39.52</v>
      </c>
      <c r="G39" s="35" t="n">
        <v>38.49</v>
      </c>
      <c r="H39" s="35" t="n">
        <v>11.88</v>
      </c>
      <c r="I39" s="35" t="n">
        <v>4.99</v>
      </c>
      <c r="J39" s="35" t="n">
        <v>198.21</v>
      </c>
      <c r="K39" s="35" t="n">
        <v>11</v>
      </c>
      <c r="L39" s="35" t="n">
        <v>495.9599999999999</v>
      </c>
      <c r="M39" s="35" t="n">
        <v>747.47</v>
      </c>
      <c r="N39" s="36">
        <f>SUM(B39:M39)</f>
        <v/>
      </c>
      <c r="O39" s="37" t="n">
        <v>0</v>
      </c>
      <c r="P39" s="37" t="n">
        <v>0</v>
      </c>
      <c r="Q39" s="37" t="n">
        <v>246</v>
      </c>
      <c r="R39" s="37" t="n">
        <v>0</v>
      </c>
      <c r="S39" s="37" t="n">
        <v>0</v>
      </c>
      <c r="T39" s="37" t="n">
        <v>46.82</v>
      </c>
      <c r="U39" s="37" t="n">
        <v>135.38</v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277.47</v>
      </c>
      <c r="C40" s="35" t="n">
        <v>312.04</v>
      </c>
      <c r="D40" s="35" t="n">
        <v>97.81999999999999</v>
      </c>
      <c r="E40" s="35" t="n">
        <v>304.23</v>
      </c>
      <c r="F40" s="35" t="n">
        <v>397.89</v>
      </c>
      <c r="G40" s="35" t="n">
        <v>132.94</v>
      </c>
      <c r="H40" s="35" t="n">
        <v>215.21</v>
      </c>
      <c r="I40" s="35" t="n">
        <v>111.14</v>
      </c>
      <c r="J40" s="35" t="n">
        <v>34.12</v>
      </c>
      <c r="K40" s="35" t="n">
        <v>237.1</v>
      </c>
      <c r="L40" s="35" t="n">
        <v>312.9</v>
      </c>
      <c r="M40" s="35" t="n">
        <v>226.92</v>
      </c>
      <c r="N40" s="36">
        <f>SUM(B40:M40)</f>
        <v/>
      </c>
      <c r="O40" s="37" t="n">
        <v>30.74</v>
      </c>
      <c r="P40" s="37" t="n">
        <v>116.71</v>
      </c>
      <c r="Q40" s="37" t="n">
        <v>102.81</v>
      </c>
      <c r="R40" s="37" t="n">
        <v>50</v>
      </c>
      <c r="S40" s="37" t="n">
        <v>107.99</v>
      </c>
      <c r="T40" s="37" t="n">
        <v>96.7</v>
      </c>
      <c r="U40" s="37" t="n">
        <v>56.69</v>
      </c>
      <c r="V40" s="38" t="n">
        <v>210</v>
      </c>
      <c r="W40" s="38" t="n">
        <v>210</v>
      </c>
      <c r="X40" s="38" t="n">
        <v>210</v>
      </c>
      <c r="Y40" s="38" t="n">
        <v>210</v>
      </c>
      <c r="Z40" s="38" t="n">
        <v>210</v>
      </c>
      <c r="AA40" s="36">
        <f>SUM(O40:U40)</f>
        <v/>
      </c>
      <c r="AB40" s="36">
        <f>SUM(O40:Z40)</f>
        <v/>
      </c>
      <c r="AC40" s="38" t="n">
        <v>210</v>
      </c>
      <c r="AD40" s="38" t="n">
        <v>210</v>
      </c>
      <c r="AE40" s="38" t="n">
        <v>210</v>
      </c>
      <c r="AF40" s="38" t="n">
        <v>210</v>
      </c>
      <c r="AG40" s="38" t="n">
        <v>210</v>
      </c>
      <c r="AH40" s="38" t="n">
        <v>210</v>
      </c>
      <c r="AI40" s="117" t="n">
        <v>210</v>
      </c>
      <c r="AJ40" s="118" t="n">
        <v>210</v>
      </c>
      <c r="AK40" s="118" t="n">
        <v>210</v>
      </c>
      <c r="AL40" s="118" t="n">
        <v>210</v>
      </c>
      <c r="AM40" s="119" t="n">
        <v>210</v>
      </c>
      <c r="AN40" s="117" t="n">
        <v>210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204</v>
      </c>
      <c r="C41" s="35" t="n">
        <v>377.46</v>
      </c>
      <c r="D41" s="35" t="n">
        <v>255</v>
      </c>
      <c r="E41" s="35" t="n">
        <v>398.32</v>
      </c>
      <c r="F41" s="35" t="n">
        <v>282.34</v>
      </c>
      <c r="G41" s="35" t="n">
        <v>296.99</v>
      </c>
      <c r="H41" s="35" t="n">
        <v>243.58</v>
      </c>
      <c r="I41" s="35" t="n">
        <v>243.58</v>
      </c>
      <c r="J41" s="35" t="n">
        <v>404.69</v>
      </c>
      <c r="K41" s="35" t="n">
        <v>243.58</v>
      </c>
      <c r="L41" s="35" t="n">
        <v>338.48</v>
      </c>
      <c r="M41" s="35" t="n">
        <v>391.89</v>
      </c>
      <c r="N41" s="36">
        <f>SUM(B41:M41)</f>
        <v/>
      </c>
      <c r="O41" s="37" t="n">
        <v>489.68</v>
      </c>
      <c r="P41" s="37" t="n">
        <v>346.63</v>
      </c>
      <c r="Q41" s="37" t="n">
        <v>500.3299999999999</v>
      </c>
      <c r="R41" s="37" t="n">
        <v>416.6</v>
      </c>
      <c r="S41" s="37" t="n">
        <v>335.56</v>
      </c>
      <c r="T41" s="37" t="n">
        <v>250.9</v>
      </c>
      <c r="U41" s="37" t="n">
        <v>392.52</v>
      </c>
      <c r="V41" s="38" t="n">
        <v>300</v>
      </c>
      <c r="W41" s="38" t="n">
        <v>300</v>
      </c>
      <c r="X41" s="38" t="n">
        <v>300</v>
      </c>
      <c r="Y41" s="38" t="n">
        <v>300</v>
      </c>
      <c r="Z41" s="38" t="n">
        <v>300</v>
      </c>
      <c r="AA41" s="36">
        <f>SUM(O41:U41)</f>
        <v/>
      </c>
      <c r="AB41" s="36">
        <f>SUM(O41:Z41)</f>
        <v/>
      </c>
      <c r="AC41" s="38" t="n">
        <v>300</v>
      </c>
      <c r="AD41" s="38" t="n">
        <v>300</v>
      </c>
      <c r="AE41" s="38" t="n">
        <v>300</v>
      </c>
      <c r="AF41" s="38" t="n">
        <v>300</v>
      </c>
      <c r="AG41" s="38" t="n">
        <v>300</v>
      </c>
      <c r="AH41" s="38" t="n">
        <v>300</v>
      </c>
      <c r="AI41" s="117" t="n">
        <v>300</v>
      </c>
      <c r="AJ41" s="118" t="n">
        <v>300</v>
      </c>
      <c r="AK41" s="118" t="n">
        <v>300</v>
      </c>
      <c r="AL41" s="118" t="n">
        <v>300</v>
      </c>
      <c r="AM41" s="119" t="n">
        <v>300</v>
      </c>
      <c r="AN41" s="117" t="n">
        <v>300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52.02</v>
      </c>
      <c r="C42" s="35" t="n">
        <v>41.97</v>
      </c>
      <c r="D42" s="35" t="n">
        <v>46.18</v>
      </c>
      <c r="E42" s="35" t="n">
        <v>47.3</v>
      </c>
      <c r="F42" s="35" t="n">
        <v>35.68</v>
      </c>
      <c r="G42" s="35" t="n">
        <v>66.40000000000001</v>
      </c>
      <c r="H42" s="35" t="n">
        <v>372.16</v>
      </c>
      <c r="I42" s="35" t="n">
        <v>41.5</v>
      </c>
      <c r="J42" s="35" t="n">
        <v>78.95</v>
      </c>
      <c r="K42" s="35" t="n">
        <v>83.34</v>
      </c>
      <c r="L42" s="35" t="n">
        <v>36.06</v>
      </c>
      <c r="M42" s="35" t="n">
        <v>79.34999999999999</v>
      </c>
      <c r="N42" s="36">
        <f>SUM(B42:M42)</f>
        <v/>
      </c>
      <c r="O42" s="37" t="n">
        <v>31.59</v>
      </c>
      <c r="P42" s="37" t="n">
        <v>82.27</v>
      </c>
      <c r="Q42" s="37" t="n">
        <v>119.08</v>
      </c>
      <c r="R42" s="37" t="n">
        <v>163.25</v>
      </c>
      <c r="S42" s="37" t="n">
        <v>25.98</v>
      </c>
      <c r="T42" s="37" t="n">
        <v>122.27</v>
      </c>
      <c r="U42" s="37" t="n">
        <v>48.27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SUMIF('CED TB'!$R:$R,'CED P&amp;L'!$A43,'CED TB'!C:C)</f>
        <v/>
      </c>
      <c r="P43" s="37">
        <f>SUMIF('CED TB'!$R:$R,'CED P&amp;L'!$A43,'CED TB'!D:D)</f>
        <v/>
      </c>
      <c r="Q43" s="37">
        <f>SUMIF('CED TB'!$R:$R,'CED P&amp;L'!$A43,'CED TB'!E:E)</f>
        <v/>
      </c>
      <c r="R43" s="37">
        <f>SUMIF('CED TB'!$R:$R,'CED P&amp;L'!$A43,'CED TB'!F:F)</f>
        <v/>
      </c>
      <c r="S43" s="37">
        <f>SUMIF('CED TB'!$R:$R,'CED P&amp;L'!$A43,'CED TB'!G:G)</f>
        <v/>
      </c>
      <c r="T43" s="37">
        <f>SUMIF('CED TB'!$R:$R,'CED P&amp;L'!$A43,'CED TB'!H:H)</f>
        <v/>
      </c>
      <c r="U43" s="37">
        <f>SUMIF('CED TB'!$R:$R,'CED P&amp;L'!$A43,'CED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SUMIF('CED TB'!$R:$R,'CED P&amp;L'!$A44,'CED TB'!C:C)</f>
        <v/>
      </c>
      <c r="P44" s="37">
        <f>SUMIF('CED TB'!$R:$R,'CED P&amp;L'!$A44,'CED TB'!D:D)</f>
        <v/>
      </c>
      <c r="Q44" s="37">
        <f>SUMIF('CED TB'!$R:$R,'CED P&amp;L'!$A44,'CED TB'!E:E)</f>
        <v/>
      </c>
      <c r="R44" s="37">
        <f>SUMIF('CED TB'!$R:$R,'CED P&amp;L'!$A44,'CED TB'!F:F)</f>
        <v/>
      </c>
      <c r="S44" s="37">
        <f>SUMIF('CED TB'!$R:$R,'CED P&amp;L'!$A44,'CED TB'!G:G)</f>
        <v/>
      </c>
      <c r="T44" s="37">
        <f>SUMIF('CED TB'!$R:$R,'CED P&amp;L'!$A44,'CED TB'!H:H)</f>
        <v/>
      </c>
      <c r="U44" s="37">
        <f>SUMIF('CED TB'!$R:$R,'CED P&amp;L'!$A44,'CED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220</v>
      </c>
      <c r="D45" s="35" t="n">
        <v>0</v>
      </c>
      <c r="E45" s="35" t="n">
        <v>0</v>
      </c>
      <c r="F45" s="35" t="n">
        <v>0</v>
      </c>
      <c r="G45" s="35" t="n">
        <v>3.98</v>
      </c>
      <c r="H45" s="35" t="n">
        <v>3.75</v>
      </c>
      <c r="I45" s="35" t="n">
        <v>90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54</v>
      </c>
      <c r="P45" s="37" t="n">
        <v>0</v>
      </c>
      <c r="Q45" s="37" t="n">
        <v>220</v>
      </c>
      <c r="R45" s="37" t="n">
        <v>57</v>
      </c>
      <c r="S45" s="37" t="n">
        <v>0</v>
      </c>
      <c r="T45" s="37" t="n">
        <v>0</v>
      </c>
      <c r="U45" s="37" t="n">
        <v>0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7" t="n">
        <v>100</v>
      </c>
      <c r="AJ45" s="118" t="n">
        <v>100</v>
      </c>
      <c r="AK45" s="118" t="n">
        <v>100</v>
      </c>
      <c r="AL45" s="118" t="n">
        <v>100</v>
      </c>
      <c r="AM45" s="119" t="n">
        <v>100</v>
      </c>
      <c r="AN45" s="117" t="n">
        <v>100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SUMIF('CED TB'!$R:$R,'CED P&amp;L'!$A46,'CED TB'!C:C)</f>
        <v/>
      </c>
      <c r="P46" s="37">
        <f>SUMIF('CED TB'!$R:$R,'CED P&amp;L'!$A46,'CED TB'!D:D)</f>
        <v/>
      </c>
      <c r="Q46" s="37">
        <f>SUMIF('CED TB'!$R:$R,'CED P&amp;L'!$A46,'CED TB'!E:E)</f>
        <v/>
      </c>
      <c r="R46" s="37">
        <f>SUMIF('CED TB'!$R:$R,'CED P&amp;L'!$A46,'CED TB'!F:F)</f>
        <v/>
      </c>
      <c r="S46" s="37">
        <f>SUMIF('CED TB'!$R:$R,'CED P&amp;L'!$A46,'CED TB'!G:G)</f>
        <v/>
      </c>
      <c r="T46" s="37">
        <f>SUMIF('CED TB'!$R:$R,'CED P&amp;L'!$A46,'CED TB'!H:H)</f>
        <v/>
      </c>
      <c r="U46" s="37">
        <f>SUMIF('CED TB'!$R:$R,'CED P&amp;L'!$A46,'CED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2802.01</v>
      </c>
      <c r="C47" s="42" t="n">
        <v>2178.51</v>
      </c>
      <c r="D47" s="42" t="n">
        <v>2624.96</v>
      </c>
      <c r="E47" s="42" t="n">
        <v>566.1500000000001</v>
      </c>
      <c r="F47" s="42" t="n">
        <v>2423.59</v>
      </c>
      <c r="G47" s="42" t="n">
        <v>1622.57</v>
      </c>
      <c r="H47" s="42" t="n">
        <v>1899.31</v>
      </c>
      <c r="I47" s="42" t="n">
        <v>1549.43</v>
      </c>
      <c r="J47" s="42" t="n">
        <v>1666.25</v>
      </c>
      <c r="K47" s="42" t="n">
        <v>1743.48</v>
      </c>
      <c r="L47" s="42" t="n">
        <v>2292.4</v>
      </c>
      <c r="M47" s="42" t="n">
        <v>2253.59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22004.04</v>
      </c>
      <c r="C48" s="23" t="n">
        <v>26023.04</v>
      </c>
      <c r="D48" s="23" t="n">
        <v>22586.49</v>
      </c>
      <c r="E48" s="23" t="n">
        <v>23825.61</v>
      </c>
      <c r="F48" s="23" t="n">
        <v>26520.23</v>
      </c>
      <c r="G48" s="23" t="n">
        <v>23613.18</v>
      </c>
      <c r="H48" s="23" t="n">
        <v>25684.83</v>
      </c>
      <c r="I48" s="23" t="n">
        <v>20574.93</v>
      </c>
      <c r="J48" s="23" t="n">
        <v>26120.93</v>
      </c>
      <c r="K48" s="23" t="n">
        <v>24978.01</v>
      </c>
      <c r="L48" s="23" t="n">
        <v>24712.96</v>
      </c>
      <c r="M48" s="23" t="n">
        <v>32340.73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7802.119999999999</v>
      </c>
      <c r="C50" s="55" t="n">
        <v>9313.829999999994</v>
      </c>
      <c r="D50" s="55" t="n">
        <v>19870.49000000001</v>
      </c>
      <c r="E50" s="55" t="n">
        <v>10041.95</v>
      </c>
      <c r="F50" s="55" t="n">
        <v>34.88000000000466</v>
      </c>
      <c r="G50" s="55" t="n">
        <v>13883.58</v>
      </c>
      <c r="H50" s="55" t="n">
        <v>17477.75</v>
      </c>
      <c r="I50" s="55" t="n">
        <v>1925.619999999999</v>
      </c>
      <c r="J50" s="55" t="n">
        <v>-189.0799999999981</v>
      </c>
      <c r="K50" s="55" t="n">
        <v>7037.09</v>
      </c>
      <c r="L50" s="55" t="n">
        <v>5871.779999999999</v>
      </c>
      <c r="M50" s="55" t="n">
        <v>7885.799999999996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SUMIF('CED TB'!$R:$R,'CED P&amp;L'!$A53,'CED TB'!C:C)</f>
        <v/>
      </c>
      <c r="P53" s="37">
        <f>SUMIF('CED TB'!$R:$R,'CED P&amp;L'!$A53,'CED TB'!D:D)</f>
        <v/>
      </c>
      <c r="Q53" s="37">
        <f>SUMIF('CED TB'!$R:$R,'CED P&amp;L'!$A53,'CED TB'!E:E)</f>
        <v/>
      </c>
      <c r="R53" s="37">
        <f>SUMIF('CED TB'!$R:$R,'CED P&amp;L'!$A53,'CED TB'!F:F)</f>
        <v/>
      </c>
      <c r="S53" s="37">
        <f>SUMIF('CED TB'!$R:$R,'CED P&amp;L'!$A53,'CED TB'!G:G)</f>
        <v/>
      </c>
      <c r="T53" s="37">
        <f>SUMIF('CED TB'!$R:$R,'CED P&amp;L'!$A53,'CED TB'!H:H)</f>
        <v/>
      </c>
      <c r="U53" s="37">
        <f>SUMIF('CED TB'!$R:$R,'CED P&amp;L'!$A53,'CED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SUMIF('CED TB'!$R:$R,'CED P&amp;L'!$A54,'CED TB'!C:C)</f>
        <v/>
      </c>
      <c r="P54" s="37">
        <f>SUMIF('CED TB'!$R:$R,'CED P&amp;L'!$A54,'CED TB'!D:D)</f>
        <v/>
      </c>
      <c r="Q54" s="37">
        <f>SUMIF('CED TB'!$R:$R,'CED P&amp;L'!$A54,'CED TB'!E:E)</f>
        <v/>
      </c>
      <c r="R54" s="37">
        <f>SUMIF('CED TB'!$R:$R,'CED P&amp;L'!$A54,'CED TB'!F:F)</f>
        <v/>
      </c>
      <c r="S54" s="37">
        <f>SUMIF('CED TB'!$R:$R,'CED P&amp;L'!$A54,'CED TB'!G:G)</f>
        <v/>
      </c>
      <c r="T54" s="37">
        <f>SUMIF('CED TB'!$R:$R,'CED P&amp;L'!$A54,'CED TB'!H:H)</f>
        <v/>
      </c>
      <c r="U54" s="37">
        <f>SUMIF('CED TB'!$R:$R,'CED P&amp;L'!$A54,'CED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SUMIF('CED TB'!$R:$R,'CED P&amp;L'!$A55,'CED TB'!C:C)</f>
        <v/>
      </c>
      <c r="P55" s="37">
        <f>SUMIF('CED TB'!$R:$R,'CED P&amp;L'!$A55,'CED TB'!D:D)</f>
        <v/>
      </c>
      <c r="Q55" s="37">
        <f>SUMIF('CED TB'!$R:$R,'CED P&amp;L'!$A55,'CED TB'!E:E)</f>
        <v/>
      </c>
      <c r="R55" s="37">
        <f>SUMIF('CED TB'!$R:$R,'CED P&amp;L'!$A55,'CED TB'!F:F)</f>
        <v/>
      </c>
      <c r="S55" s="37">
        <f>SUMIF('CED TB'!$R:$R,'CED P&amp;L'!$A55,'CED TB'!G:G)</f>
        <v/>
      </c>
      <c r="T55" s="37">
        <f>SUMIF('CED TB'!$R:$R,'CED P&amp;L'!$A55,'CED TB'!H:H)</f>
        <v/>
      </c>
      <c r="U55" s="37">
        <f>SUMIF('CED TB'!$R:$R,'CED P&amp;L'!$A55,'CED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SUMIF('CED TB'!$R:$R,'CED P&amp;L'!$A56,'CED TB'!C:C)</f>
        <v/>
      </c>
      <c r="P56" s="37">
        <f>SUMIF('CED TB'!$R:$R,'CED P&amp;L'!$A56,'CED TB'!D:D)</f>
        <v/>
      </c>
      <c r="Q56" s="37">
        <f>SUMIF('CED TB'!$R:$R,'CED P&amp;L'!$A56,'CED TB'!E:E)</f>
        <v/>
      </c>
      <c r="R56" s="37">
        <f>SUMIF('CED TB'!$R:$R,'CED P&amp;L'!$A56,'CED TB'!F:F)</f>
        <v/>
      </c>
      <c r="S56" s="37">
        <f>SUMIF('CED TB'!$R:$R,'CED P&amp;L'!$A56,'CED TB'!G:G)</f>
        <v/>
      </c>
      <c r="T56" s="37">
        <f>SUMIF('CED TB'!$R:$R,'CED P&amp;L'!$A56,'CED TB'!H:H)</f>
        <v/>
      </c>
      <c r="U56" s="37">
        <f>SUMIF('CED TB'!$R:$R,'CED P&amp;L'!$A56,'CED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>
        <f>SUMIF('CED TB'!$R:$R,'CED P&amp;L'!$A57,'CED TB'!C:C)</f>
        <v/>
      </c>
      <c r="P57" s="37">
        <f>SUMIF('CED TB'!$R:$R,'CED P&amp;L'!$A57,'CED TB'!D:D)</f>
        <v/>
      </c>
      <c r="Q57" s="37">
        <f>SUMIF('CED TB'!$R:$R,'CED P&amp;L'!$A57,'CED TB'!E:E)</f>
        <v/>
      </c>
      <c r="R57" s="37">
        <f>SUMIF('CED TB'!$R:$R,'CED P&amp;L'!$A57,'CED TB'!F:F)</f>
        <v/>
      </c>
      <c r="S57" s="37">
        <f>SUMIF('CED TB'!$R:$R,'CED P&amp;L'!$A57,'CED TB'!G:G)</f>
        <v/>
      </c>
      <c r="T57" s="37">
        <f>SUMIF('CED TB'!$R:$R,'CED P&amp;L'!$A57,'CED TB'!H:H)</f>
        <v/>
      </c>
      <c r="U57" s="37">
        <f>SUMIF('CED TB'!$R:$R,'CED P&amp;L'!$A57,'CED TB'!I:I)</f>
        <v/>
      </c>
      <c r="V57" s="38" t="n"/>
      <c r="W57" s="38" t="n"/>
      <c r="X57" s="38" t="n"/>
      <c r="Y57" s="38" t="n"/>
      <c r="Z57" s="38">
        <f>30*10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SUMIF('CED TB'!$R:$R,'CED P&amp;L'!$A58,'CED TB'!C:C)</f>
        <v/>
      </c>
      <c r="P58" s="37">
        <f>SUMIF('CED TB'!$R:$R,'CED P&amp;L'!$A58,'CED TB'!D:D)</f>
        <v/>
      </c>
      <c r="Q58" s="37">
        <f>SUMIF('CED TB'!$R:$R,'CED P&amp;L'!$A58,'CED TB'!E:E)</f>
        <v/>
      </c>
      <c r="R58" s="37">
        <f>SUMIF('CED TB'!$R:$R,'CED P&amp;L'!$A58,'CED TB'!F:F)</f>
        <v/>
      </c>
      <c r="S58" s="37">
        <f>SUMIF('CED TB'!$R:$R,'CED P&amp;L'!$A58,'CED TB'!G:G)</f>
        <v/>
      </c>
      <c r="T58" s="37">
        <f>SUMIF('CED TB'!$R:$R,'CED P&amp;L'!$A58,'CED TB'!H:H)</f>
        <v/>
      </c>
      <c r="U58" s="37">
        <f>SUMIF('CED TB'!$R:$R,'CED P&amp;L'!$A58,'CED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0.6</v>
      </c>
      <c r="C60" s="35" t="n">
        <v>0.6</v>
      </c>
      <c r="D60" s="35" t="n">
        <v>1.2</v>
      </c>
      <c r="E60" s="35" t="n">
        <v>0.6</v>
      </c>
      <c r="F60" s="35" t="n">
        <v>0.6</v>
      </c>
      <c r="G60" s="35" t="n">
        <v>0.6</v>
      </c>
      <c r="H60" s="35" t="n">
        <v>0.6</v>
      </c>
      <c r="I60" s="35" t="n">
        <v>0.6</v>
      </c>
      <c r="J60" s="35" t="n">
        <v>1.8</v>
      </c>
      <c r="K60" s="35" t="n">
        <v>1.2</v>
      </c>
      <c r="L60" s="35" t="n">
        <v>1.2</v>
      </c>
      <c r="M60" s="35" t="n">
        <v>1.2</v>
      </c>
      <c r="N60" s="36">
        <f>SUM(B60:M60)</f>
        <v/>
      </c>
      <c r="O60" s="37" t="n">
        <v>0.6</v>
      </c>
      <c r="P60" s="37" t="n">
        <v>0.6</v>
      </c>
      <c r="Q60" s="37" t="n">
        <v>0</v>
      </c>
      <c r="R60" s="37" t="n">
        <v>0</v>
      </c>
      <c r="S60" s="37" t="n">
        <v>0.6</v>
      </c>
      <c r="T60" s="37" t="n">
        <v>0.6</v>
      </c>
      <c r="U60" s="37" t="n">
        <v>0.6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20.98</v>
      </c>
      <c r="G61" s="35" t="n">
        <v>13.99</v>
      </c>
      <c r="H61" s="35" t="n">
        <v>131.51</v>
      </c>
      <c r="I61" s="35" t="n">
        <v>0</v>
      </c>
      <c r="J61" s="35" t="n">
        <v>0</v>
      </c>
      <c r="K61" s="35" t="n">
        <v>33.45</v>
      </c>
      <c r="L61" s="35" t="n">
        <v>31.84</v>
      </c>
      <c r="M61" s="35" t="n">
        <v>17.98</v>
      </c>
      <c r="N61" s="36">
        <f>SUM(B61:M61)</f>
        <v/>
      </c>
      <c r="O61" s="37">
        <f>SUMIF('CED TB'!$R:$R,'CED P&amp;L'!$A61,'CED TB'!C:C)</f>
        <v/>
      </c>
      <c r="P61" s="37">
        <f>SUMIF('CED TB'!$R:$R,'CED P&amp;L'!$A61,'CED TB'!D:D)</f>
        <v/>
      </c>
      <c r="Q61" s="37">
        <f>SUMIF('CED TB'!$R:$R,'CED P&amp;L'!$A61,'CED TB'!E:E)</f>
        <v/>
      </c>
      <c r="R61" s="37">
        <f>SUMIF('CED TB'!$R:$R,'CED P&amp;L'!$A61,'CED TB'!F:F)</f>
        <v/>
      </c>
      <c r="S61" s="37">
        <f>SUMIF('CED TB'!$R:$R,'CED P&amp;L'!$A61,'CED TB'!G:G)</f>
        <v/>
      </c>
      <c r="T61" s="37">
        <f>SUMIF('CED TB'!$R:$R,'CED P&amp;L'!$A61,'CED TB'!H:H)</f>
        <v/>
      </c>
      <c r="U61" s="37">
        <f>SUMIF('CED TB'!$R:$R,'CED P&amp;L'!$A61,'CED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130.6</v>
      </c>
      <c r="D62" s="35" t="n">
        <v>161</v>
      </c>
      <c r="E62" s="35" t="n">
        <v>250.71</v>
      </c>
      <c r="F62" s="35" t="n">
        <v>90</v>
      </c>
      <c r="G62" s="35" t="n">
        <v>658</v>
      </c>
      <c r="H62" s="35" t="n">
        <v>1946.8</v>
      </c>
      <c r="I62" s="35" t="n">
        <v>1638.66</v>
      </c>
      <c r="J62" s="35" t="n">
        <v>181</v>
      </c>
      <c r="K62" s="35" t="n">
        <v>0</v>
      </c>
      <c r="L62" s="35" t="n">
        <v>390</v>
      </c>
      <c r="M62" s="35" t="n">
        <v>240</v>
      </c>
      <c r="N62" s="36">
        <f>SUM(B62:M62)</f>
        <v/>
      </c>
      <c r="O62" s="37" t="n">
        <v>0</v>
      </c>
      <c r="P62" s="37" t="n">
        <v>20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31.8</v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SUMIF('CED TB'!$R:$R,'CED P&amp;L'!$A63,'CED TB'!C:C)</f>
        <v/>
      </c>
      <c r="P63" s="37">
        <f>SUMIF('CED TB'!$R:$R,'CED P&amp;L'!$A63,'CED TB'!D:D)</f>
        <v/>
      </c>
      <c r="Q63" s="37">
        <f>SUMIF('CED TB'!$R:$R,'CED P&amp;L'!$A63,'CED TB'!E:E)</f>
        <v/>
      </c>
      <c r="R63" s="37">
        <f>SUMIF('CED TB'!$R:$R,'CED P&amp;L'!$A63,'CED TB'!F:F)</f>
        <v/>
      </c>
      <c r="S63" s="37">
        <f>SUMIF('CED TB'!$R:$R,'CED P&amp;L'!$A63,'CED TB'!G:G)</f>
        <v/>
      </c>
      <c r="T63" s="37">
        <f>SUMIF('CED TB'!$R:$R,'CED P&amp;L'!$A63,'CED TB'!H:H)</f>
        <v/>
      </c>
      <c r="U63" s="37">
        <f>SUMIF('CED TB'!$R:$R,'CED P&amp;L'!$A63,'CED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SUMIF('CED TB'!$R:$R,'CED P&amp;L'!$A64,'CED TB'!C:C)</f>
        <v/>
      </c>
      <c r="P64" s="37">
        <f>SUMIF('CED TB'!$R:$R,'CED P&amp;L'!$A64,'CED TB'!D:D)</f>
        <v/>
      </c>
      <c r="Q64" s="37">
        <f>SUMIF('CED TB'!$R:$R,'CED P&amp;L'!$A64,'CED TB'!E:E)</f>
        <v/>
      </c>
      <c r="R64" s="37">
        <f>SUMIF('CED TB'!$R:$R,'CED P&amp;L'!$A64,'CED TB'!F:F)</f>
        <v/>
      </c>
      <c r="S64" s="37">
        <f>SUMIF('CED TB'!$R:$R,'CED P&amp;L'!$A64,'CED TB'!G:G)</f>
        <v/>
      </c>
      <c r="T64" s="37">
        <f>SUMIF('CED TB'!$R:$R,'CED P&amp;L'!$A64,'CED TB'!H:H)</f>
        <v/>
      </c>
      <c r="U64" s="37">
        <f>SUMIF('CED TB'!$R:$R,'CED P&amp;L'!$A64,'CED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SUMIF('CED TB'!$R:$R,'CED P&amp;L'!$A65,'CED TB'!C:C)</f>
        <v/>
      </c>
      <c r="P65" s="37">
        <f>SUMIF('CED TB'!$R:$R,'CED P&amp;L'!$A65,'CED TB'!D:D)</f>
        <v/>
      </c>
      <c r="Q65" s="37">
        <f>SUMIF('CED TB'!$R:$R,'CED P&amp;L'!$A65,'CED TB'!E:E)</f>
        <v/>
      </c>
      <c r="R65" s="37">
        <f>SUMIF('CED TB'!$R:$R,'CED P&amp;L'!$A65,'CED TB'!F:F)</f>
        <v/>
      </c>
      <c r="S65" s="37">
        <f>SUMIF('CED TB'!$R:$R,'CED P&amp;L'!$A65,'CED TB'!G:G)</f>
        <v/>
      </c>
      <c r="T65" s="37">
        <f>SUMIF('CED TB'!$R:$R,'CED P&amp;L'!$A65,'CED TB'!H:H)</f>
        <v/>
      </c>
      <c r="U65" s="37">
        <f>SUMIF('CED TB'!$R:$R,'CED P&amp;L'!$A65,'CED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SUMIF('CED TB'!$R:$R,'CED P&amp;L'!$A66,'CED TB'!C:C)</f>
        <v/>
      </c>
      <c r="P66" s="37">
        <f>SUMIF('CED TB'!$R:$R,'CED P&amp;L'!$A66,'CED TB'!D:D)</f>
        <v/>
      </c>
      <c r="Q66" s="37">
        <f>SUMIF('CED TB'!$R:$R,'CED P&amp;L'!$A66,'CED TB'!E:E)</f>
        <v/>
      </c>
      <c r="R66" s="37">
        <f>SUMIF('CED TB'!$R:$R,'CED P&amp;L'!$A66,'CED TB'!F:F)</f>
        <v/>
      </c>
      <c r="S66" s="37">
        <f>SUMIF('CED TB'!$R:$R,'CED P&amp;L'!$A66,'CED TB'!G:G)</f>
        <v/>
      </c>
      <c r="T66" s="37">
        <f>SUMIF('CED TB'!$R:$R,'CED P&amp;L'!$A66,'CED TB'!H:H)</f>
        <v/>
      </c>
      <c r="U66" s="37">
        <f>SUMIF('CED TB'!$R:$R,'CED P&amp;L'!$A66,'CED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SUMIF('CED TB'!$R:$R,'CED P&amp;L'!$A67,'CED TB'!C:C)</f>
        <v/>
      </c>
      <c r="P67" s="37">
        <f>SUMIF('CED TB'!$R:$R,'CED P&amp;L'!$A67,'CED TB'!D:D)</f>
        <v/>
      </c>
      <c r="Q67" s="37">
        <f>SUMIF('CED TB'!$R:$R,'CED P&amp;L'!$A67,'CED TB'!E:E)</f>
        <v/>
      </c>
      <c r="R67" s="37">
        <f>SUMIF('CED TB'!$R:$R,'CED P&amp;L'!$A67,'CED TB'!F:F)</f>
        <v/>
      </c>
      <c r="S67" s="37">
        <f>SUMIF('CED TB'!$R:$R,'CED P&amp;L'!$A67,'CED TB'!G:G)</f>
        <v/>
      </c>
      <c r="T67" s="37">
        <f>SUMIF('CED TB'!$R:$R,'CED P&amp;L'!$A67,'CED TB'!H:H)</f>
        <v/>
      </c>
      <c r="U67" s="37">
        <f>SUMIF('CED TB'!$R:$R,'CED P&amp;L'!$A67,'CED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SUMIF('CED TB'!$R:$R,'CED P&amp;L'!$A68,'CED TB'!C:C)</f>
        <v/>
      </c>
      <c r="P68" s="37">
        <f>SUMIF('CED TB'!$R:$R,'CED P&amp;L'!$A68,'CED TB'!D:D)</f>
        <v/>
      </c>
      <c r="Q68" s="37">
        <f>SUMIF('CED TB'!$R:$R,'CED P&amp;L'!$A68,'CED TB'!E:E)</f>
        <v/>
      </c>
      <c r="R68" s="37">
        <f>SUMIF('CED TB'!$R:$R,'CED P&amp;L'!$A68,'CED TB'!F:F)</f>
        <v/>
      </c>
      <c r="S68" s="37">
        <f>SUMIF('CED TB'!$R:$R,'CED P&amp;L'!$A68,'CED TB'!G:G)</f>
        <v/>
      </c>
      <c r="T68" s="37">
        <f>SUMIF('CED TB'!$R:$R,'CED P&amp;L'!$A68,'CED TB'!H:H)</f>
        <v/>
      </c>
      <c r="U68" s="37">
        <f>SUMIF('CED TB'!$R:$R,'CED P&amp;L'!$A68,'CED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201.98</v>
      </c>
      <c r="C69" s="42" t="n">
        <v>332.58</v>
      </c>
      <c r="D69" s="42" t="n">
        <v>363.58</v>
      </c>
      <c r="E69" s="42" t="n">
        <v>452.6899999999999</v>
      </c>
      <c r="F69" s="42" t="n">
        <v>312.96</v>
      </c>
      <c r="G69" s="42" t="n">
        <v>873.97</v>
      </c>
      <c r="H69" s="42" t="n">
        <v>2280.29</v>
      </c>
      <c r="I69" s="42" t="n">
        <v>1840.64</v>
      </c>
      <c r="J69" s="42" t="n">
        <v>384.18</v>
      </c>
      <c r="K69" s="42" t="n">
        <v>249.45</v>
      </c>
      <c r="L69" s="42" t="n">
        <v>637.84</v>
      </c>
      <c r="M69" s="42" t="n">
        <v>473.98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7600.139999999999</v>
      </c>
      <c r="C70" s="55" t="n">
        <v>8981.249999999995</v>
      </c>
      <c r="D70" s="55" t="n">
        <v>19506.91</v>
      </c>
      <c r="E70" s="55" t="n">
        <v>9589.259999999997</v>
      </c>
      <c r="F70" s="55" t="n">
        <v>-278.0799999999953</v>
      </c>
      <c r="G70" s="55" t="n">
        <v>13009.61</v>
      </c>
      <c r="H70" s="55" t="n">
        <v>15197.46</v>
      </c>
      <c r="I70" s="55" t="n">
        <v>84.97999999999911</v>
      </c>
      <c r="J70" s="55" t="n">
        <v>-573.2599999999982</v>
      </c>
      <c r="K70" s="55" t="n">
        <v>6787.64</v>
      </c>
      <c r="L70" s="55" t="n">
        <v>5233.939999999999</v>
      </c>
      <c r="M70" s="55" t="n">
        <v>7411.819999999996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60" t="inlineStr">
        <is>
          <t>`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60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7">
        <f>SUM(AC72:AH72)+SUM(AI72:AN72)</f>
        <v/>
      </c>
      <c r="AP72" s="145">
        <f>IF(AB72&lt;&gt;0,(AO72-AB72)/ABS(AB72),0)</f>
        <v/>
      </c>
    </row>
    <row r="73">
      <c r="A73" s="22" t="inlineStr">
        <is>
          <t>Memo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60">
        <f>SUM(B73:M73)</f>
        <v/>
      </c>
      <c r="O73" s="8" t="n"/>
      <c r="P73" s="8" t="n"/>
      <c r="Q73" s="8" t="n"/>
      <c r="R73" s="8" t="n"/>
      <c r="S73" s="8" t="n"/>
      <c r="T73" s="8" t="n"/>
      <c r="U73" s="8" t="n"/>
      <c r="V73" s="20" t="n"/>
      <c r="W73" s="20" t="n"/>
      <c r="X73" s="20" t="n"/>
      <c r="Y73" s="20" t="n"/>
      <c r="Z73" s="20" t="n"/>
      <c r="AA73" s="60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134" t="n">
        <v>0</v>
      </c>
      <c r="AJ73" s="134" t="n">
        <v>0</v>
      </c>
      <c r="AK73" s="134" t="n">
        <v>0</v>
      </c>
      <c r="AL73" s="134" t="n">
        <v>0</v>
      </c>
      <c r="AM73" s="134" t="n">
        <v>0</v>
      </c>
      <c r="AN73" s="134" t="n">
        <v>0</v>
      </c>
      <c r="AO73" s="147">
        <f>SUM(AC73:AH73)+SUM(AI73:AN73)</f>
        <v/>
      </c>
      <c r="AP73" s="145">
        <f>IF(AB73&lt;&gt;0,(AO73-AB73)/ABS(AB73),0)</f>
        <v/>
      </c>
    </row>
    <row r="74">
      <c r="A74" s="34" t="inlineStr">
        <is>
          <t>Direct - Sales</t>
        </is>
      </c>
      <c r="B74" s="18" t="n">
        <v>29806.16</v>
      </c>
      <c r="C74" s="18" t="n">
        <v>35336.87</v>
      </c>
      <c r="D74" s="18" t="n">
        <v>42456.98</v>
      </c>
      <c r="E74" s="18" t="n">
        <v>33867.56</v>
      </c>
      <c r="F74" s="18" t="n">
        <v>26555.11</v>
      </c>
      <c r="G74" s="18" t="n">
        <v>37496.76</v>
      </c>
      <c r="H74" s="18" t="n">
        <v>43162.58</v>
      </c>
      <c r="I74" s="18" t="n">
        <v>22500.55</v>
      </c>
      <c r="J74" s="18" t="n">
        <v>25931.85</v>
      </c>
      <c r="K74" s="18" t="n">
        <v>32015.1</v>
      </c>
      <c r="L74" s="18" t="n">
        <v>30584.74</v>
      </c>
      <c r="M74" s="18" t="n">
        <v>40226.53</v>
      </c>
      <c r="N74" s="60">
        <f>SUM(B74:M74)</f>
        <v/>
      </c>
      <c r="O74" s="60">
        <f>-SUMIF('CED TB'!$T:$T,'CED P&amp;L'!$A74,'CED TB'!C:C)</f>
        <v/>
      </c>
      <c r="P74" s="60">
        <f>-SUMIF('CED TB'!$T:$T,'CED P&amp;L'!$A74,'CED TB'!D:D)</f>
        <v/>
      </c>
      <c r="Q74" s="60">
        <f>-SUMIF('CED TB'!$T:$T,'CED P&amp;L'!$A74,'CED TB'!E:E)</f>
        <v/>
      </c>
      <c r="R74" s="60">
        <f>-SUMIF('CED TB'!$T:$T,'CED P&amp;L'!$A74,'CED TB'!F:F)</f>
        <v/>
      </c>
      <c r="S74" s="60">
        <f>-SUMIF('CED TB'!$T:$T,'CED P&amp;L'!$A74,'CED TB'!G:G)</f>
        <v/>
      </c>
      <c r="T74" s="60">
        <f>-SUMIF('CED TB'!$T:$T,'CED P&amp;L'!$A74,'CED TB'!H:H)</f>
        <v/>
      </c>
      <c r="U74" s="60">
        <f>-SUMIF('CED TB'!$T:$T,'CED P&amp;L'!$A74,'CED TB'!I:I)</f>
        <v/>
      </c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134" t="n">
        <v>0</v>
      </c>
      <c r="AJ74" s="134" t="n">
        <v>0</v>
      </c>
      <c r="AK74" s="134" t="n">
        <v>0</v>
      </c>
      <c r="AL74" s="134" t="n">
        <v>0</v>
      </c>
      <c r="AM74" s="134" t="n">
        <v>0</v>
      </c>
      <c r="AN74" s="134" t="n">
        <v>0</v>
      </c>
      <c r="AO74" s="147">
        <f>SUM(AC74:AH74)+SUM(AI74:AN74)</f>
        <v/>
      </c>
      <c r="AP74" s="145">
        <f>IF(AB74&lt;&gt;0,(AO74-AB74)/ABS(AB74),0)</f>
        <v/>
      </c>
    </row>
    <row r="75">
      <c r="A75" s="34" t="inlineStr">
        <is>
          <t>Direct - Staff Cost</t>
        </is>
      </c>
      <c r="B75" s="18" t="n">
        <v>-17451.15</v>
      </c>
      <c r="C75" s="18" t="n">
        <v>-22503.06</v>
      </c>
      <c r="D75" s="18" t="n">
        <v>-18538.75</v>
      </c>
      <c r="E75" s="18" t="n">
        <v>-21891.12</v>
      </c>
      <c r="F75" s="18" t="n">
        <v>-21915.34</v>
      </c>
      <c r="G75" s="18" t="n">
        <v>-17979.86</v>
      </c>
      <c r="H75" s="18" t="n">
        <v>-21552.34</v>
      </c>
      <c r="I75" s="18" t="n">
        <v>-16690.85</v>
      </c>
      <c r="J75" s="18" t="n">
        <v>-22841.72</v>
      </c>
      <c r="K75" s="18" t="n">
        <v>-21288.75</v>
      </c>
      <c r="L75" s="18" t="n">
        <v>-20753.77</v>
      </c>
      <c r="M75" s="18" t="n">
        <v>-28815.25</v>
      </c>
      <c r="N75" s="60">
        <f>SUM(B75:M75)</f>
        <v/>
      </c>
      <c r="O75" s="60">
        <f>-SUMIF('CED TB'!$T:$T,'CED P&amp;L'!$A75,'CED TB'!C:C)</f>
        <v/>
      </c>
      <c r="P75" s="60">
        <f>-SUMIF('CED TB'!$T:$T,'CED P&amp;L'!$A75,'CED TB'!D:D)</f>
        <v/>
      </c>
      <c r="Q75" s="60">
        <f>-SUMIF('CED TB'!$T:$T,'CED P&amp;L'!$A75,'CED TB'!E:E)</f>
        <v/>
      </c>
      <c r="R75" s="60">
        <f>-SUMIF('CED TB'!$T:$T,'CED P&amp;L'!$A75,'CED TB'!F:F)</f>
        <v/>
      </c>
      <c r="S75" s="60">
        <f>-SUMIF('CED TB'!$T:$T,'CED P&amp;L'!$A75,'CED TB'!G:G)</f>
        <v/>
      </c>
      <c r="T75" s="60">
        <f>-SUMIF('CED TB'!$T:$T,'CED P&amp;L'!$A75,'CED TB'!H:H)</f>
        <v/>
      </c>
      <c r="U75" s="60">
        <f>-SUMIF('CED TB'!$T:$T,'CED P&amp;L'!$A75,'CED TB'!I:I)</f>
        <v/>
      </c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134" t="n">
        <v>0</v>
      </c>
      <c r="AJ75" s="134" t="n">
        <v>0</v>
      </c>
      <c r="AK75" s="134" t="n">
        <v>0</v>
      </c>
      <c r="AL75" s="134" t="n">
        <v>0</v>
      </c>
      <c r="AM75" s="134" t="n">
        <v>0</v>
      </c>
      <c r="AN75" s="134" t="n">
        <v>0</v>
      </c>
      <c r="AO75" s="147">
        <f>SUM(AC75:AH75)+SUM(AI75:AN75)</f>
        <v/>
      </c>
      <c r="AP75" s="145">
        <f>IF(AB75&lt;&gt;0,(AO75-AB75)/ABS(AB75),0)</f>
        <v/>
      </c>
    </row>
    <row r="76">
      <c r="A76" s="60" t="inlineStr">
        <is>
          <t>Direct - Childcare Cost</t>
        </is>
      </c>
      <c r="B76" s="18" t="n">
        <v>-1750.88</v>
      </c>
      <c r="C76" s="18" t="n">
        <v>-1341.47</v>
      </c>
      <c r="D76" s="18" t="n">
        <v>-1422.78</v>
      </c>
      <c r="E76" s="18" t="n">
        <v>-1368.34</v>
      </c>
      <c r="F76" s="18" t="n">
        <v>-2181.3</v>
      </c>
      <c r="G76" s="18" t="n">
        <v>-4010.75</v>
      </c>
      <c r="H76" s="18" t="n">
        <v>-2233.18</v>
      </c>
      <c r="I76" s="18" t="n">
        <v>-2334.650000000001</v>
      </c>
      <c r="J76" s="18" t="n">
        <v>-1612.96</v>
      </c>
      <c r="K76" s="18" t="n">
        <v>-1945.78</v>
      </c>
      <c r="L76" s="18" t="n">
        <v>-1666.79</v>
      </c>
      <c r="M76" s="18" t="n">
        <v>-1271.89</v>
      </c>
      <c r="N76" s="60">
        <f>SUM(B76:M76)</f>
        <v/>
      </c>
      <c r="O76" s="60">
        <f>-SUMIF('CED TB'!$T:$T,'CED P&amp;L'!$A76,'CED TB'!C:C)</f>
        <v/>
      </c>
      <c r="P76" s="60">
        <f>-SUMIF('CED TB'!$T:$T,'CED P&amp;L'!$A76,'CED TB'!D:D)</f>
        <v/>
      </c>
      <c r="Q76" s="60">
        <f>-SUMIF('CED TB'!$T:$T,'CED P&amp;L'!$A76,'CED TB'!E:E)</f>
        <v/>
      </c>
      <c r="R76" s="60">
        <f>-SUMIF('CED TB'!$T:$T,'CED P&amp;L'!$A76,'CED TB'!F:F)</f>
        <v/>
      </c>
      <c r="S76" s="60">
        <f>-SUMIF('CED TB'!$T:$T,'CED P&amp;L'!$A76,'CED TB'!G:G)</f>
        <v/>
      </c>
      <c r="T76" s="60">
        <f>-SUMIF('CED TB'!$T:$T,'CED P&amp;L'!$A76,'CED TB'!H:H)</f>
        <v/>
      </c>
      <c r="U76" s="60">
        <f>-SUMIF('CED TB'!$T:$T,'CED P&amp;L'!$A76,'CED TB'!I:I)</f>
        <v/>
      </c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134" t="n">
        <v>0</v>
      </c>
      <c r="AJ76" s="134" t="n">
        <v>0</v>
      </c>
      <c r="AK76" s="134" t="n">
        <v>0</v>
      </c>
      <c r="AL76" s="134" t="n">
        <v>0</v>
      </c>
      <c r="AM76" s="134" t="n">
        <v>0</v>
      </c>
      <c r="AN76" s="134" t="n">
        <v>0</v>
      </c>
      <c r="AO76" s="147">
        <f>SUM(AC76:AH76)+SUM(AI76:AN76)</f>
        <v/>
      </c>
      <c r="AP76" s="145">
        <f>IF(AB76&lt;&gt;0,(AO76-AB76)/ABS(AB76),0)</f>
        <v/>
      </c>
    </row>
    <row r="77">
      <c r="A77" s="60" t="inlineStr">
        <is>
          <t>Direct - Premises &amp; Admin</t>
        </is>
      </c>
      <c r="B77" s="18" t="n">
        <v>-2802.01</v>
      </c>
      <c r="C77" s="18" t="n">
        <v>-2178.51</v>
      </c>
      <c r="D77" s="18" t="n">
        <v>-2624.96</v>
      </c>
      <c r="E77" s="18" t="n">
        <v>-566.1500000000001</v>
      </c>
      <c r="F77" s="18" t="n">
        <v>-2423.59</v>
      </c>
      <c r="G77" s="18" t="n">
        <v>-1622.57</v>
      </c>
      <c r="H77" s="18" t="n">
        <v>-1899.31</v>
      </c>
      <c r="I77" s="18" t="n">
        <v>-1549.43</v>
      </c>
      <c r="J77" s="18" t="n">
        <v>-1666.25</v>
      </c>
      <c r="K77" s="18" t="n">
        <v>-1743.48</v>
      </c>
      <c r="L77" s="18" t="n">
        <v>-2292.4</v>
      </c>
      <c r="M77" s="18" t="n">
        <v>-2253.59</v>
      </c>
      <c r="N77" s="60">
        <f>SUM(B77:M77)</f>
        <v/>
      </c>
      <c r="O77" s="60">
        <f>-SUMIF('CED TB'!$T:$T,'CED P&amp;L'!$A77,'CED TB'!C:C)</f>
        <v/>
      </c>
      <c r="P77" s="60">
        <f>-SUMIF('CED TB'!$T:$T,'CED P&amp;L'!$A77,'CED TB'!D:D)</f>
        <v/>
      </c>
      <c r="Q77" s="60">
        <f>-SUMIF('CED TB'!$T:$T,'CED P&amp;L'!$A77,'CED TB'!E:E)</f>
        <v/>
      </c>
      <c r="R77" s="60">
        <f>-SUMIF('CED TB'!$T:$T,'CED P&amp;L'!$A77,'CED TB'!F:F)</f>
        <v/>
      </c>
      <c r="S77" s="60">
        <f>-SUMIF('CED TB'!$T:$T,'CED P&amp;L'!$A77,'CED TB'!G:G)</f>
        <v/>
      </c>
      <c r="T77" s="60">
        <f>-SUMIF('CED TB'!$T:$T,'CED P&amp;L'!$A77,'CED TB'!H:H)</f>
        <v/>
      </c>
      <c r="U77" s="60">
        <f>-SUMIF('CED TB'!$T:$T,'CED P&amp;L'!$A77,'CED TB'!I:I)</f>
        <v/>
      </c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7">
        <f>SUM(AC77:AH77)+SUM(AI77:AN77)</f>
        <v/>
      </c>
      <c r="AP77" s="145">
        <f>IF(AB77&lt;&gt;0,(AO77-AB77)/ABS(AB77),0)</f>
        <v/>
      </c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60">
        <f>SUM(B78:M78)</f>
        <v/>
      </c>
      <c r="O78" s="60">
        <f>-SUMIF('CED TB'!$T:$T,'CED P&amp;L'!$A78,'CED TB'!C:C)</f>
        <v/>
      </c>
      <c r="P78" s="60">
        <f>-SUMIF('CED TB'!$T:$T,'CED P&amp;L'!$A78,'CED TB'!D:D)</f>
        <v/>
      </c>
      <c r="Q78" s="60">
        <f>-SUMIF('CED TB'!$T:$T,'CED P&amp;L'!$A78,'CED TB'!E:E)</f>
        <v/>
      </c>
      <c r="R78" s="60">
        <f>-SUMIF('CED TB'!$T:$T,'CED P&amp;L'!$A78,'CED TB'!F:F)</f>
        <v/>
      </c>
      <c r="S78" s="60">
        <f>-SUMIF('CED TB'!$T:$T,'CED P&amp;L'!$A78,'CED TB'!G:G)</f>
        <v/>
      </c>
      <c r="T78" s="60">
        <f>-SUMIF('CED TB'!$T:$T,'CED P&amp;L'!$A78,'CED TB'!H:H)</f>
        <v/>
      </c>
      <c r="U78" s="60">
        <f>-SUMIF('CED TB'!$T:$T,'CED P&amp;L'!$A78,'CED TB'!I:I)</f>
        <v/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134" t="n">
        <v>0</v>
      </c>
      <c r="AJ78" s="134" t="n">
        <v>0</v>
      </c>
      <c r="AK78" s="134" t="n">
        <v>0</v>
      </c>
      <c r="AL78" s="134" t="n">
        <v>0</v>
      </c>
      <c r="AM78" s="134" t="n">
        <v>0</v>
      </c>
      <c r="AN78" s="134" t="n">
        <v>0</v>
      </c>
      <c r="AO78" s="147">
        <f>SUM(AC78:AH78)+SUM(AI78:AN78)</f>
        <v/>
      </c>
      <c r="AP78" s="145">
        <f>IF(AB78&lt;&gt;0,(AO78-AB78)/ABS(AB78),0)</f>
        <v/>
      </c>
    </row>
    <row r="79">
      <c r="A79" s="60" t="inlineStr">
        <is>
          <t>In-Direct - Overheads</t>
        </is>
      </c>
      <c r="B79" s="18" t="n">
        <v>-201.98</v>
      </c>
      <c r="C79" s="18" t="n">
        <v>-332.58</v>
      </c>
      <c r="D79" s="18" t="n">
        <v>-363.58</v>
      </c>
      <c r="E79" s="18" t="n">
        <v>-452.6899999999999</v>
      </c>
      <c r="F79" s="18" t="n">
        <v>-312.96</v>
      </c>
      <c r="G79" s="18" t="n">
        <v>-873.97</v>
      </c>
      <c r="H79" s="18" t="n">
        <v>-2280.29</v>
      </c>
      <c r="I79" s="18" t="n">
        <v>-1840.64</v>
      </c>
      <c r="J79" s="18" t="n">
        <v>-384.18</v>
      </c>
      <c r="K79" s="18" t="n">
        <v>-249.45</v>
      </c>
      <c r="L79" s="18" t="n">
        <v>-637.84</v>
      </c>
      <c r="M79" s="18" t="n">
        <v>-473.98</v>
      </c>
      <c r="N79" s="60">
        <f>SUM(B79:M79)</f>
        <v/>
      </c>
      <c r="O79" s="60">
        <f>-SUMIF('CED TB'!$T:$T,'CED P&amp;L'!$A79,'CED TB'!C:C)</f>
        <v/>
      </c>
      <c r="P79" s="60">
        <f>-SUMIF('CED TB'!$T:$T,'CED P&amp;L'!$A79,'CED TB'!D:D)</f>
        <v/>
      </c>
      <c r="Q79" s="60">
        <f>-SUMIF('CED TB'!$T:$T,'CED P&amp;L'!$A79,'CED TB'!E:E)</f>
        <v/>
      </c>
      <c r="R79" s="60">
        <f>-SUMIF('CED TB'!$T:$T,'CED P&amp;L'!$A79,'CED TB'!F:F)</f>
        <v/>
      </c>
      <c r="S79" s="60">
        <f>-SUMIF('CED TB'!$T:$T,'CED P&amp;L'!$A79,'CED TB'!G:G)</f>
        <v/>
      </c>
      <c r="T79" s="60">
        <f>-SUMIF('CED TB'!$T:$T,'CED P&amp;L'!$A79,'CED TB'!H:H)</f>
        <v/>
      </c>
      <c r="U79" s="60">
        <f>-SUMIF('CED TB'!$T:$T,'CED P&amp;L'!$A79,'CED TB'!I:I)</f>
        <v/>
      </c>
      <c r="V79" s="20" t="n"/>
      <c r="W79" s="20" t="n"/>
      <c r="X79" s="20" t="n"/>
      <c r="Y79" s="20" t="n"/>
      <c r="Z79" s="20" t="n"/>
      <c r="AA79" s="60">
        <f>SUM(O79:T79)</f>
        <v/>
      </c>
      <c r="AB79" s="8" t="n"/>
      <c r="AC79" s="20" t="n"/>
      <c r="AD79" s="20" t="n"/>
      <c r="AE79" s="20" t="n"/>
      <c r="AF79" s="20" t="n"/>
      <c r="AG79" s="20" t="n"/>
      <c r="AH79" s="20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7">
        <f>SUM(AC79:AH79)+SUM(AI79:AN79)</f>
        <v/>
      </c>
      <c r="AP79" s="145">
        <f>IF(AB79&lt;&gt;0,(AO79-AB79)/ABS(AB79),0)</f>
        <v/>
      </c>
    </row>
    <row r="80" ht="15.75" customHeight="1">
      <c r="A80" s="8" t="n"/>
      <c r="B80" s="67" t="n">
        <v>7600.139999999999</v>
      </c>
      <c r="C80" s="67" t="n">
        <v>8981.249999999995</v>
      </c>
      <c r="D80" s="67" t="n">
        <v>19506.91</v>
      </c>
      <c r="E80" s="67" t="n">
        <v>9589.259999999998</v>
      </c>
      <c r="F80" s="67" t="n">
        <v>-278.0799999999958</v>
      </c>
      <c r="G80" s="67" t="n">
        <v>13009.61</v>
      </c>
      <c r="H80" s="67" t="n">
        <v>15197.46</v>
      </c>
      <c r="I80" s="67" t="n">
        <v>84.98000000000025</v>
      </c>
      <c r="J80" s="67" t="n">
        <v>-573.2599999999995</v>
      </c>
      <c r="K80" s="67" t="n">
        <v>6787.639999999999</v>
      </c>
      <c r="L80" s="67" t="n">
        <v>5233.940000000001</v>
      </c>
      <c r="M80" s="67" t="n">
        <v>7411.819999999996</v>
      </c>
      <c r="N80" s="64">
        <f>SUM(B80:M80)</f>
        <v/>
      </c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8" t="n"/>
      <c r="W80" s="68" t="n"/>
      <c r="X80" s="68" t="n"/>
      <c r="Y80" s="68" t="n"/>
      <c r="Z80" s="68" t="n"/>
      <c r="AA80" s="64">
        <f>SUM(O80:T80)</f>
        <v/>
      </c>
      <c r="AB80" s="8" t="n"/>
      <c r="AC80" s="68" t="n"/>
      <c r="AD80" s="68" t="n"/>
      <c r="AE80" s="68" t="n"/>
      <c r="AF80" s="68" t="n"/>
      <c r="AG80" s="68" t="n"/>
      <c r="AH80" s="68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7">
        <f>SUM(AC80:AH80)+SUM(AI80:AN80)</f>
        <v/>
      </c>
      <c r="AP80" s="145">
        <f>IF(AB80&lt;&gt;0,(AO80-AB80)/ABS(AB80),0)</f>
        <v/>
      </c>
    </row>
    <row r="81" ht="15.75" customHeight="1">
      <c r="A81" s="8" t="n"/>
      <c r="B81" s="60" t="n">
        <v>0</v>
      </c>
      <c r="C81" s="60" t="n">
        <v>0</v>
      </c>
      <c r="D81" s="60" t="n">
        <v>0</v>
      </c>
      <c r="E81" s="60" t="n">
        <v>0</v>
      </c>
      <c r="F81" s="60" t="n">
        <v>4.547473508864641e-13</v>
      </c>
      <c r="G81" s="60" t="n">
        <v>0</v>
      </c>
      <c r="H81" s="60" t="n">
        <v>0</v>
      </c>
      <c r="I81" s="60" t="n">
        <v>-1.13686837721616e-12</v>
      </c>
      <c r="J81" s="60" t="n">
        <v>1.364242052659392e-12</v>
      </c>
      <c r="K81" s="60" t="n">
        <v>0</v>
      </c>
      <c r="L81" s="60" t="n">
        <v>0</v>
      </c>
      <c r="M81" s="60" t="n">
        <v>0</v>
      </c>
      <c r="N81" s="60">
        <f>SUM(B81:M81)</f>
        <v/>
      </c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3.979039320256561e-12</v>
      </c>
      <c r="G83" s="60" t="n">
        <v>0</v>
      </c>
      <c r="H83" s="60" t="n">
        <v>0</v>
      </c>
      <c r="I83" s="60" t="n">
        <v>2.501110429875553e-12</v>
      </c>
      <c r="J83" s="60" t="n">
        <v>0</v>
      </c>
      <c r="K83" s="60" t="n">
        <v>0</v>
      </c>
      <c r="L83" s="60" t="n">
        <v>0</v>
      </c>
      <c r="M83" s="8" t="n"/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48" t="n">
        <v>0</v>
      </c>
      <c r="AJ83" s="148" t="n">
        <v>0</v>
      </c>
      <c r="AK83" s="148" t="n">
        <v>0</v>
      </c>
      <c r="AL83" s="148" t="n">
        <v>0</v>
      </c>
      <c r="AM83" s="148" t="n">
        <v>0</v>
      </c>
      <c r="AN83" s="148" t="n">
        <v>0</v>
      </c>
      <c r="AO83" s="149">
        <f>SUM(AC83:AH83)+SUM(AI83:AN83)</f>
        <v/>
      </c>
      <c r="AP83" s="145">
        <f>IF(AB83&lt;&gt;0,(AO83-AB83)/ABS(AB83),0)</f>
        <v/>
      </c>
    </row>
    <row r="84">
      <c r="A84" s="8" t="n"/>
      <c r="B84" s="60" t="n">
        <v>-7600.139999999996</v>
      </c>
      <c r="C84" s="60" t="n">
        <v>-8981.249999999996</v>
      </c>
      <c r="D84" s="60" t="n">
        <v>-19506.91</v>
      </c>
      <c r="E84" s="60" t="n">
        <v>-9589.26</v>
      </c>
      <c r="F84" s="60" t="n">
        <v>278.0799999999998</v>
      </c>
      <c r="G84" s="60" t="n">
        <v>-13009.61000000001</v>
      </c>
      <c r="H84" s="60" t="n">
        <v>-15197.46</v>
      </c>
      <c r="I84" s="60" t="n">
        <v>-84.97999999999774</v>
      </c>
      <c r="J84" s="60" t="n">
        <v>573.2599999999998</v>
      </c>
      <c r="K84" s="60" t="n">
        <v>-6787.639999999998</v>
      </c>
      <c r="L84" s="60" t="n">
        <v>-5233.939999999998</v>
      </c>
      <c r="M84" s="8" t="n"/>
      <c r="N84" s="8" t="n"/>
      <c r="O84" s="60">
        <f>SUM('CED TB'!C2:C36)</f>
        <v/>
      </c>
      <c r="P84" s="60">
        <f>SUM('CED TB'!D2:D36)</f>
        <v/>
      </c>
      <c r="Q84" s="60">
        <f>SUM('CED TB'!E2:E36)</f>
        <v/>
      </c>
      <c r="R84" s="60">
        <f>SUM('CED TB'!F2:F36)</f>
        <v/>
      </c>
      <c r="S84" s="60">
        <f>SUM('CED TB'!G2:G36)</f>
        <v/>
      </c>
      <c r="T84" s="60">
        <f>SUM('CED TB'!H2:H36)</f>
        <v/>
      </c>
      <c r="U84" s="60">
        <f>SUM('CED TB'!I2:I36)</f>
        <v/>
      </c>
      <c r="V84" s="60">
        <f>SUM('CED TB'!J2:J36)</f>
        <v/>
      </c>
      <c r="W84" s="60">
        <f>SUM('CED TB'!K2:K36)</f>
        <v/>
      </c>
      <c r="X84" s="60">
        <f>SUM('CED TB'!L2:L36)</f>
        <v/>
      </c>
      <c r="Y84" s="60">
        <f>SUM('CED TB'!M2:M36)</f>
        <v/>
      </c>
      <c r="Z84" s="60">
        <f>SUM('CED TB'!N2:N36)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48" t="n">
        <v>0</v>
      </c>
      <c r="AJ84" s="148" t="n">
        <v>0</v>
      </c>
      <c r="AK84" s="148" t="n">
        <v>0</v>
      </c>
      <c r="AL84" s="148" t="n">
        <v>0</v>
      </c>
      <c r="AM84" s="148" t="n">
        <v>0</v>
      </c>
      <c r="AN84" s="148" t="n">
        <v>0</v>
      </c>
      <c r="AO84" s="149">
        <f>SUM(AC84:AH84)+SUM(AI84:AN84)</f>
        <v/>
      </c>
      <c r="AP84" s="145">
        <f>IF(AB84&lt;&gt;0,(AO84-AB84)/ABS(AB84),0)</f>
        <v/>
      </c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Q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Boot Farm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22608.68</v>
      </c>
      <c r="C8" s="35" t="n">
        <v>22243.72</v>
      </c>
      <c r="D8" s="35" t="n">
        <v>27570.94</v>
      </c>
      <c r="E8" s="35" t="n">
        <v>32753.01</v>
      </c>
      <c r="F8" s="35" t="n">
        <v>29946.42</v>
      </c>
      <c r="G8" s="35" t="n">
        <v>32181.69</v>
      </c>
      <c r="H8" s="35" t="n">
        <v>44859.07</v>
      </c>
      <c r="I8" s="35" t="n">
        <v>41767.17</v>
      </c>
      <c r="J8" s="35" t="n">
        <v>32212.18</v>
      </c>
      <c r="K8" s="35" t="n">
        <v>31485.29</v>
      </c>
      <c r="L8" s="35" t="n">
        <v>27574.28</v>
      </c>
      <c r="M8" s="35" t="n">
        <v>37778.25</v>
      </c>
      <c r="N8" s="36">
        <f>SUM(B8:M8)</f>
        <v/>
      </c>
      <c r="O8" s="37" t="n">
        <v>33113.54000000001</v>
      </c>
      <c r="P8" s="37" t="n">
        <v>31541.7</v>
      </c>
      <c r="Q8" s="37" t="n">
        <v>35742.73</v>
      </c>
      <c r="R8" s="37" t="n">
        <v>40112.94</v>
      </c>
      <c r="S8" s="37" t="n">
        <v>32985.60000000001</v>
      </c>
      <c r="T8" s="37" t="n">
        <v>34775.34</v>
      </c>
      <c r="U8" s="37" t="n">
        <v>43764.87000000001</v>
      </c>
      <c r="V8" s="38" t="n">
        <v>33555.29</v>
      </c>
      <c r="W8" s="38" t="n">
        <v>19742</v>
      </c>
      <c r="X8" s="38" t="n">
        <v>19733</v>
      </c>
      <c r="Y8" s="38" t="n">
        <v>19448</v>
      </c>
      <c r="Z8" s="38" t="n">
        <v>28969</v>
      </c>
      <c r="AA8" s="36">
        <f>SUM(O8:U8)</f>
        <v/>
      </c>
      <c r="AB8" s="36">
        <f>SUM(O8:Z8)</f>
        <v/>
      </c>
      <c r="AC8" s="38" t="n">
        <v>38106.5</v>
      </c>
      <c r="AD8" s="38" t="n">
        <v>35852.39</v>
      </c>
      <c r="AE8" s="38" t="n">
        <v>43430.94</v>
      </c>
      <c r="AF8" s="38" t="n">
        <v>32359.2</v>
      </c>
      <c r="AG8" s="38" t="n">
        <v>31981.84</v>
      </c>
      <c r="AH8" s="38" t="n">
        <v>34163.18</v>
      </c>
      <c r="AI8" s="117" t="n">
        <v>34163.18</v>
      </c>
      <c r="AJ8" s="118" t="n">
        <v>34163.18</v>
      </c>
      <c r="AK8" s="118" t="n">
        <v>34163.18</v>
      </c>
      <c r="AL8" s="118" t="n">
        <v>34163.18</v>
      </c>
      <c r="AM8" s="119" t="n">
        <v>34163.18</v>
      </c>
      <c r="AN8" s="117" t="n">
        <v>34163.18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5242.38</v>
      </c>
      <c r="C9" s="35" t="n">
        <v>14026.65</v>
      </c>
      <c r="D9" s="35" t="n">
        <v>14026.65</v>
      </c>
      <c r="E9" s="35" t="n">
        <v>5098.36</v>
      </c>
      <c r="F9" s="35" t="n">
        <v>5098.36</v>
      </c>
      <c r="G9" s="35" t="n">
        <v>21148.51</v>
      </c>
      <c r="H9" s="35" t="n">
        <v>21148.51</v>
      </c>
      <c r="I9" s="35" t="n">
        <v>0</v>
      </c>
      <c r="J9" s="35" t="n">
        <v>7047.23</v>
      </c>
      <c r="K9" s="35" t="n">
        <v>18081.4</v>
      </c>
      <c r="L9" s="35" t="n">
        <v>18081.4</v>
      </c>
      <c r="M9" s="35" t="n">
        <v>22099.92</v>
      </c>
      <c r="N9" s="36">
        <f>SUM(B9:M9)</f>
        <v/>
      </c>
      <c r="O9" s="37" t="n">
        <v>8524.280000000001</v>
      </c>
      <c r="P9" s="37" t="n">
        <v>23183.36</v>
      </c>
      <c r="Q9" s="37" t="n">
        <v>27880.5</v>
      </c>
      <c r="R9" s="37" t="n">
        <v>19300.66</v>
      </c>
      <c r="S9" s="37" t="n">
        <v>19300.66</v>
      </c>
      <c r="T9" s="37" t="n">
        <v>19088.16</v>
      </c>
      <c r="U9" s="37" t="n">
        <v>21005.55</v>
      </c>
      <c r="V9" s="38" t="n">
        <v>0</v>
      </c>
      <c r="W9" s="38" t="n">
        <v>15801</v>
      </c>
      <c r="X9" s="38" t="n">
        <v>19151</v>
      </c>
      <c r="Y9" s="38" t="n">
        <v>18857</v>
      </c>
      <c r="Z9" s="38" t="n">
        <v>8843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300</v>
      </c>
      <c r="F10" s="35" t="n">
        <v>150</v>
      </c>
      <c r="G10" s="35" t="n">
        <v>2213.27</v>
      </c>
      <c r="H10" s="35" t="n">
        <v>300</v>
      </c>
      <c r="I10" s="35" t="n">
        <v>300</v>
      </c>
      <c r="J10" s="35" t="n">
        <v>150</v>
      </c>
      <c r="K10" s="35" t="n">
        <v>230</v>
      </c>
      <c r="L10" s="35" t="n">
        <v>150</v>
      </c>
      <c r="M10" s="35" t="n">
        <v>150</v>
      </c>
      <c r="N10" s="36">
        <f>SUM(B10:M10)</f>
        <v/>
      </c>
      <c r="O10" s="37" t="n">
        <v>150</v>
      </c>
      <c r="P10" s="37" t="n">
        <v>150</v>
      </c>
      <c r="Q10" s="37" t="n">
        <v>150</v>
      </c>
      <c r="R10" s="37" t="n">
        <v>159.23</v>
      </c>
      <c r="S10" s="37" t="n">
        <v>150</v>
      </c>
      <c r="T10" s="37" t="n">
        <v>150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27851.06</v>
      </c>
      <c r="C11" s="42" t="n">
        <v>36270.37</v>
      </c>
      <c r="D11" s="42" t="n">
        <v>41597.59</v>
      </c>
      <c r="E11" s="42" t="n">
        <v>38151.37</v>
      </c>
      <c r="F11" s="42" t="n">
        <v>35194.78</v>
      </c>
      <c r="G11" s="42" t="n">
        <v>55543.46999999999</v>
      </c>
      <c r="H11" s="42" t="n">
        <v>66307.58</v>
      </c>
      <c r="I11" s="42" t="n">
        <v>42067.17</v>
      </c>
      <c r="J11" s="42" t="n">
        <v>39409.41</v>
      </c>
      <c r="K11" s="42" t="n">
        <v>49796.69</v>
      </c>
      <c r="L11" s="42" t="n">
        <v>45805.68</v>
      </c>
      <c r="M11" s="42" t="n">
        <v>60028.17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14028.96</v>
      </c>
      <c r="C16" s="35" t="n">
        <v>16418.51</v>
      </c>
      <c r="D16" s="35" t="n">
        <v>17522.64</v>
      </c>
      <c r="E16" s="35" t="n">
        <v>18482.09</v>
      </c>
      <c r="F16" s="35" t="n">
        <v>20020.2</v>
      </c>
      <c r="G16" s="35" t="n">
        <v>19124.39</v>
      </c>
      <c r="H16" s="35" t="n">
        <v>19993.06</v>
      </c>
      <c r="I16" s="35" t="n">
        <v>18672.65</v>
      </c>
      <c r="J16" s="35" t="n">
        <v>22682.26</v>
      </c>
      <c r="K16" s="35" t="n">
        <v>23747.06</v>
      </c>
      <c r="L16" s="35" t="n">
        <v>22885.49</v>
      </c>
      <c r="M16" s="35" t="n">
        <v>23532.82</v>
      </c>
      <c r="N16" s="36">
        <f>SUM(B16:M16)</f>
        <v/>
      </c>
      <c r="O16" s="37" t="n">
        <v>21737.98</v>
      </c>
      <c r="P16" s="37" t="n">
        <v>23681.85</v>
      </c>
      <c r="Q16" s="37" t="n">
        <v>23572.62</v>
      </c>
      <c r="R16" s="37" t="n">
        <v>22709.62</v>
      </c>
      <c r="S16" s="37" t="n">
        <v>24378.86</v>
      </c>
      <c r="T16" s="37" t="n">
        <v>25046.45</v>
      </c>
      <c r="U16" s="37" t="n">
        <v>26811.22</v>
      </c>
      <c r="V16" s="38" t="n">
        <v>24045</v>
      </c>
      <c r="W16" s="38" t="n">
        <v>24045</v>
      </c>
      <c r="X16" s="38" t="n">
        <v>24045</v>
      </c>
      <c r="Y16" s="38" t="n">
        <v>24045</v>
      </c>
      <c r="Z16" s="38" t="n">
        <v>24045</v>
      </c>
      <c r="AA16" s="36">
        <f>SUM(O16:U16)</f>
        <v/>
      </c>
      <c r="AB16" s="36">
        <f>SUM(O16:Z16)</f>
        <v/>
      </c>
      <c r="AC16" s="38" t="n">
        <v>24045</v>
      </c>
      <c r="AD16" s="38" t="n">
        <v>24045</v>
      </c>
      <c r="AE16" s="38" t="n">
        <v>24045</v>
      </c>
      <c r="AF16" s="38" t="n">
        <v>24045</v>
      </c>
      <c r="AG16" s="38" t="n">
        <v>24045</v>
      </c>
      <c r="AH16" s="38" t="n">
        <v>24045</v>
      </c>
      <c r="AI16" s="117" t="n">
        <v>24045</v>
      </c>
      <c r="AJ16" s="118" t="n">
        <v>24045</v>
      </c>
      <c r="AK16" s="118" t="n">
        <v>24045</v>
      </c>
      <c r="AL16" s="118" t="n">
        <v>24045</v>
      </c>
      <c r="AM16" s="119" t="n">
        <v>24045</v>
      </c>
      <c r="AN16" s="117" t="n">
        <v>24045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1203.75</v>
      </c>
      <c r="C17" s="35" t="n">
        <v>1428.91</v>
      </c>
      <c r="D17" s="35" t="n">
        <v>1476.68</v>
      </c>
      <c r="E17" s="35" t="n">
        <v>2209.36</v>
      </c>
      <c r="F17" s="35" t="n">
        <v>2440.06</v>
      </c>
      <c r="G17" s="35" t="n">
        <v>2305.71</v>
      </c>
      <c r="H17" s="35" t="n">
        <v>2435.99</v>
      </c>
      <c r="I17" s="35" t="n">
        <v>2237.92</v>
      </c>
      <c r="J17" s="35" t="n">
        <v>2496.6</v>
      </c>
      <c r="K17" s="35" t="n">
        <v>2529.67</v>
      </c>
      <c r="L17" s="35" t="n">
        <v>2509.06</v>
      </c>
      <c r="M17" s="35" t="n">
        <v>2620.8</v>
      </c>
      <c r="N17" s="36">
        <f>SUM(B17:M17)</f>
        <v/>
      </c>
      <c r="O17" s="37" t="n">
        <v>2278.05</v>
      </c>
      <c r="P17" s="37" t="n">
        <v>2565.96</v>
      </c>
      <c r="Q17" s="37" t="n">
        <v>2663.88</v>
      </c>
      <c r="R17" s="37" t="n">
        <v>2675.84</v>
      </c>
      <c r="S17" s="37" t="n">
        <v>2716.1</v>
      </c>
      <c r="T17" s="37" t="n">
        <v>2746.05</v>
      </c>
      <c r="U17" s="37" t="n">
        <v>2955.86</v>
      </c>
      <c r="V17" s="38" t="n">
        <v>2713</v>
      </c>
      <c r="W17" s="38" t="n">
        <v>2713</v>
      </c>
      <c r="X17" s="38" t="n">
        <v>2713</v>
      </c>
      <c r="Y17" s="38" t="n">
        <v>2713</v>
      </c>
      <c r="Z17" s="38" t="n">
        <v>2713</v>
      </c>
      <c r="AA17" s="36">
        <f>SUM(O17:U17)</f>
        <v/>
      </c>
      <c r="AB17" s="36">
        <f>SUM(O17:Z17)</f>
        <v/>
      </c>
      <c r="AC17" s="38" t="n">
        <v>2713</v>
      </c>
      <c r="AD17" s="38" t="n">
        <v>2713</v>
      </c>
      <c r="AE17" s="38" t="n">
        <v>2713</v>
      </c>
      <c r="AF17" s="38" t="n">
        <v>2713</v>
      </c>
      <c r="AG17" s="38" t="n">
        <v>2713</v>
      </c>
      <c r="AH17" s="38" t="n">
        <v>2713</v>
      </c>
      <c r="AI17" s="117" t="n">
        <v>2713</v>
      </c>
      <c r="AJ17" s="118" t="n">
        <v>2713</v>
      </c>
      <c r="AK17" s="118" t="n">
        <v>2713</v>
      </c>
      <c r="AL17" s="118" t="n">
        <v>2713</v>
      </c>
      <c r="AM17" s="119" t="n">
        <v>2713</v>
      </c>
      <c r="AN17" s="117" t="n">
        <v>2713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311.63</v>
      </c>
      <c r="C18" s="35" t="n">
        <v>367.72</v>
      </c>
      <c r="D18" s="35" t="n">
        <v>365.22</v>
      </c>
      <c r="E18" s="35" t="n">
        <v>382.57</v>
      </c>
      <c r="F18" s="35" t="n">
        <v>424.4</v>
      </c>
      <c r="G18" s="35" t="n">
        <v>305.58</v>
      </c>
      <c r="H18" s="35" t="n">
        <v>307.23</v>
      </c>
      <c r="I18" s="35" t="n">
        <v>283.62</v>
      </c>
      <c r="J18" s="35" t="n">
        <v>355.96</v>
      </c>
      <c r="K18" s="35" t="n">
        <v>382.65</v>
      </c>
      <c r="L18" s="35" t="n">
        <v>386.03</v>
      </c>
      <c r="M18" s="35" t="n">
        <v>392.32</v>
      </c>
      <c r="N18" s="36">
        <f>SUM(B18:M18)</f>
        <v/>
      </c>
      <c r="O18" s="37" t="n">
        <v>315.27</v>
      </c>
      <c r="P18" s="37" t="n">
        <v>466.06</v>
      </c>
      <c r="Q18" s="37" t="n">
        <v>442.88</v>
      </c>
      <c r="R18" s="37" t="n">
        <v>419.77</v>
      </c>
      <c r="S18" s="37" t="n">
        <v>440.94</v>
      </c>
      <c r="T18" s="37" t="n">
        <v>498.05</v>
      </c>
      <c r="U18" s="37" t="n">
        <v>494.63</v>
      </c>
      <c r="V18" s="38" t="n">
        <v>453</v>
      </c>
      <c r="W18" s="38" t="n">
        <v>453</v>
      </c>
      <c r="X18" s="38" t="n">
        <v>453</v>
      </c>
      <c r="Y18" s="38" t="n">
        <v>453</v>
      </c>
      <c r="Z18" s="38" t="n">
        <v>453</v>
      </c>
      <c r="AA18" s="36">
        <f>SUM(O18:U18)</f>
        <v/>
      </c>
      <c r="AB18" s="36">
        <f>SUM(O18:Z18)</f>
        <v/>
      </c>
      <c r="AC18" s="38" t="n">
        <v>453</v>
      </c>
      <c r="AD18" s="38" t="n">
        <v>453</v>
      </c>
      <c r="AE18" s="38" t="n">
        <v>453</v>
      </c>
      <c r="AF18" s="38" t="n">
        <v>453</v>
      </c>
      <c r="AG18" s="38" t="n">
        <v>453</v>
      </c>
      <c r="AH18" s="38" t="n">
        <v>453</v>
      </c>
      <c r="AI18" s="117" t="n">
        <v>453</v>
      </c>
      <c r="AJ18" s="118" t="n">
        <v>453</v>
      </c>
      <c r="AK18" s="118" t="n">
        <v>453</v>
      </c>
      <c r="AL18" s="118" t="n">
        <v>453</v>
      </c>
      <c r="AM18" s="119" t="n">
        <v>453</v>
      </c>
      <c r="AN18" s="117" t="n">
        <v>453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166.92</v>
      </c>
      <c r="E19" s="35" t="n">
        <v>0</v>
      </c>
      <c r="F19" s="35" t="n">
        <v>0</v>
      </c>
      <c r="G19" s="35" t="n">
        <v>155.16</v>
      </c>
      <c r="H19" s="35" t="n">
        <v>0</v>
      </c>
      <c r="I19" s="35" t="n">
        <v>0</v>
      </c>
      <c r="J19" s="35" t="n">
        <v>274.38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97.73999999999999</v>
      </c>
      <c r="P19" s="37" t="n">
        <v>0</v>
      </c>
      <c r="Q19" s="37" t="n">
        <v>0</v>
      </c>
      <c r="R19" s="37" t="n">
        <v>0</v>
      </c>
      <c r="S19" s="37" t="n">
        <v>55.43</v>
      </c>
      <c r="T19" s="37" t="n">
        <v>178.56</v>
      </c>
      <c r="U19" s="37" t="n">
        <v>79.68000000000001</v>
      </c>
      <c r="V19" s="38" t="n">
        <v>49</v>
      </c>
      <c r="W19" s="38" t="n">
        <v>49</v>
      </c>
      <c r="X19" s="38" t="n">
        <v>49</v>
      </c>
      <c r="Y19" s="38" t="n">
        <v>49</v>
      </c>
      <c r="Z19" s="38" t="n">
        <v>49</v>
      </c>
      <c r="AA19" s="36">
        <f>SUM(O19:U19)</f>
        <v/>
      </c>
      <c r="AB19" s="36">
        <f>SUM(O19:Z19)</f>
        <v/>
      </c>
      <c r="AC19" s="38" t="n">
        <v>49</v>
      </c>
      <c r="AD19" s="38" t="n">
        <v>49</v>
      </c>
      <c r="AE19" s="38" t="n">
        <v>49</v>
      </c>
      <c r="AF19" s="38" t="n">
        <v>49</v>
      </c>
      <c r="AG19" s="38" t="n">
        <v>49</v>
      </c>
      <c r="AH19" s="38" t="n">
        <v>49</v>
      </c>
      <c r="AI19" s="117" t="n">
        <v>49</v>
      </c>
      <c r="AJ19" s="118" t="n">
        <v>49</v>
      </c>
      <c r="AK19" s="118" t="n">
        <v>49</v>
      </c>
      <c r="AL19" s="118" t="n">
        <v>49</v>
      </c>
      <c r="AM19" s="119" t="n">
        <v>49</v>
      </c>
      <c r="AN19" s="117" t="n">
        <v>49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97.90000000000001</v>
      </c>
      <c r="C20" s="35" t="n">
        <v>24.95</v>
      </c>
      <c r="D20" s="35" t="n">
        <v>53.94</v>
      </c>
      <c r="E20" s="35" t="n">
        <v>109.2</v>
      </c>
      <c r="F20" s="35" t="n">
        <v>36</v>
      </c>
      <c r="G20" s="35" t="n">
        <v>29.94</v>
      </c>
      <c r="H20" s="35" t="n">
        <v>0</v>
      </c>
      <c r="I20" s="35" t="n">
        <v>74.40000000000001</v>
      </c>
      <c r="J20" s="35" t="n">
        <v>387.94</v>
      </c>
      <c r="K20" s="35" t="n">
        <v>115.2</v>
      </c>
      <c r="L20" s="35" t="n">
        <v>45</v>
      </c>
      <c r="M20" s="35" t="n">
        <v>636.5</v>
      </c>
      <c r="N20" s="36">
        <f>SUM(B20:M20)</f>
        <v/>
      </c>
      <c r="O20" s="37" t="n">
        <v>666.6700000000001</v>
      </c>
      <c r="P20" s="37" t="n">
        <v>78</v>
      </c>
      <c r="Q20" s="37" t="n">
        <v>0</v>
      </c>
      <c r="R20" s="37" t="n">
        <v>10</v>
      </c>
      <c r="S20" s="37" t="n">
        <v>78</v>
      </c>
      <c r="T20" s="37" t="n">
        <v>0</v>
      </c>
      <c r="U20" s="37" t="n">
        <v>0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7" t="n">
        <v>100</v>
      </c>
      <c r="AJ20" s="118" t="n">
        <v>100</v>
      </c>
      <c r="AK20" s="118" t="n">
        <v>100</v>
      </c>
      <c r="AL20" s="118" t="n">
        <v>100</v>
      </c>
      <c r="AM20" s="119" t="n">
        <v>100</v>
      </c>
      <c r="AN20" s="117" t="n">
        <v>100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6</v>
      </c>
      <c r="C21" s="35" t="n">
        <v>169.43</v>
      </c>
      <c r="D21" s="35" t="n">
        <v>78.2</v>
      </c>
      <c r="E21" s="35" t="n">
        <v>155.13</v>
      </c>
      <c r="F21" s="35" t="n">
        <v>174.31</v>
      </c>
      <c r="G21" s="35" t="n">
        <v>86.18000000000001</v>
      </c>
      <c r="H21" s="35" t="n">
        <v>68.59999999999999</v>
      </c>
      <c r="I21" s="35" t="n">
        <v>55.43</v>
      </c>
      <c r="J21" s="35" t="n">
        <v>96.39</v>
      </c>
      <c r="K21" s="35" t="n">
        <v>12.05</v>
      </c>
      <c r="L21" s="35" t="n">
        <v>77.67</v>
      </c>
      <c r="M21" s="35" t="n">
        <v>88.14</v>
      </c>
      <c r="N21" s="36">
        <f>SUM(B21:M21)</f>
        <v/>
      </c>
      <c r="O21" s="37" t="n">
        <v>73.11</v>
      </c>
      <c r="P21" s="37" t="n">
        <v>37.21</v>
      </c>
      <c r="Q21" s="37" t="n">
        <v>47.72</v>
      </c>
      <c r="R21" s="37" t="n">
        <v>77.59999999999999</v>
      </c>
      <c r="S21" s="37" t="n">
        <v>66.87</v>
      </c>
      <c r="T21" s="37" t="n">
        <v>100.93</v>
      </c>
      <c r="U21" s="37" t="n">
        <v>26.72</v>
      </c>
      <c r="V21" s="38" t="n">
        <v>100</v>
      </c>
      <c r="W21" s="38" t="n">
        <v>100</v>
      </c>
      <c r="X21" s="38" t="n">
        <v>100</v>
      </c>
      <c r="Y21" s="38" t="n">
        <v>100</v>
      </c>
      <c r="Z21" s="38" t="n">
        <v>100</v>
      </c>
      <c r="AA21" s="36">
        <f>SUM(O21:U21)</f>
        <v/>
      </c>
      <c r="AB21" s="36">
        <f>SUM(O21:Z21)</f>
        <v/>
      </c>
      <c r="AC21" s="38" t="n">
        <v>100</v>
      </c>
      <c r="AD21" s="38" t="n">
        <v>100</v>
      </c>
      <c r="AE21" s="38" t="n">
        <v>100</v>
      </c>
      <c r="AF21" s="38" t="n">
        <v>100</v>
      </c>
      <c r="AG21" s="38" t="n">
        <v>100</v>
      </c>
      <c r="AH21" s="38" t="n">
        <v>100</v>
      </c>
      <c r="AI21" s="117" t="n">
        <v>100</v>
      </c>
      <c r="AJ21" s="118" t="n">
        <v>100</v>
      </c>
      <c r="AK21" s="118" t="n">
        <v>100</v>
      </c>
      <c r="AL21" s="118" t="n">
        <v>100</v>
      </c>
      <c r="AM21" s="119" t="n">
        <v>100</v>
      </c>
      <c r="AN21" s="117" t="n">
        <v>100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SUMIF('HAB TB'!$R:$R,'HAB P&amp;L'!$A22,'HAB TB'!C:C)</f>
        <v/>
      </c>
      <c r="P22" s="37">
        <f>SUMIF('HAB TB'!$R:$R,'HAB P&amp;L'!$A22,'HAB TB'!D:D)</f>
        <v/>
      </c>
      <c r="Q22" s="37">
        <f>SUMIF('HAB TB'!$R:$R,'HAB P&amp;L'!$A22,'HAB TB'!E:E)</f>
        <v/>
      </c>
      <c r="R22" s="37">
        <f>SUMIF('HAB TB'!$R:$R,'HAB P&amp;L'!$A22,'HAB TB'!F:F)</f>
        <v/>
      </c>
      <c r="S22" s="37">
        <f>SUMIF('HAB TB'!$R:$R,'HAB P&amp;L'!$A22,'HAB TB'!G:G)</f>
        <v/>
      </c>
      <c r="T22" s="37">
        <f>SUMIF('HAB TB'!$R:$R,'HAB P&amp;L'!$A22,'HAB TB'!H:H)</f>
        <v/>
      </c>
      <c r="U22" s="37">
        <f>SUMIF('HAB TB'!$R:$R,'HAB P&amp;L'!$A22,'HAB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45</v>
      </c>
      <c r="I23" s="35" t="n">
        <v>0</v>
      </c>
      <c r="J23" s="35" t="n">
        <v>62.98</v>
      </c>
      <c r="K23" s="35" t="n">
        <v>32.48</v>
      </c>
      <c r="L23" s="35" t="n">
        <v>14.88</v>
      </c>
      <c r="M23" s="35" t="n">
        <v>130.64</v>
      </c>
      <c r="N23" s="36">
        <f>SUM(B23:M23)</f>
        <v/>
      </c>
      <c r="O23" s="37" t="n">
        <v>18.95</v>
      </c>
      <c r="P23" s="37" t="n">
        <v>58.3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74.22</v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117" t="n">
        <v>42</v>
      </c>
      <c r="AJ23" s="118" t="n">
        <v>42</v>
      </c>
      <c r="AK23" s="118" t="n">
        <v>42</v>
      </c>
      <c r="AL23" s="118" t="n">
        <v>42</v>
      </c>
      <c r="AM23" s="119" t="n">
        <v>42</v>
      </c>
      <c r="AN23" s="117" t="n">
        <v>42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SUMIF('HAB TB'!$R:$R,'HAB P&amp;L'!$A24,'HAB TB'!C:C)</f>
        <v/>
      </c>
      <c r="P24" s="37">
        <f>SUMIF('HAB TB'!$R:$R,'HAB P&amp;L'!$A24,'HAB TB'!D:D)</f>
        <v/>
      </c>
      <c r="Q24" s="37">
        <f>SUMIF('HAB TB'!$R:$R,'HAB P&amp;L'!$A24,'HAB TB'!E:E)</f>
        <v/>
      </c>
      <c r="R24" s="37">
        <f>SUMIF('HAB TB'!$R:$R,'HAB P&amp;L'!$A24,'HAB TB'!F:F)</f>
        <v/>
      </c>
      <c r="S24" s="37">
        <f>SUMIF('HAB TB'!$R:$R,'HAB P&amp;L'!$A24,'HAB TB'!G:G)</f>
        <v/>
      </c>
      <c r="T24" s="37">
        <f>SUMIF('HAB TB'!$R:$R,'HAB P&amp;L'!$A24,'HAB TB'!H:H)</f>
        <v/>
      </c>
      <c r="U24" s="37">
        <f>SUMIF('HAB TB'!$R:$R,'HAB P&amp;L'!$A24,'HAB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15648.24</v>
      </c>
      <c r="C25" s="42" t="n">
        <v>18409.52</v>
      </c>
      <c r="D25" s="42" t="n">
        <v>19663.6</v>
      </c>
      <c r="E25" s="42" t="n">
        <v>21338.35</v>
      </c>
      <c r="F25" s="42" t="n">
        <v>23094.97</v>
      </c>
      <c r="G25" s="42" t="n">
        <v>22006.96</v>
      </c>
      <c r="H25" s="42" t="n">
        <v>22849.88</v>
      </c>
      <c r="I25" s="42" t="n">
        <v>21324.02</v>
      </c>
      <c r="J25" s="42" t="n">
        <v>26356.50999999999</v>
      </c>
      <c r="K25" s="42" t="n">
        <v>26819.11</v>
      </c>
      <c r="L25" s="42" t="n">
        <v>25918.13</v>
      </c>
      <c r="M25" s="42" t="n">
        <v>27401.22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1097.02</v>
      </c>
      <c r="C27" s="35" t="n">
        <v>959.28</v>
      </c>
      <c r="D27" s="35" t="n">
        <v>1015.65</v>
      </c>
      <c r="E27" s="35" t="n">
        <v>970.3099999999999</v>
      </c>
      <c r="F27" s="35" t="n">
        <v>1124.45</v>
      </c>
      <c r="G27" s="35" t="n">
        <v>1191.59</v>
      </c>
      <c r="H27" s="35" t="n">
        <v>1055.31</v>
      </c>
      <c r="I27" s="35" t="n">
        <v>1034.07</v>
      </c>
      <c r="J27" s="35" t="n">
        <v>1031.82</v>
      </c>
      <c r="K27" s="35" t="n">
        <v>1321.23</v>
      </c>
      <c r="L27" s="35" t="n">
        <v>1037.74</v>
      </c>
      <c r="M27" s="35" t="n">
        <v>885.5599999999999</v>
      </c>
      <c r="N27" s="36">
        <f>SUM(B27:M27)</f>
        <v/>
      </c>
      <c r="O27" s="37" t="n">
        <v>968.6899999999999</v>
      </c>
      <c r="P27" s="37" t="n">
        <v>1153.13</v>
      </c>
      <c r="Q27" s="37" t="n">
        <v>1045.2</v>
      </c>
      <c r="R27" s="37" t="n">
        <v>1430.46</v>
      </c>
      <c r="S27" s="37" t="n">
        <v>861.84</v>
      </c>
      <c r="T27" s="37" t="n">
        <v>1051.83</v>
      </c>
      <c r="U27" s="37" t="n">
        <v>1395.99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683.49</v>
      </c>
      <c r="C28" s="35" t="n">
        <v>332.85</v>
      </c>
      <c r="D28" s="35" t="n">
        <v>213.47</v>
      </c>
      <c r="E28" s="35" t="n">
        <v>84.28999999999999</v>
      </c>
      <c r="F28" s="35" t="n">
        <v>1142.04</v>
      </c>
      <c r="G28" s="35" t="n">
        <v>347.81</v>
      </c>
      <c r="H28" s="35" t="n">
        <v>169.15</v>
      </c>
      <c r="I28" s="35" t="n">
        <v>231.52</v>
      </c>
      <c r="J28" s="35" t="n">
        <v>132.85</v>
      </c>
      <c r="K28" s="35" t="n">
        <v>444.81</v>
      </c>
      <c r="L28" s="35" t="n">
        <v>168.92</v>
      </c>
      <c r="M28" s="35" t="n">
        <v>104.22</v>
      </c>
      <c r="N28" s="36">
        <f>SUM(B28:M28)</f>
        <v/>
      </c>
      <c r="O28" s="37" t="n">
        <v>167.5</v>
      </c>
      <c r="P28" s="37" t="n">
        <v>207.32</v>
      </c>
      <c r="Q28" s="37" t="n">
        <v>354.51</v>
      </c>
      <c r="R28" s="37" t="n">
        <v>49.2</v>
      </c>
      <c r="S28" s="37" t="n">
        <v>165.54</v>
      </c>
      <c r="T28" s="37" t="n">
        <v>97.45</v>
      </c>
      <c r="U28" s="37" t="n">
        <v>79.11</v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117" t="n">
        <v>58</v>
      </c>
      <c r="AJ28" s="118" t="n">
        <v>58</v>
      </c>
      <c r="AK28" s="118" t="n">
        <v>58</v>
      </c>
      <c r="AL28" s="118" t="n">
        <v>58</v>
      </c>
      <c r="AM28" s="119" t="n">
        <v>58</v>
      </c>
      <c r="AN28" s="117" t="n">
        <v>58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267.01</v>
      </c>
      <c r="C29" s="35" t="n">
        <v>23.97</v>
      </c>
      <c r="D29" s="35" t="n">
        <v>136.51</v>
      </c>
      <c r="E29" s="35" t="n">
        <v>153.58</v>
      </c>
      <c r="F29" s="35" t="n">
        <v>103.75</v>
      </c>
      <c r="G29" s="35" t="n">
        <v>4.94</v>
      </c>
      <c r="H29" s="35" t="n">
        <v>159.68</v>
      </c>
      <c r="I29" s="35" t="n">
        <v>40.09</v>
      </c>
      <c r="J29" s="35" t="n">
        <v>0</v>
      </c>
      <c r="K29" s="35" t="n">
        <v>131.01</v>
      </c>
      <c r="L29" s="35" t="n">
        <v>45.15000000000001</v>
      </c>
      <c r="M29" s="35" t="n">
        <v>38.38</v>
      </c>
      <c r="N29" s="36">
        <f>SUM(B29:M29)</f>
        <v/>
      </c>
      <c r="O29" s="37" t="n">
        <v>84.06</v>
      </c>
      <c r="P29" s="37" t="n">
        <v>39.52</v>
      </c>
      <c r="Q29" s="37" t="n">
        <v>99.69</v>
      </c>
      <c r="R29" s="37" t="n">
        <v>40.39</v>
      </c>
      <c r="S29" s="37" t="n">
        <v>49.93</v>
      </c>
      <c r="T29" s="37" t="n">
        <v>94.53</v>
      </c>
      <c r="U29" s="37" t="n">
        <v>89.75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69.2</v>
      </c>
      <c r="C30" s="35" t="n">
        <v>20.73</v>
      </c>
      <c r="D30" s="35" t="n">
        <v>82.73</v>
      </c>
      <c r="E30" s="35" t="n">
        <v>16.99</v>
      </c>
      <c r="F30" s="35" t="n">
        <v>110.64</v>
      </c>
      <c r="G30" s="35" t="n">
        <v>52.16</v>
      </c>
      <c r="H30" s="35" t="n">
        <v>63.11</v>
      </c>
      <c r="I30" s="35" t="n">
        <v>0</v>
      </c>
      <c r="J30" s="35" t="n">
        <v>167.04</v>
      </c>
      <c r="K30" s="35" t="n">
        <v>39.54</v>
      </c>
      <c r="L30" s="35" t="n">
        <v>92.5</v>
      </c>
      <c r="M30" s="35" t="n">
        <v>7.71</v>
      </c>
      <c r="N30" s="36">
        <f>SUM(B30:M30)</f>
        <v/>
      </c>
      <c r="O30" s="37" t="n">
        <v>107.66</v>
      </c>
      <c r="P30" s="37" t="n">
        <v>12.79</v>
      </c>
      <c r="Q30" s="37" t="n">
        <v>19.05</v>
      </c>
      <c r="R30" s="37" t="n">
        <v>34.20999999999999</v>
      </c>
      <c r="S30" s="37" t="n">
        <v>42.26</v>
      </c>
      <c r="T30" s="37" t="n">
        <v>62.46</v>
      </c>
      <c r="U30" s="37" t="n">
        <v>43.83</v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7" t="n">
        <v>100</v>
      </c>
      <c r="AJ30" s="118" t="n">
        <v>100</v>
      </c>
      <c r="AK30" s="118" t="n">
        <v>100</v>
      </c>
      <c r="AL30" s="118" t="n">
        <v>100</v>
      </c>
      <c r="AM30" s="119" t="n">
        <v>100</v>
      </c>
      <c r="AN30" s="117" t="n">
        <v>100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158.02</v>
      </c>
      <c r="C31" s="35" t="n">
        <v>184.27</v>
      </c>
      <c r="D31" s="35" t="n">
        <v>189.68</v>
      </c>
      <c r="E31" s="35" t="n">
        <v>63.74</v>
      </c>
      <c r="F31" s="35" t="n">
        <v>202.4</v>
      </c>
      <c r="G31" s="35" t="n">
        <v>267.82</v>
      </c>
      <c r="H31" s="35" t="n">
        <v>261.62</v>
      </c>
      <c r="I31" s="35" t="n">
        <v>42.89</v>
      </c>
      <c r="J31" s="35" t="n">
        <v>215.43</v>
      </c>
      <c r="K31" s="35" t="n">
        <v>821.3499999999999</v>
      </c>
      <c r="L31" s="35" t="n">
        <v>88.28</v>
      </c>
      <c r="M31" s="35" t="n">
        <v>254.5</v>
      </c>
      <c r="N31" s="36">
        <f>SUM(B31:M31)</f>
        <v/>
      </c>
      <c r="O31" s="37" t="n">
        <v>26.67</v>
      </c>
      <c r="P31" s="37" t="n">
        <v>16.99</v>
      </c>
      <c r="Q31" s="37" t="n">
        <v>99.65000000000001</v>
      </c>
      <c r="R31" s="37" t="n">
        <v>30.76</v>
      </c>
      <c r="S31" s="37" t="n">
        <v>48.77</v>
      </c>
      <c r="T31" s="37" t="n">
        <v>139.95</v>
      </c>
      <c r="U31" s="37" t="n">
        <v>191.54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7" t="n">
        <v>50</v>
      </c>
      <c r="AJ31" s="118" t="n">
        <v>50</v>
      </c>
      <c r="AK31" s="118" t="n">
        <v>50</v>
      </c>
      <c r="AL31" s="118" t="n">
        <v>50</v>
      </c>
      <c r="AM31" s="119" t="n">
        <v>50</v>
      </c>
      <c r="AN31" s="117" t="n">
        <v>50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46.88</v>
      </c>
      <c r="C32" s="35" t="n">
        <v>44.14</v>
      </c>
      <c r="D32" s="35" t="n">
        <v>0</v>
      </c>
      <c r="E32" s="35" t="n">
        <v>49.12</v>
      </c>
      <c r="F32" s="35" t="n">
        <v>164.65</v>
      </c>
      <c r="G32" s="35" t="n">
        <v>149.95</v>
      </c>
      <c r="H32" s="35" t="n">
        <v>186.56</v>
      </c>
      <c r="I32" s="35" t="n">
        <v>0</v>
      </c>
      <c r="J32" s="35" t="n">
        <v>102.28</v>
      </c>
      <c r="K32" s="35" t="n">
        <v>135.69</v>
      </c>
      <c r="L32" s="35" t="n">
        <v>165.15</v>
      </c>
      <c r="M32" s="35" t="n">
        <v>270.8</v>
      </c>
      <c r="N32" s="36">
        <f>SUM(B32:M32)</f>
        <v/>
      </c>
      <c r="O32" s="37" t="n">
        <v>37.28</v>
      </c>
      <c r="P32" s="37" t="n">
        <v>173.28</v>
      </c>
      <c r="Q32" s="37" t="n">
        <v>69.61</v>
      </c>
      <c r="R32" s="37" t="n">
        <v>163.95</v>
      </c>
      <c r="S32" s="37" t="n">
        <v>223.29</v>
      </c>
      <c r="T32" s="37" t="n">
        <v>304.13</v>
      </c>
      <c r="U32" s="37" t="n">
        <v>104.9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SUMIF('HAB TB'!$R:$R,'HAB P&amp;L'!$A33,'HAB TB'!C:C)</f>
        <v/>
      </c>
      <c r="P33" s="37">
        <f>SUMIF('HAB TB'!$R:$R,'HAB P&amp;L'!$A33,'HAB TB'!D:D)</f>
        <v/>
      </c>
      <c r="Q33" s="37">
        <f>SUMIF('HAB TB'!$R:$R,'HAB P&amp;L'!$A33,'HAB TB'!E:E)</f>
        <v/>
      </c>
      <c r="R33" s="37">
        <f>SUMIF('HAB TB'!$R:$R,'HAB P&amp;L'!$A33,'HAB TB'!F:F)</f>
        <v/>
      </c>
      <c r="S33" s="37">
        <f>SUMIF('HAB TB'!$R:$R,'HAB P&amp;L'!$A33,'HAB TB'!G:G)</f>
        <v/>
      </c>
      <c r="T33" s="37">
        <f>SUMIF('HAB TB'!$R:$R,'HAB P&amp;L'!$A33,'HAB TB'!H:H)</f>
        <v/>
      </c>
      <c r="U33" s="37">
        <f>SUMIF('HAB TB'!$R:$R,'HAB P&amp;L'!$A33,'HAB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117" t="n">
        <v>8</v>
      </c>
      <c r="AJ33" s="118" t="n">
        <v>8</v>
      </c>
      <c r="AK33" s="118" t="n">
        <v>8</v>
      </c>
      <c r="AL33" s="118" t="n">
        <v>8</v>
      </c>
      <c r="AM33" s="119" t="n">
        <v>8</v>
      </c>
      <c r="AN33" s="117" t="n">
        <v>8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2321.62</v>
      </c>
      <c r="C34" s="42" t="n">
        <v>1565.24</v>
      </c>
      <c r="D34" s="42" t="n">
        <v>1638.04</v>
      </c>
      <c r="E34" s="42" t="n">
        <v>1338.03</v>
      </c>
      <c r="F34" s="42" t="n">
        <v>2847.93</v>
      </c>
      <c r="G34" s="42" t="n">
        <v>2014.27</v>
      </c>
      <c r="H34" s="42" t="n">
        <v>1895.43</v>
      </c>
      <c r="I34" s="42" t="n">
        <v>1348.57</v>
      </c>
      <c r="J34" s="42" t="n">
        <v>1649.42</v>
      </c>
      <c r="K34" s="42" t="n">
        <v>2893.63</v>
      </c>
      <c r="L34" s="42" t="n">
        <v>1597.74</v>
      </c>
      <c r="M34" s="42" t="n">
        <v>1561.17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4000</v>
      </c>
      <c r="C36" s="35" t="n">
        <v>4000</v>
      </c>
      <c r="D36" s="35" t="n">
        <v>4000</v>
      </c>
      <c r="E36" s="35" t="n">
        <v>4000</v>
      </c>
      <c r="F36" s="35" t="n">
        <v>4000</v>
      </c>
      <c r="G36" s="35" t="n">
        <v>4000</v>
      </c>
      <c r="H36" s="35" t="n">
        <v>4000</v>
      </c>
      <c r="I36" s="35" t="n">
        <v>4000</v>
      </c>
      <c r="J36" s="35" t="n">
        <v>4000</v>
      </c>
      <c r="K36" s="35" t="n">
        <v>4000</v>
      </c>
      <c r="L36" s="35" t="n">
        <v>4000</v>
      </c>
      <c r="M36" s="35" t="n">
        <v>4000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>
        <v>0</v>
      </c>
      <c r="W36" s="38" t="n">
        <v>0</v>
      </c>
      <c r="X36" s="38" t="n">
        <v>0</v>
      </c>
      <c r="Y36" s="38" t="n">
        <v>0</v>
      </c>
      <c r="Z36" s="38" t="n">
        <v>0</v>
      </c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288.13</v>
      </c>
      <c r="C37" s="35" t="n">
        <v>288.13</v>
      </c>
      <c r="D37" s="35" t="n">
        <v>288.13</v>
      </c>
      <c r="E37" s="35" t="n">
        <v>332.67</v>
      </c>
      <c r="F37" s="35" t="n">
        <v>332.66</v>
      </c>
      <c r="G37" s="35" t="n">
        <v>332.67</v>
      </c>
      <c r="H37" s="35" t="n">
        <v>332.67</v>
      </c>
      <c r="I37" s="35" t="n">
        <v>332.67</v>
      </c>
      <c r="J37" s="35" t="n">
        <v>332.67</v>
      </c>
      <c r="K37" s="35" t="n">
        <v>332.67</v>
      </c>
      <c r="L37" s="35" t="n">
        <v>332.67</v>
      </c>
      <c r="M37" s="35" t="n">
        <v>332.67</v>
      </c>
      <c r="N37" s="36">
        <f>SUM(B37:M37)</f>
        <v/>
      </c>
      <c r="O37" s="37" t="n">
        <v>332.66</v>
      </c>
      <c r="P37" s="37" t="n">
        <v>332.66</v>
      </c>
      <c r="Q37" s="37" t="n">
        <v>332.66</v>
      </c>
      <c r="R37" s="37" t="n">
        <v>349.3</v>
      </c>
      <c r="S37" s="37" t="n">
        <v>349.3</v>
      </c>
      <c r="T37" s="37" t="n">
        <v>1234.3</v>
      </c>
      <c r="U37" s="37" t="n">
        <v>349.3</v>
      </c>
      <c r="V37" s="38" t="n">
        <v>567</v>
      </c>
      <c r="W37" s="38" t="n">
        <v>567</v>
      </c>
      <c r="X37" s="38" t="n">
        <v>567</v>
      </c>
      <c r="Y37" s="38" t="n">
        <v>567</v>
      </c>
      <c r="Z37" s="38" t="n">
        <v>567</v>
      </c>
      <c r="AA37" s="36">
        <f>SUM(O37:U37)</f>
        <v/>
      </c>
      <c r="AB37" s="36">
        <f>SUM(O37:Z37)</f>
        <v/>
      </c>
      <c r="AC37" s="38" t="n">
        <v>567</v>
      </c>
      <c r="AD37" s="38" t="n">
        <v>567</v>
      </c>
      <c r="AE37" s="38" t="n">
        <v>567</v>
      </c>
      <c r="AF37" s="38" t="n">
        <v>567</v>
      </c>
      <c r="AG37" s="38" t="n">
        <v>567</v>
      </c>
      <c r="AH37" s="38" t="n">
        <v>567</v>
      </c>
      <c r="AI37" s="117" t="n">
        <v>567</v>
      </c>
      <c r="AJ37" s="118" t="n">
        <v>567</v>
      </c>
      <c r="AK37" s="118" t="n">
        <v>567</v>
      </c>
      <c r="AL37" s="118" t="n">
        <v>567</v>
      </c>
      <c r="AM37" s="119" t="n">
        <v>567</v>
      </c>
      <c r="AN37" s="117" t="n">
        <v>567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303.39</v>
      </c>
      <c r="C38" s="35" t="n">
        <v>600.05</v>
      </c>
      <c r="D38" s="35" t="n">
        <v>339.82</v>
      </c>
      <c r="E38" s="35" t="n">
        <v>1107.55</v>
      </c>
      <c r="F38" s="35" t="n">
        <v>191.41</v>
      </c>
      <c r="G38" s="35" t="n">
        <v>433.34</v>
      </c>
      <c r="H38" s="35" t="n">
        <v>13.48</v>
      </c>
      <c r="I38" s="35" t="n">
        <v>270.72</v>
      </c>
      <c r="J38" s="35" t="n">
        <v>252.23</v>
      </c>
      <c r="K38" s="35" t="n">
        <v>193.9</v>
      </c>
      <c r="L38" s="35" t="n">
        <v>265.24</v>
      </c>
      <c r="M38" s="35" t="n">
        <v>276.9</v>
      </c>
      <c r="N38" s="36">
        <f>SUM(B38:M38)</f>
        <v/>
      </c>
      <c r="O38" s="37" t="n">
        <v>1223.6</v>
      </c>
      <c r="P38" s="37" t="n">
        <v>629.46</v>
      </c>
      <c r="Q38" s="37" t="n">
        <v>822.72</v>
      </c>
      <c r="R38" s="37" t="n">
        <v>0</v>
      </c>
      <c r="S38" s="37" t="n">
        <v>235.27</v>
      </c>
      <c r="T38" s="37" t="n">
        <v>533.9</v>
      </c>
      <c r="U38" s="37" t="n">
        <v>592.62</v>
      </c>
      <c r="V38" s="38" t="n">
        <v>370</v>
      </c>
      <c r="W38" s="38" t="n">
        <v>370</v>
      </c>
      <c r="X38" s="38" t="n">
        <v>370</v>
      </c>
      <c r="Y38" s="38" t="n">
        <v>370</v>
      </c>
      <c r="Z38" s="38" t="n">
        <v>370</v>
      </c>
      <c r="AA38" s="36">
        <f>SUM(O38:U38)</f>
        <v/>
      </c>
      <c r="AB38" s="36">
        <f>SUM(O38:Z38)</f>
        <v/>
      </c>
      <c r="AC38" s="38" t="n">
        <v>370</v>
      </c>
      <c r="AD38" s="38" t="n">
        <v>370</v>
      </c>
      <c r="AE38" s="38" t="n">
        <v>370</v>
      </c>
      <c r="AF38" s="38" t="n">
        <v>370</v>
      </c>
      <c r="AG38" s="38" t="n">
        <v>370</v>
      </c>
      <c r="AH38" s="38" t="n">
        <v>370</v>
      </c>
      <c r="AI38" s="117" t="n">
        <v>370</v>
      </c>
      <c r="AJ38" s="118" t="n">
        <v>370</v>
      </c>
      <c r="AK38" s="118" t="n">
        <v>370</v>
      </c>
      <c r="AL38" s="118" t="n">
        <v>370</v>
      </c>
      <c r="AM38" s="119" t="n">
        <v>370</v>
      </c>
      <c r="AN38" s="117" t="n">
        <v>370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14.75</v>
      </c>
      <c r="C39" s="35" t="n">
        <v>860.16</v>
      </c>
      <c r="D39" s="35" t="n">
        <v>301.16</v>
      </c>
      <c r="E39" s="35" t="n">
        <v>135.95</v>
      </c>
      <c r="F39" s="35" t="n">
        <v>458.8600000000001</v>
      </c>
      <c r="G39" s="35" t="n">
        <v>143.28</v>
      </c>
      <c r="H39" s="35" t="n">
        <v>52.85</v>
      </c>
      <c r="I39" s="35" t="n">
        <v>0</v>
      </c>
      <c r="J39" s="35" t="n">
        <v>837.0300000000001</v>
      </c>
      <c r="K39" s="35" t="n">
        <v>0</v>
      </c>
      <c r="L39" s="35" t="n">
        <v>0</v>
      </c>
      <c r="M39" s="35" t="n">
        <v>0</v>
      </c>
      <c r="N39" s="36">
        <f>SUM(B39:M39)</f>
        <v/>
      </c>
      <c r="O39" s="37" t="n">
        <v>0</v>
      </c>
      <c r="P39" s="37" t="n">
        <v>150</v>
      </c>
      <c r="Q39" s="37" t="n">
        <v>407.76</v>
      </c>
      <c r="R39" s="37" t="n">
        <v>21.45</v>
      </c>
      <c r="S39" s="37" t="n">
        <v>0</v>
      </c>
      <c r="T39" s="37" t="n">
        <v>0</v>
      </c>
      <c r="U39" s="37" t="n">
        <v>132.22</v>
      </c>
      <c r="V39" s="38" t="n"/>
      <c r="W39" s="38" t="n">
        <v>2500</v>
      </c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241.17</v>
      </c>
      <c r="C40" s="35" t="n">
        <v>155.6</v>
      </c>
      <c r="D40" s="35" t="n">
        <v>234.59</v>
      </c>
      <c r="E40" s="35" t="n">
        <v>34.56</v>
      </c>
      <c r="F40" s="35" t="n">
        <v>327.88</v>
      </c>
      <c r="G40" s="35" t="n">
        <v>324.71</v>
      </c>
      <c r="H40" s="35" t="n">
        <v>295.5700000000001</v>
      </c>
      <c r="I40" s="35" t="n">
        <v>176.07</v>
      </c>
      <c r="J40" s="35" t="n">
        <v>356.1900000000001</v>
      </c>
      <c r="K40" s="35" t="n">
        <v>263.93</v>
      </c>
      <c r="L40" s="35" t="n">
        <v>133.32</v>
      </c>
      <c r="M40" s="35" t="n">
        <v>172.64</v>
      </c>
      <c r="N40" s="36">
        <f>SUM(B40:M40)</f>
        <v/>
      </c>
      <c r="O40" s="37" t="n">
        <v>283.56</v>
      </c>
      <c r="P40" s="37" t="n">
        <v>93.11</v>
      </c>
      <c r="Q40" s="37" t="n">
        <v>375.91</v>
      </c>
      <c r="R40" s="37" t="n">
        <v>96.76000000000001</v>
      </c>
      <c r="S40" s="37" t="n">
        <v>261.6</v>
      </c>
      <c r="T40" s="37" t="n">
        <v>118.25</v>
      </c>
      <c r="U40" s="37" t="n">
        <v>366.0600000000001</v>
      </c>
      <c r="V40" s="38" t="n">
        <v>240</v>
      </c>
      <c r="W40" s="38" t="n">
        <v>240</v>
      </c>
      <c r="X40" s="38" t="n">
        <v>240</v>
      </c>
      <c r="Y40" s="38" t="n">
        <v>240</v>
      </c>
      <c r="Z40" s="38" t="n">
        <v>240</v>
      </c>
      <c r="AA40" s="36">
        <f>SUM(O40:U40)</f>
        <v/>
      </c>
      <c r="AB40" s="36">
        <f>SUM(O40:Z40)</f>
        <v/>
      </c>
      <c r="AC40" s="38" t="n">
        <v>240</v>
      </c>
      <c r="AD40" s="38" t="n">
        <v>240</v>
      </c>
      <c r="AE40" s="38" t="n">
        <v>240</v>
      </c>
      <c r="AF40" s="38" t="n">
        <v>240</v>
      </c>
      <c r="AG40" s="38" t="n">
        <v>240</v>
      </c>
      <c r="AH40" s="38" t="n">
        <v>240</v>
      </c>
      <c r="AI40" s="117" t="n">
        <v>240</v>
      </c>
      <c r="AJ40" s="118" t="n">
        <v>240</v>
      </c>
      <c r="AK40" s="118" t="n">
        <v>240</v>
      </c>
      <c r="AL40" s="118" t="n">
        <v>240</v>
      </c>
      <c r="AM40" s="119" t="n">
        <v>240</v>
      </c>
      <c r="AN40" s="117" t="n">
        <v>240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174</v>
      </c>
      <c r="C41" s="35" t="n">
        <v>430.4</v>
      </c>
      <c r="D41" s="35" t="n">
        <v>327.59</v>
      </c>
      <c r="E41" s="35" t="n">
        <v>331.37</v>
      </c>
      <c r="F41" s="35" t="n">
        <v>431.6</v>
      </c>
      <c r="G41" s="35" t="n">
        <v>420.67</v>
      </c>
      <c r="H41" s="35" t="n">
        <v>375.23</v>
      </c>
      <c r="I41" s="35" t="n">
        <v>402.05</v>
      </c>
      <c r="J41" s="35" t="n">
        <v>655.86</v>
      </c>
      <c r="K41" s="35" t="n">
        <v>402.05</v>
      </c>
      <c r="L41" s="35" t="n">
        <v>307.15</v>
      </c>
      <c r="M41" s="35" t="n">
        <v>360.56</v>
      </c>
      <c r="N41" s="36">
        <f>SUM(B41:M41)</f>
        <v/>
      </c>
      <c r="O41" s="37" t="n">
        <v>307.15</v>
      </c>
      <c r="P41" s="37" t="n">
        <v>307.15</v>
      </c>
      <c r="Q41" s="37" t="n">
        <v>345.56</v>
      </c>
      <c r="R41" s="37" t="n">
        <v>415.2</v>
      </c>
      <c r="S41" s="37" t="n">
        <v>343.44</v>
      </c>
      <c r="T41" s="37" t="n">
        <v>208.38</v>
      </c>
      <c r="U41" s="37" t="n">
        <v>434.15</v>
      </c>
      <c r="V41" s="38" t="n">
        <v>395</v>
      </c>
      <c r="W41" s="38" t="n">
        <v>395</v>
      </c>
      <c r="X41" s="38" t="n">
        <v>395</v>
      </c>
      <c r="Y41" s="38" t="n">
        <v>395</v>
      </c>
      <c r="Z41" s="38" t="n">
        <v>395</v>
      </c>
      <c r="AA41" s="36">
        <f>SUM(O41:U41)</f>
        <v/>
      </c>
      <c r="AB41" s="36">
        <f>SUM(O41:Z41)</f>
        <v/>
      </c>
      <c r="AC41" s="38" t="n">
        <v>395</v>
      </c>
      <c r="AD41" s="38" t="n">
        <v>395</v>
      </c>
      <c r="AE41" s="38" t="n">
        <v>395</v>
      </c>
      <c r="AF41" s="38" t="n">
        <v>395</v>
      </c>
      <c r="AG41" s="38" t="n">
        <v>395</v>
      </c>
      <c r="AH41" s="38" t="n">
        <v>395</v>
      </c>
      <c r="AI41" s="117" t="n">
        <v>395</v>
      </c>
      <c r="AJ41" s="118" t="n">
        <v>395</v>
      </c>
      <c r="AK41" s="118" t="n">
        <v>395</v>
      </c>
      <c r="AL41" s="118" t="n">
        <v>395</v>
      </c>
      <c r="AM41" s="119" t="n">
        <v>395</v>
      </c>
      <c r="AN41" s="117" t="n">
        <v>395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57.7</v>
      </c>
      <c r="C42" s="35" t="n">
        <v>32.5</v>
      </c>
      <c r="D42" s="35" t="n">
        <v>46.08</v>
      </c>
      <c r="E42" s="35" t="n">
        <v>27.84</v>
      </c>
      <c r="F42" s="35" t="n">
        <v>46.06</v>
      </c>
      <c r="G42" s="35" t="n">
        <v>31.21</v>
      </c>
      <c r="H42" s="35" t="n">
        <v>278.14</v>
      </c>
      <c r="I42" s="35" t="n">
        <v>30.06</v>
      </c>
      <c r="J42" s="35" t="n">
        <v>26.83</v>
      </c>
      <c r="K42" s="35" t="n">
        <v>100.92</v>
      </c>
      <c r="L42" s="35" t="n">
        <v>34.91</v>
      </c>
      <c r="M42" s="35" t="n">
        <v>59.33000000000001</v>
      </c>
      <c r="N42" s="36">
        <f>SUM(B42:M42)</f>
        <v/>
      </c>
      <c r="O42" s="37" t="n">
        <v>256.04</v>
      </c>
      <c r="P42" s="37" t="n">
        <v>296.51</v>
      </c>
      <c r="Q42" s="37" t="n">
        <v>534</v>
      </c>
      <c r="R42" s="37" t="n">
        <v>639.8100000000001</v>
      </c>
      <c r="S42" s="37" t="n">
        <v>234.32</v>
      </c>
      <c r="T42" s="37" t="n">
        <v>166.74</v>
      </c>
      <c r="U42" s="37" t="n">
        <v>337.08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99.91</v>
      </c>
      <c r="C43" s="35" t="n">
        <v>98.52</v>
      </c>
      <c r="D43" s="35" t="n">
        <v>98.52</v>
      </c>
      <c r="E43" s="35" t="n">
        <v>99.91</v>
      </c>
      <c r="F43" s="35" t="n">
        <v>99.91</v>
      </c>
      <c r="G43" s="35" t="n">
        <v>99.91</v>
      </c>
      <c r="H43" s="35" t="n">
        <v>99.91</v>
      </c>
      <c r="I43" s="35" t="n">
        <v>99.91</v>
      </c>
      <c r="J43" s="35" t="n">
        <v>110.53</v>
      </c>
      <c r="K43" s="35" t="n">
        <v>7.5</v>
      </c>
      <c r="L43" s="35" t="n">
        <v>0</v>
      </c>
      <c r="M43" s="35" t="n">
        <v>7.5</v>
      </c>
      <c r="N43" s="36">
        <f>SUM(B43:M43)</f>
        <v/>
      </c>
      <c r="O43" s="37" t="n">
        <v>72</v>
      </c>
      <c r="P43" s="37" t="n">
        <v>30</v>
      </c>
      <c r="Q43" s="37" t="n">
        <v>0</v>
      </c>
      <c r="R43" s="37" t="n">
        <v>110</v>
      </c>
      <c r="S43" s="37" t="n">
        <v>192</v>
      </c>
      <c r="T43" s="37" t="n">
        <v>335</v>
      </c>
      <c r="U43" s="37" t="n">
        <v>75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SUMIF('HAB TB'!$R:$R,'HAB P&amp;L'!$A44,'HAB TB'!C:C)</f>
        <v/>
      </c>
      <c r="P44" s="37">
        <f>SUMIF('HAB TB'!$R:$R,'HAB P&amp;L'!$A44,'HAB TB'!D:D)</f>
        <v/>
      </c>
      <c r="Q44" s="37">
        <f>SUMIF('HAB TB'!$R:$R,'HAB P&amp;L'!$A44,'HAB TB'!E:E)</f>
        <v/>
      </c>
      <c r="R44" s="37">
        <f>SUMIF('HAB TB'!$R:$R,'HAB P&amp;L'!$A44,'HAB TB'!F:F)</f>
        <v/>
      </c>
      <c r="S44" s="37">
        <f>SUMIF('HAB TB'!$R:$R,'HAB P&amp;L'!$A44,'HAB TB'!G:G)</f>
        <v/>
      </c>
      <c r="T44" s="37">
        <f>SUMIF('HAB TB'!$R:$R,'HAB P&amp;L'!$A44,'HAB TB'!H:H)</f>
        <v/>
      </c>
      <c r="U44" s="37">
        <f>SUMIF('HAB TB'!$R:$R,'HAB P&amp;L'!$A44,'HAB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SUMIF('HAB TB'!$R:$R,'HAB P&amp;L'!$A45,'HAB TB'!C:C)</f>
        <v/>
      </c>
      <c r="P45" s="37">
        <f>SUMIF('HAB TB'!$R:$R,'HAB P&amp;L'!$A45,'HAB TB'!D:D)</f>
        <v/>
      </c>
      <c r="Q45" s="37">
        <f>SUMIF('HAB TB'!$R:$R,'HAB P&amp;L'!$A45,'HAB TB'!E:E)</f>
        <v/>
      </c>
      <c r="R45" s="37">
        <f>SUMIF('HAB TB'!$R:$R,'HAB P&amp;L'!$A45,'HAB TB'!F:F)</f>
        <v/>
      </c>
      <c r="S45" s="37">
        <f>SUMIF('HAB TB'!$R:$R,'HAB P&amp;L'!$A45,'HAB TB'!G:G)</f>
        <v/>
      </c>
      <c r="T45" s="37">
        <f>SUMIF('HAB TB'!$R:$R,'HAB P&amp;L'!$A45,'HAB TB'!H:H)</f>
        <v/>
      </c>
      <c r="U45" s="37">
        <f>SUMIF('HAB TB'!$R:$R,'HAB P&amp;L'!$A45,'HAB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7" t="n">
        <v>100</v>
      </c>
      <c r="AJ45" s="118" t="n">
        <v>100</v>
      </c>
      <c r="AK45" s="118" t="n">
        <v>100</v>
      </c>
      <c r="AL45" s="118" t="n">
        <v>100</v>
      </c>
      <c r="AM45" s="119" t="n">
        <v>100</v>
      </c>
      <c r="AN45" s="117" t="n">
        <v>100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SUMIF('HAB TB'!$R:$R,'HAB P&amp;L'!$A46,'HAB TB'!C:C)</f>
        <v/>
      </c>
      <c r="P46" s="37">
        <f>SUMIF('HAB TB'!$R:$R,'HAB P&amp;L'!$A46,'HAB TB'!D:D)</f>
        <v/>
      </c>
      <c r="Q46" s="37">
        <f>SUMIF('HAB TB'!$R:$R,'HAB P&amp;L'!$A46,'HAB TB'!E:E)</f>
        <v/>
      </c>
      <c r="R46" s="37">
        <f>SUMIF('HAB TB'!$R:$R,'HAB P&amp;L'!$A46,'HAB TB'!F:F)</f>
        <v/>
      </c>
      <c r="S46" s="37">
        <f>SUMIF('HAB TB'!$R:$R,'HAB P&amp;L'!$A46,'HAB TB'!G:G)</f>
        <v/>
      </c>
      <c r="T46" s="37">
        <f>SUMIF('HAB TB'!$R:$R,'HAB P&amp;L'!$A46,'HAB TB'!H:H)</f>
        <v/>
      </c>
      <c r="U46" s="37">
        <f>SUMIF('HAB TB'!$R:$R,'HAB P&amp;L'!$A46,'HAB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5179.05</v>
      </c>
      <c r="C47" s="42" t="n">
        <v>6465.360000000001</v>
      </c>
      <c r="D47" s="42" t="n">
        <v>5635.89</v>
      </c>
      <c r="E47" s="42" t="n">
        <v>6069.85</v>
      </c>
      <c r="F47" s="42" t="n">
        <v>5888.38</v>
      </c>
      <c r="G47" s="42" t="n">
        <v>5785.79</v>
      </c>
      <c r="H47" s="42" t="n">
        <v>5447.849999999999</v>
      </c>
      <c r="I47" s="42" t="n">
        <v>5311.48</v>
      </c>
      <c r="J47" s="42" t="n">
        <v>6571.339999999998</v>
      </c>
      <c r="K47" s="42" t="n">
        <v>5300.97</v>
      </c>
      <c r="L47" s="42" t="n">
        <v>5073.289999999999</v>
      </c>
      <c r="M47" s="42" t="n">
        <v>5209.6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23148.91</v>
      </c>
      <c r="C48" s="23" t="n">
        <v>26440.12</v>
      </c>
      <c r="D48" s="23" t="n">
        <v>26937.53</v>
      </c>
      <c r="E48" s="23" t="n">
        <v>28746.23</v>
      </c>
      <c r="F48" s="23" t="n">
        <v>31831.28000000001</v>
      </c>
      <c r="G48" s="23" t="n">
        <v>29807.02</v>
      </c>
      <c r="H48" s="23" t="n">
        <v>30193.16</v>
      </c>
      <c r="I48" s="23" t="n">
        <v>27984.07</v>
      </c>
      <c r="J48" s="23" t="n">
        <v>34577.26999999999</v>
      </c>
      <c r="K48" s="23" t="n">
        <v>35013.71000000001</v>
      </c>
      <c r="L48" s="23" t="n">
        <v>32589.16</v>
      </c>
      <c r="M48" s="23" t="n">
        <v>34171.99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4702.150000000005</v>
      </c>
      <c r="C50" s="55" t="n">
        <v>9830.25</v>
      </c>
      <c r="D50" s="55" t="n">
        <v>14660.06</v>
      </c>
      <c r="E50" s="55" t="n">
        <v>9405.139999999992</v>
      </c>
      <c r="F50" s="55" t="n">
        <v>3363.499999999993</v>
      </c>
      <c r="G50" s="55" t="n">
        <v>25736.44999999999</v>
      </c>
      <c r="H50" s="55" t="n">
        <v>36114.42</v>
      </c>
      <c r="I50" s="55" t="n">
        <v>14083.1</v>
      </c>
      <c r="J50" s="55" t="n">
        <v>4832.140000000014</v>
      </c>
      <c r="K50" s="55" t="n">
        <v>14782.98</v>
      </c>
      <c r="L50" s="55" t="n">
        <v>13216.52</v>
      </c>
      <c r="M50" s="55" t="n">
        <v>25856.18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SUMIF('HAB TB'!$R:$R,'HAB P&amp;L'!$A53,'HAB TB'!C:C)</f>
        <v/>
      </c>
      <c r="P53" s="37">
        <f>SUMIF('HAB TB'!$R:$R,'HAB P&amp;L'!$A53,'HAB TB'!D:D)</f>
        <v/>
      </c>
      <c r="Q53" s="37">
        <f>SUMIF('HAB TB'!$R:$R,'HAB P&amp;L'!$A53,'HAB TB'!E:E)</f>
        <v/>
      </c>
      <c r="R53" s="37">
        <f>SUMIF('HAB TB'!$R:$R,'HAB P&amp;L'!$A53,'HAB TB'!F:F)</f>
        <v/>
      </c>
      <c r="S53" s="37">
        <f>SUMIF('HAB TB'!$R:$R,'HAB P&amp;L'!$A53,'HAB TB'!G:G)</f>
        <v/>
      </c>
      <c r="T53" s="37">
        <f>SUMIF('HAB TB'!$R:$R,'HAB P&amp;L'!$A53,'HAB TB'!H:H)</f>
        <v/>
      </c>
      <c r="U53" s="37">
        <f>SUMIF('HAB TB'!$R:$R,'HAB P&amp;L'!$A53,'HAB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SUMIF('HAB TB'!$R:$R,'HAB P&amp;L'!$A54,'HAB TB'!C:C)</f>
        <v/>
      </c>
      <c r="P54" s="37">
        <f>SUMIF('HAB TB'!$R:$R,'HAB P&amp;L'!$A54,'HAB TB'!D:D)</f>
        <v/>
      </c>
      <c r="Q54" s="37">
        <f>SUMIF('HAB TB'!$R:$R,'HAB P&amp;L'!$A54,'HAB TB'!E:E)</f>
        <v/>
      </c>
      <c r="R54" s="37">
        <f>SUMIF('HAB TB'!$R:$R,'HAB P&amp;L'!$A54,'HAB TB'!F:F)</f>
        <v/>
      </c>
      <c r="S54" s="37">
        <f>SUMIF('HAB TB'!$R:$R,'HAB P&amp;L'!$A54,'HAB TB'!G:G)</f>
        <v/>
      </c>
      <c r="T54" s="37">
        <f>SUMIF('HAB TB'!$R:$R,'HAB P&amp;L'!$A54,'HAB TB'!H:H)</f>
        <v/>
      </c>
      <c r="U54" s="37">
        <f>SUMIF('HAB TB'!$R:$R,'HAB P&amp;L'!$A54,'HAB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SUMIF('HAB TB'!$R:$R,'HAB P&amp;L'!$A55,'HAB TB'!C:C)</f>
        <v/>
      </c>
      <c r="P55" s="37">
        <f>SUMIF('HAB TB'!$R:$R,'HAB P&amp;L'!$A55,'HAB TB'!D:D)</f>
        <v/>
      </c>
      <c r="Q55" s="37">
        <f>SUMIF('HAB TB'!$R:$R,'HAB P&amp;L'!$A55,'HAB TB'!E:E)</f>
        <v/>
      </c>
      <c r="R55" s="37">
        <f>SUMIF('HAB TB'!$R:$R,'HAB P&amp;L'!$A55,'HAB TB'!F:F)</f>
        <v/>
      </c>
      <c r="S55" s="37">
        <f>SUMIF('HAB TB'!$R:$R,'HAB P&amp;L'!$A55,'HAB TB'!G:G)</f>
        <v/>
      </c>
      <c r="T55" s="37">
        <f>SUMIF('HAB TB'!$R:$R,'HAB P&amp;L'!$A55,'HAB TB'!H:H)</f>
        <v/>
      </c>
      <c r="U55" s="37">
        <f>SUMIF('HAB TB'!$R:$R,'HAB P&amp;L'!$A55,'HAB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SUMIF('HAB TB'!$R:$R,'HAB P&amp;L'!$A56,'HAB TB'!C:C)</f>
        <v/>
      </c>
      <c r="P56" s="37">
        <f>SUMIF('HAB TB'!$R:$R,'HAB P&amp;L'!$A56,'HAB TB'!D:D)</f>
        <v/>
      </c>
      <c r="Q56" s="37">
        <f>SUMIF('HAB TB'!$R:$R,'HAB P&amp;L'!$A56,'HAB TB'!E:E)</f>
        <v/>
      </c>
      <c r="R56" s="37">
        <f>SUMIF('HAB TB'!$R:$R,'HAB P&amp;L'!$A56,'HAB TB'!F:F)</f>
        <v/>
      </c>
      <c r="S56" s="37">
        <f>SUMIF('HAB TB'!$R:$R,'HAB P&amp;L'!$A56,'HAB TB'!G:G)</f>
        <v/>
      </c>
      <c r="T56" s="37">
        <f>SUMIF('HAB TB'!$R:$R,'HAB P&amp;L'!$A56,'HAB TB'!H:H)</f>
        <v/>
      </c>
      <c r="U56" s="37">
        <f>SUMIF('HAB TB'!$R:$R,'HAB P&amp;L'!$A56,'HAB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360</v>
      </c>
      <c r="J57" s="35" t="n">
        <v>0</v>
      </c>
      <c r="K57" s="35" t="n">
        <v>302</v>
      </c>
      <c r="L57" s="35" t="n">
        <v>0</v>
      </c>
      <c r="M57" s="35" t="n">
        <v>0</v>
      </c>
      <c r="N57" s="36">
        <f>SUM(B57:M57)</f>
        <v/>
      </c>
      <c r="O57" s="37">
        <f>SUMIF('HAB TB'!$R:$R,'HAB P&amp;L'!$A57,'HAB TB'!C:C)</f>
        <v/>
      </c>
      <c r="P57" s="37">
        <f>SUMIF('HAB TB'!$R:$R,'HAB P&amp;L'!$A57,'HAB TB'!D:D)</f>
        <v/>
      </c>
      <c r="Q57" s="37">
        <f>SUMIF('HAB TB'!$R:$R,'HAB P&amp;L'!$A57,'HAB TB'!E:E)</f>
        <v/>
      </c>
      <c r="R57" s="37">
        <f>SUMIF('HAB TB'!$R:$R,'HAB P&amp;L'!$A57,'HAB TB'!F:F)</f>
        <v/>
      </c>
      <c r="S57" s="37">
        <f>SUMIF('HAB TB'!$R:$R,'HAB P&amp;L'!$A57,'HAB TB'!G:G)</f>
        <v/>
      </c>
      <c r="T57" s="37">
        <f>SUMIF('HAB TB'!$R:$R,'HAB P&amp;L'!$A57,'HAB TB'!H:H)</f>
        <v/>
      </c>
      <c r="U57" s="37">
        <f>SUMIF('HAB TB'!$R:$R,'HAB P&amp;L'!$A57,'HAB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SUMIF('HAB TB'!$R:$R,'HAB P&amp;L'!$A58,'HAB TB'!C:C)</f>
        <v/>
      </c>
      <c r="P58" s="37">
        <f>SUMIF('HAB TB'!$R:$R,'HAB P&amp;L'!$A58,'HAB TB'!D:D)</f>
        <v/>
      </c>
      <c r="Q58" s="37">
        <f>SUMIF('HAB TB'!$R:$R,'HAB P&amp;L'!$A58,'HAB TB'!E:E)</f>
        <v/>
      </c>
      <c r="R58" s="37">
        <f>SUMIF('HAB TB'!$R:$R,'HAB P&amp;L'!$A58,'HAB TB'!F:F)</f>
        <v/>
      </c>
      <c r="S58" s="37">
        <f>SUMIF('HAB TB'!$R:$R,'HAB P&amp;L'!$A58,'HAB TB'!G:G)</f>
        <v/>
      </c>
      <c r="T58" s="37">
        <f>SUMIF('HAB TB'!$R:$R,'HAB P&amp;L'!$A58,'HAB TB'!H:H)</f>
        <v/>
      </c>
      <c r="U58" s="37">
        <f>SUMIF('HAB TB'!$R:$R,'HAB P&amp;L'!$A58,'HAB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311.37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1.2</v>
      </c>
      <c r="C60" s="35" t="n">
        <v>1.2</v>
      </c>
      <c r="D60" s="35" t="n">
        <v>1.2</v>
      </c>
      <c r="E60" s="35" t="n">
        <v>1.2</v>
      </c>
      <c r="F60" s="35" t="n">
        <v>106.19</v>
      </c>
      <c r="G60" s="35" t="n">
        <v>111</v>
      </c>
      <c r="H60" s="35" t="n">
        <v>1.2</v>
      </c>
      <c r="I60" s="35" t="n">
        <v>46.2</v>
      </c>
      <c r="J60" s="35" t="n">
        <v>0.6</v>
      </c>
      <c r="K60" s="35" t="n">
        <v>68.8</v>
      </c>
      <c r="L60" s="35" t="n">
        <v>1.2</v>
      </c>
      <c r="M60" s="35" t="n">
        <v>1.8</v>
      </c>
      <c r="N60" s="36">
        <f>SUM(B60:M60)</f>
        <v/>
      </c>
      <c r="O60" s="37" t="n">
        <v>83.40000000000001</v>
      </c>
      <c r="P60" s="37" t="n">
        <v>2.4</v>
      </c>
      <c r="Q60" s="37" t="n">
        <v>222.4</v>
      </c>
      <c r="R60" s="37" t="n">
        <v>91.8</v>
      </c>
      <c r="S60" s="37" t="n">
        <v>1.799999999999997</v>
      </c>
      <c r="T60" s="37" t="n">
        <v>107.39</v>
      </c>
      <c r="U60" s="37" t="n">
        <v>1.2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79.86999999999999</v>
      </c>
      <c r="F61" s="35" t="n">
        <v>7.99</v>
      </c>
      <c r="G61" s="35" t="n">
        <v>68.95</v>
      </c>
      <c r="H61" s="35" t="n">
        <v>97.14</v>
      </c>
      <c r="I61" s="35" t="n">
        <v>0</v>
      </c>
      <c r="J61" s="35" t="n">
        <v>0</v>
      </c>
      <c r="K61" s="35" t="n">
        <v>80.61</v>
      </c>
      <c r="L61" s="35" t="n">
        <v>108.91</v>
      </c>
      <c r="M61" s="35" t="n">
        <v>33.88</v>
      </c>
      <c r="N61" s="36">
        <f>SUM(B61:M61)</f>
        <v/>
      </c>
      <c r="O61" s="37">
        <f>SUMIF('HAB TB'!$R:$R,'HAB P&amp;L'!$A61,'HAB TB'!C:C)</f>
        <v/>
      </c>
      <c r="P61" s="37">
        <f>SUMIF('HAB TB'!$R:$R,'HAB P&amp;L'!$A61,'HAB TB'!D:D)</f>
        <v/>
      </c>
      <c r="Q61" s="37">
        <f>SUMIF('HAB TB'!$R:$R,'HAB P&amp;L'!$A61,'HAB TB'!E:E)</f>
        <v/>
      </c>
      <c r="R61" s="37">
        <f>SUMIF('HAB TB'!$R:$R,'HAB P&amp;L'!$A61,'HAB TB'!F:F)</f>
        <v/>
      </c>
      <c r="S61" s="37">
        <f>SUMIF('HAB TB'!$R:$R,'HAB P&amp;L'!$A61,'HAB TB'!G:G)</f>
        <v/>
      </c>
      <c r="T61" s="37">
        <f>SUMIF('HAB TB'!$R:$R,'HAB P&amp;L'!$A61,'HAB TB'!H:H)</f>
        <v/>
      </c>
      <c r="U61" s="37">
        <f>SUMIF('HAB TB'!$R:$R,'HAB P&amp;L'!$A61,'HAB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28</v>
      </c>
      <c r="F62" s="35" t="n">
        <v>57</v>
      </c>
      <c r="G62" s="35" t="n">
        <v>197.4</v>
      </c>
      <c r="H62" s="35" t="n">
        <v>388</v>
      </c>
      <c r="I62" s="35" t="n">
        <v>365.6</v>
      </c>
      <c r="J62" s="35" t="n">
        <v>31</v>
      </c>
      <c r="K62" s="35" t="n">
        <v>60</v>
      </c>
      <c r="L62" s="35" t="n">
        <v>0</v>
      </c>
      <c r="M62" s="35" t="n">
        <v>0</v>
      </c>
      <c r="N62" s="36">
        <f>SUM(B62:M62)</f>
        <v/>
      </c>
      <c r="O62" s="37">
        <f>SUMIF('HAB TB'!$R:$R,'HAB P&amp;L'!$A62,'HAB TB'!C:C)</f>
        <v/>
      </c>
      <c r="P62" s="37">
        <f>SUMIF('HAB TB'!$R:$R,'HAB P&amp;L'!$A62,'HAB TB'!D:D)</f>
        <v/>
      </c>
      <c r="Q62" s="37">
        <f>SUMIF('HAB TB'!$R:$R,'HAB P&amp;L'!$A62,'HAB TB'!E:E)</f>
        <v/>
      </c>
      <c r="R62" s="37">
        <f>SUMIF('HAB TB'!$R:$R,'HAB P&amp;L'!$A62,'HAB TB'!F:F)</f>
        <v/>
      </c>
      <c r="S62" s="37">
        <f>SUMIF('HAB TB'!$R:$R,'HAB P&amp;L'!$A62,'HAB TB'!G:G)</f>
        <v/>
      </c>
      <c r="T62" s="37">
        <f>SUMIF('HAB TB'!$R:$R,'HAB P&amp;L'!$A62,'HAB TB'!H:H)</f>
        <v/>
      </c>
      <c r="U62" s="37">
        <f>SUMIF('HAB TB'!$R:$R,'HAB P&amp;L'!$A62,'HAB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SUMIF('HAB TB'!$R:$R,'HAB P&amp;L'!$A63,'HAB TB'!C:C)</f>
        <v/>
      </c>
      <c r="P63" s="37">
        <f>SUMIF('HAB TB'!$R:$R,'HAB P&amp;L'!$A63,'HAB TB'!D:D)</f>
        <v/>
      </c>
      <c r="Q63" s="37">
        <f>SUMIF('HAB TB'!$R:$R,'HAB P&amp;L'!$A63,'HAB TB'!E:E)</f>
        <v/>
      </c>
      <c r="R63" s="37">
        <f>SUMIF('HAB TB'!$R:$R,'HAB P&amp;L'!$A63,'HAB TB'!F:F)</f>
        <v/>
      </c>
      <c r="S63" s="37">
        <f>SUMIF('HAB TB'!$R:$R,'HAB P&amp;L'!$A63,'HAB TB'!G:G)</f>
        <v/>
      </c>
      <c r="T63" s="37">
        <f>SUMIF('HAB TB'!$R:$R,'HAB P&amp;L'!$A63,'HAB TB'!H:H)</f>
        <v/>
      </c>
      <c r="U63" s="37">
        <f>SUMIF('HAB TB'!$R:$R,'HAB P&amp;L'!$A63,'HAB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SUMIF('HAB TB'!$R:$R,'HAB P&amp;L'!$A64,'HAB TB'!C:C)</f>
        <v/>
      </c>
      <c r="P64" s="37">
        <f>SUMIF('HAB TB'!$R:$R,'HAB P&amp;L'!$A64,'HAB TB'!D:D)</f>
        <v/>
      </c>
      <c r="Q64" s="37">
        <f>SUMIF('HAB TB'!$R:$R,'HAB P&amp;L'!$A64,'HAB TB'!E:E)</f>
        <v/>
      </c>
      <c r="R64" s="37">
        <f>SUMIF('HAB TB'!$R:$R,'HAB P&amp;L'!$A64,'HAB TB'!F:F)</f>
        <v/>
      </c>
      <c r="S64" s="37">
        <f>SUMIF('HAB TB'!$R:$R,'HAB P&amp;L'!$A64,'HAB TB'!G:G)</f>
        <v/>
      </c>
      <c r="T64" s="37">
        <f>SUMIF('HAB TB'!$R:$R,'HAB P&amp;L'!$A64,'HAB TB'!H:H)</f>
        <v/>
      </c>
      <c r="U64" s="37">
        <f>SUMIF('HAB TB'!$R:$R,'HAB P&amp;L'!$A64,'HAB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SUMIF('HAB TB'!$R:$R,'HAB P&amp;L'!$A65,'HAB TB'!C:C)</f>
        <v/>
      </c>
      <c r="P65" s="37">
        <f>SUMIF('HAB TB'!$R:$R,'HAB P&amp;L'!$A65,'HAB TB'!D:D)</f>
        <v/>
      </c>
      <c r="Q65" s="37">
        <f>SUMIF('HAB TB'!$R:$R,'HAB P&amp;L'!$A65,'HAB TB'!E:E)</f>
        <v/>
      </c>
      <c r="R65" s="37">
        <f>SUMIF('HAB TB'!$R:$R,'HAB P&amp;L'!$A65,'HAB TB'!F:F)</f>
        <v/>
      </c>
      <c r="S65" s="37">
        <f>SUMIF('HAB TB'!$R:$R,'HAB P&amp;L'!$A65,'HAB TB'!G:G)</f>
        <v/>
      </c>
      <c r="T65" s="37">
        <f>SUMIF('HAB TB'!$R:$R,'HAB P&amp;L'!$A65,'HAB TB'!H:H)</f>
        <v/>
      </c>
      <c r="U65" s="37">
        <f>SUMIF('HAB TB'!$R:$R,'HAB P&amp;L'!$A65,'HAB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SUMIF('HAB TB'!$R:$R,'HAB P&amp;L'!$A66,'HAB TB'!C:C)</f>
        <v/>
      </c>
      <c r="P66" s="37">
        <f>SUMIF('HAB TB'!$R:$R,'HAB P&amp;L'!$A66,'HAB TB'!D:D)</f>
        <v/>
      </c>
      <c r="Q66" s="37">
        <f>SUMIF('HAB TB'!$R:$R,'HAB P&amp;L'!$A66,'HAB TB'!E:E)</f>
        <v/>
      </c>
      <c r="R66" s="37">
        <f>SUMIF('HAB TB'!$R:$R,'HAB P&amp;L'!$A66,'HAB TB'!F:F)</f>
        <v/>
      </c>
      <c r="S66" s="37">
        <f>SUMIF('HAB TB'!$R:$R,'HAB P&amp;L'!$A66,'HAB TB'!G:G)</f>
        <v/>
      </c>
      <c r="T66" s="37">
        <f>SUMIF('HAB TB'!$R:$R,'HAB P&amp;L'!$A66,'HAB TB'!H:H)</f>
        <v/>
      </c>
      <c r="U66" s="37">
        <f>SUMIF('HAB TB'!$R:$R,'HAB P&amp;L'!$A66,'HAB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1304.8</v>
      </c>
      <c r="F67" s="35" t="n">
        <v>0</v>
      </c>
      <c r="G67" s="35" t="n">
        <v>0</v>
      </c>
      <c r="H67" s="35" t="n">
        <v>42.75</v>
      </c>
      <c r="I67" s="35" t="n">
        <v>-157.25</v>
      </c>
      <c r="J67" s="35" t="n">
        <v>42.75</v>
      </c>
      <c r="K67" s="35" t="n">
        <v>42.75</v>
      </c>
      <c r="L67" s="35" t="n">
        <v>42.75</v>
      </c>
      <c r="M67" s="35" t="n">
        <v>877.95</v>
      </c>
      <c r="N67" s="36">
        <f>SUM(B67:M67)</f>
        <v/>
      </c>
      <c r="O67" s="37">
        <f>SUMIF('HAB TB'!$R:$R,'HAB P&amp;L'!$A67,'HAB TB'!C:C)</f>
        <v/>
      </c>
      <c r="P67" s="37">
        <f>SUMIF('HAB TB'!$R:$R,'HAB P&amp;L'!$A67,'HAB TB'!D:D)</f>
        <v/>
      </c>
      <c r="Q67" s="37">
        <f>SUMIF('HAB TB'!$R:$R,'HAB P&amp;L'!$A67,'HAB TB'!E:E)</f>
        <v/>
      </c>
      <c r="R67" s="37">
        <f>SUMIF('HAB TB'!$R:$R,'HAB P&amp;L'!$A67,'HAB TB'!F:F)</f>
        <v/>
      </c>
      <c r="S67" s="37">
        <f>SUMIF('HAB TB'!$R:$R,'HAB P&amp;L'!$A67,'HAB TB'!G:G)</f>
        <v/>
      </c>
      <c r="T67" s="37">
        <f>SUMIF('HAB TB'!$R:$R,'HAB P&amp;L'!$A67,'HAB TB'!H:H)</f>
        <v/>
      </c>
      <c r="U67" s="37">
        <f>SUMIF('HAB TB'!$R:$R,'HAB P&amp;L'!$A67,'HAB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8.5</v>
      </c>
      <c r="C68" s="35" t="n">
        <v>8.5</v>
      </c>
      <c r="D68" s="35" t="n">
        <v>68.5</v>
      </c>
      <c r="E68" s="35" t="n">
        <v>9.35</v>
      </c>
      <c r="F68" s="35" t="n">
        <v>8.5</v>
      </c>
      <c r="G68" s="35" t="n">
        <v>8.5</v>
      </c>
      <c r="H68" s="35" t="n">
        <v>8.5</v>
      </c>
      <c r="I68" s="35" t="n">
        <v>8.5</v>
      </c>
      <c r="J68" s="35" t="n">
        <v>8.5</v>
      </c>
      <c r="K68" s="35" t="n">
        <v>8.5</v>
      </c>
      <c r="L68" s="35" t="n">
        <v>16</v>
      </c>
      <c r="M68" s="35" t="n">
        <v>8.5</v>
      </c>
      <c r="N68" s="36">
        <f>SUM(B68:M68)</f>
        <v/>
      </c>
      <c r="O68" s="37">
        <f>SUMIF('HAB TB'!$R:$R,'HAB P&amp;L'!$A68,'HAB TB'!C:C)</f>
        <v/>
      </c>
      <c r="P68" s="37">
        <f>SUMIF('HAB TB'!$R:$R,'HAB P&amp;L'!$A68,'HAB TB'!D:D)</f>
        <v/>
      </c>
      <c r="Q68" s="37">
        <f>SUMIF('HAB TB'!$R:$R,'HAB P&amp;L'!$A68,'HAB TB'!E:E)</f>
        <v/>
      </c>
      <c r="R68" s="37">
        <f>SUMIF('HAB TB'!$R:$R,'HAB P&amp;L'!$A68,'HAB TB'!F:F)</f>
        <v/>
      </c>
      <c r="S68" s="37">
        <f>SUMIF('HAB TB'!$R:$R,'HAB P&amp;L'!$A68,'HAB TB'!G:G)</f>
        <v/>
      </c>
      <c r="T68" s="37">
        <f>SUMIF('HAB TB'!$R:$R,'HAB P&amp;L'!$A68,'HAB TB'!H:H)</f>
        <v/>
      </c>
      <c r="U68" s="37">
        <f>SUMIF('HAB TB'!$R:$R,'HAB P&amp;L'!$A68,'HAB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211.08</v>
      </c>
      <c r="C69" s="42" t="n">
        <v>211.08</v>
      </c>
      <c r="D69" s="42" t="n">
        <v>271.08</v>
      </c>
      <c r="E69" s="42" t="n">
        <v>1624.6</v>
      </c>
      <c r="F69" s="42" t="n">
        <v>381.05</v>
      </c>
      <c r="G69" s="42" t="n">
        <v>587.23</v>
      </c>
      <c r="H69" s="42" t="n">
        <v>738.97</v>
      </c>
      <c r="I69" s="42" t="n">
        <v>934.4200000000001</v>
      </c>
      <c r="J69" s="42" t="n">
        <v>284.23</v>
      </c>
      <c r="K69" s="42" t="n">
        <v>777.4599999999999</v>
      </c>
      <c r="L69" s="42" t="n">
        <v>383.66</v>
      </c>
      <c r="M69" s="42" t="n">
        <v>1136.93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4491.070000000005</v>
      </c>
      <c r="C70" s="55" t="n">
        <v>9619.17</v>
      </c>
      <c r="D70" s="55" t="n">
        <v>14388.98</v>
      </c>
      <c r="E70" s="55" t="n">
        <v>7780.539999999992</v>
      </c>
      <c r="F70" s="55" t="n">
        <v>2982.449999999993</v>
      </c>
      <c r="G70" s="55" t="n">
        <v>25149.21999999999</v>
      </c>
      <c r="H70" s="55" t="n">
        <v>35375.45</v>
      </c>
      <c r="I70" s="55" t="n">
        <v>13148.68</v>
      </c>
      <c r="J70" s="55" t="n">
        <v>4547.910000000014</v>
      </c>
      <c r="K70" s="55" t="n">
        <v>14005.52</v>
      </c>
      <c r="L70" s="55" t="n">
        <v>12832.86</v>
      </c>
      <c r="M70" s="55" t="n">
        <v>24719.25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2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60">
        <f>SUM(O71:T71)</f>
        <v/>
      </c>
      <c r="AB71" s="56" t="n"/>
      <c r="AC71" s="8" t="n"/>
      <c r="AD71" s="8" t="n"/>
      <c r="AE71" s="8" t="n"/>
      <c r="AF71" s="8" t="n"/>
      <c r="AG71" s="8" t="n"/>
      <c r="AH71" s="8" t="n"/>
      <c r="AI71" s="148" t="n">
        <v>0</v>
      </c>
      <c r="AJ71" s="148" t="n">
        <v>0</v>
      </c>
      <c r="AK71" s="148" t="n">
        <v>0</v>
      </c>
      <c r="AL71" s="148" t="n">
        <v>0</v>
      </c>
      <c r="AM71" s="148" t="n">
        <v>0</v>
      </c>
      <c r="AN71" s="148" t="n">
        <v>0</v>
      </c>
      <c r="AO71" s="149">
        <f>SUM(AC71:AH71)+SUM(AI71:AN71)</f>
        <v/>
      </c>
      <c r="AP71" s="145">
        <f>IF(AB71&lt;&gt;0,(AO71-AB71)/ABS(AB71),0)</f>
        <v/>
      </c>
    </row>
    <row r="72">
      <c r="A72" s="22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148" t="n">
        <v>0</v>
      </c>
      <c r="AJ72" s="148" t="n">
        <v>0</v>
      </c>
      <c r="AK72" s="148" t="n">
        <v>0</v>
      </c>
      <c r="AL72" s="148" t="n">
        <v>0</v>
      </c>
      <c r="AM72" s="148" t="n">
        <v>0</v>
      </c>
      <c r="AN72" s="148" t="n">
        <v>0</v>
      </c>
      <c r="AO72" s="149">
        <f>SUM(AC72:AH72)+SUM(AI72:AN72)</f>
        <v/>
      </c>
      <c r="AP72" s="145">
        <f>IF(AB72&lt;&gt;0,(AO72-AB72)/ABS(AB72),0)</f>
        <v/>
      </c>
    </row>
    <row r="73">
      <c r="A73" s="34" t="inlineStr">
        <is>
          <t>Borrowing Costs</t>
        </is>
      </c>
      <c r="B73" s="8" t="n"/>
      <c r="C73" s="8" t="n"/>
      <c r="D73" s="8" t="n"/>
      <c r="E73" s="8" t="n"/>
      <c r="F73" s="8" t="n"/>
      <c r="G73" s="8" t="n"/>
      <c r="H73" s="8" t="n"/>
      <c r="I73" s="56" t="n"/>
      <c r="J73" s="56" t="n"/>
      <c r="K73" s="56" t="n"/>
      <c r="L73" s="56" t="n"/>
      <c r="M73" s="56" t="n"/>
      <c r="N73" s="56" t="n"/>
      <c r="O73" s="60" t="n">
        <v>0</v>
      </c>
      <c r="P73" s="60" t="n">
        <v>0</v>
      </c>
      <c r="Q73" s="60" t="n">
        <v>0</v>
      </c>
      <c r="R73" s="60" t="n">
        <v>0</v>
      </c>
      <c r="S73" s="60" t="n">
        <v>0</v>
      </c>
      <c r="T73" s="60" t="n">
        <v>0</v>
      </c>
      <c r="U73" s="60" t="n">
        <v>1</v>
      </c>
      <c r="V73" s="60" t="n">
        <v>0</v>
      </c>
      <c r="W73" s="60" t="n">
        <v>0</v>
      </c>
      <c r="X73" s="60" t="n">
        <v>0</v>
      </c>
      <c r="Y73" s="60" t="n">
        <v>0</v>
      </c>
      <c r="Z73" s="60" t="n">
        <v>0</v>
      </c>
      <c r="AA73" s="8" t="n"/>
      <c r="AB73" s="60">
        <f>SUM(O73:Z73)</f>
        <v/>
      </c>
      <c r="AC73" s="8" t="n"/>
      <c r="AD73" s="8" t="n"/>
      <c r="AE73" s="8" t="n"/>
      <c r="AF73" s="8" t="n"/>
      <c r="AG73" s="8" t="n"/>
      <c r="AH73" s="8" t="n"/>
      <c r="AI73" s="148" t="n">
        <v>0</v>
      </c>
      <c r="AJ73" s="148" t="n">
        <v>0</v>
      </c>
      <c r="AK73" s="148" t="n">
        <v>0</v>
      </c>
      <c r="AL73" s="148" t="n">
        <v>0</v>
      </c>
      <c r="AM73" s="148" t="n">
        <v>0</v>
      </c>
      <c r="AN73" s="148" t="n">
        <v>0</v>
      </c>
      <c r="AO73" s="149">
        <f>SUM(AC73:AH73)+SUM(AI73:AN73)</f>
        <v/>
      </c>
      <c r="AP73" s="145">
        <f>IF(AB73&lt;&gt;0,(AO73-AB73)/ABS(AB73),0)</f>
        <v/>
      </c>
    </row>
    <row r="74">
      <c r="A74" s="34" t="inlineStr">
        <is>
          <t>Depreciation</t>
        </is>
      </c>
      <c r="B74" s="8" t="n"/>
      <c r="C74" s="8" t="n"/>
      <c r="D74" s="8" t="n"/>
      <c r="E74" s="8" t="n"/>
      <c r="F74" s="8" t="n"/>
      <c r="G74" s="8" t="n"/>
      <c r="H74" s="8" t="n"/>
      <c r="I74" s="56" t="n"/>
      <c r="J74" s="56" t="n"/>
      <c r="K74" s="56" t="n"/>
      <c r="L74" s="56" t="n"/>
      <c r="M74" s="56" t="n"/>
      <c r="N74" s="56" t="n"/>
      <c r="O74" s="60" t="n">
        <v>134.8375</v>
      </c>
      <c r="P74" s="60" t="n">
        <v>134.8375</v>
      </c>
      <c r="Q74" s="60" t="n">
        <v>134.8375</v>
      </c>
      <c r="R74" s="60" t="n">
        <v>134.8375</v>
      </c>
      <c r="S74" s="60" t="n">
        <v>134.8375</v>
      </c>
      <c r="T74" s="60" t="n">
        <v>134.8375</v>
      </c>
      <c r="U74" s="60" t="n">
        <v>135.8375</v>
      </c>
      <c r="V74" s="60" t="n">
        <v>134.8375</v>
      </c>
      <c r="W74" s="60" t="n">
        <v>134.8375</v>
      </c>
      <c r="X74" s="60" t="n">
        <v>134.8375</v>
      </c>
      <c r="Y74" s="60" t="n">
        <v>134.8375</v>
      </c>
      <c r="Z74" s="60" t="n">
        <v>134.8375</v>
      </c>
      <c r="AA74" s="8" t="n"/>
      <c r="AB74" s="60">
        <f>SUM(O74:Z74)</f>
        <v/>
      </c>
      <c r="AC74" s="8" t="n"/>
      <c r="AD74" s="8" t="n"/>
      <c r="AE74" s="8" t="n"/>
      <c r="AF74" s="8" t="n"/>
      <c r="AG74" s="8" t="n"/>
      <c r="AH74" s="8" t="n"/>
      <c r="AI74" s="148" t="n">
        <v>0</v>
      </c>
      <c r="AJ74" s="148" t="n">
        <v>0</v>
      </c>
      <c r="AK74" s="148" t="n">
        <v>0</v>
      </c>
      <c r="AL74" s="148" t="n">
        <v>0</v>
      </c>
      <c r="AM74" s="148" t="n">
        <v>0</v>
      </c>
      <c r="AN74" s="148" t="n">
        <v>0</v>
      </c>
      <c r="AO74" s="149">
        <f>SUM(AC74:AH74)+SUM(AI74:AN74)</f>
        <v/>
      </c>
      <c r="AP74" s="145">
        <f>IF(AB74&lt;&gt;0,(AO74-AB74)/ABS(AB74),0)</f>
        <v/>
      </c>
    </row>
    <row r="75">
      <c r="A75" s="34" t="inlineStr">
        <is>
          <t>Amortisation</t>
        </is>
      </c>
      <c r="B75" s="8" t="n"/>
      <c r="C75" s="8" t="n"/>
      <c r="D75" s="8" t="n"/>
      <c r="E75" s="8" t="n"/>
      <c r="F75" s="8" t="n"/>
      <c r="G75" s="8" t="n"/>
      <c r="H75" s="8" t="n"/>
      <c r="I75" s="56" t="n"/>
      <c r="J75" s="56" t="n"/>
      <c r="K75" s="56" t="n"/>
      <c r="L75" s="56" t="n"/>
      <c r="M75" s="56" t="n"/>
      <c r="N75" s="56" t="n"/>
      <c r="O75" s="60" t="n">
        <v>0</v>
      </c>
      <c r="P75" s="60" t="n">
        <v>0</v>
      </c>
      <c r="Q75" s="60" t="n">
        <v>0</v>
      </c>
      <c r="R75" s="60" t="n">
        <v>0</v>
      </c>
      <c r="S75" s="60" t="n">
        <v>0</v>
      </c>
      <c r="T75" s="60" t="n">
        <v>0</v>
      </c>
      <c r="U75" s="60" t="n">
        <v>1</v>
      </c>
      <c r="V75" s="60" t="n">
        <v>0</v>
      </c>
      <c r="W75" s="60" t="n">
        <v>0</v>
      </c>
      <c r="X75" s="60" t="n">
        <v>0</v>
      </c>
      <c r="Y75" s="60" t="n">
        <v>0</v>
      </c>
      <c r="Z75" s="60" t="n">
        <v>0</v>
      </c>
      <c r="AA75" s="8" t="n"/>
      <c r="AB75" s="60">
        <f>SUM(O75:Z75)</f>
        <v/>
      </c>
      <c r="AC75" s="8" t="n"/>
      <c r="AD75" s="8" t="n"/>
      <c r="AE75" s="8" t="n"/>
      <c r="AF75" s="8" t="n"/>
      <c r="AG75" s="8" t="n"/>
      <c r="AH75" s="8" t="n"/>
      <c r="AI75" s="148" t="n">
        <v>0</v>
      </c>
      <c r="AJ75" s="148" t="n">
        <v>0</v>
      </c>
      <c r="AK75" s="148" t="n">
        <v>0</v>
      </c>
      <c r="AL75" s="148" t="n">
        <v>0</v>
      </c>
      <c r="AM75" s="148" t="n">
        <v>0</v>
      </c>
      <c r="AN75" s="148" t="n">
        <v>0</v>
      </c>
      <c r="AO75" s="149">
        <f>SUM(AC75:AH75)+SUM(AI75:AN75)</f>
        <v/>
      </c>
      <c r="AP75" s="145">
        <f>IF(AB75&lt;&gt;0,(AO75-AB75)/ABS(AB75),0)</f>
        <v/>
      </c>
    </row>
    <row r="76">
      <c r="A76" s="70" t="inlineStr">
        <is>
          <t>Profit Before Tax</t>
        </is>
      </c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>
        <f>O70-SUM(O73:O75)</f>
        <v/>
      </c>
      <c r="P76" s="56">
        <f>P70-SUM(P73:P75)</f>
        <v/>
      </c>
      <c r="Q76" s="56">
        <f>Q70-SUM(Q73:Q75)</f>
        <v/>
      </c>
      <c r="R76" s="56">
        <f>R70-SUM(R73:R75)</f>
        <v/>
      </c>
      <c r="S76" s="56">
        <f>S70-SUM(S73:S75)</f>
        <v/>
      </c>
      <c r="T76" s="56">
        <f>T70-SUM(T73:T75)</f>
        <v/>
      </c>
      <c r="U76" s="56">
        <f>U70-SUM(U73:U75)</f>
        <v/>
      </c>
      <c r="V76" s="56">
        <f>V70-SUM(V73:V75)</f>
        <v/>
      </c>
      <c r="W76" s="56">
        <f>W70-SUM(W73:W75)</f>
        <v/>
      </c>
      <c r="X76" s="56">
        <f>X70-SUM(X73:X75)</f>
        <v/>
      </c>
      <c r="Y76" s="56">
        <f>Y70-SUM(Y73:Y75)</f>
        <v/>
      </c>
      <c r="Z76" s="56">
        <f>Z70-SUM(Z73:Z75)</f>
        <v/>
      </c>
      <c r="AA76" s="56" t="n"/>
      <c r="AB76" s="56">
        <f>AB70-SUM(AB73:AB75)</f>
        <v/>
      </c>
      <c r="AC76" s="56" t="n"/>
      <c r="AD76" s="56" t="n"/>
      <c r="AE76" s="56" t="n"/>
      <c r="AF76" s="56" t="n"/>
      <c r="AG76" s="56" t="n"/>
      <c r="AH76" s="56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50">
        <f>SUM(AC76:AH76)+SUM(AI76:AN76)</f>
        <v/>
      </c>
      <c r="AP76" s="145">
        <f>IF(AB76&lt;&gt;0,(AO76-AB76)/ABS(AB76),0)</f>
        <v/>
      </c>
    </row>
    <row r="77" ht="15.75" customHeight="1">
      <c r="A77" s="71" t="inlineStr">
        <is>
          <t>Corp Tax Due</t>
        </is>
      </c>
      <c r="B77" s="64" t="n"/>
      <c r="C77" s="64" t="n"/>
      <c r="D77" s="64" t="n"/>
      <c r="E77" s="64" t="n"/>
      <c r="F77" s="64" t="n"/>
      <c r="G77" s="64" t="n"/>
      <c r="H77" s="64" t="n"/>
      <c r="I77" s="72" t="n"/>
      <c r="J77" s="72" t="n"/>
      <c r="K77" s="72" t="n"/>
      <c r="L77" s="72" t="n"/>
      <c r="M77" s="72" t="n"/>
      <c r="N77" s="72" t="n"/>
      <c r="O77" s="72">
        <f>(O76*0.25)</f>
        <v/>
      </c>
      <c r="P77" s="72">
        <f>(P76*0.25)</f>
        <v/>
      </c>
      <c r="Q77" s="72">
        <f>(Q76*0.25)</f>
        <v/>
      </c>
      <c r="R77" s="72">
        <f>(R76*0.25)</f>
        <v/>
      </c>
      <c r="S77" s="72">
        <f>(S76*0.25)</f>
        <v/>
      </c>
      <c r="T77" s="72">
        <f>(T76*0.25)</f>
        <v/>
      </c>
      <c r="U77" s="72">
        <f>(U76*0.25)</f>
        <v/>
      </c>
      <c r="V77" s="72">
        <f>(V76*0.25)</f>
        <v/>
      </c>
      <c r="W77" s="72">
        <f>(W76*0.25)</f>
        <v/>
      </c>
      <c r="X77" s="72">
        <f>(X76*0.25)</f>
        <v/>
      </c>
      <c r="Y77" s="72">
        <f>(Y76*0.25)</f>
        <v/>
      </c>
      <c r="Z77" s="72">
        <f>(Z76*0.25)</f>
        <v/>
      </c>
      <c r="AA77" s="72" t="n"/>
      <c r="AB77" s="72">
        <f>(AB76*0.25)</f>
        <v/>
      </c>
      <c r="AC77" s="72" t="n"/>
      <c r="AD77" s="72" t="n"/>
      <c r="AE77" s="72" t="n"/>
      <c r="AF77" s="72" t="n"/>
      <c r="AG77" s="72" t="n"/>
      <c r="AH77" s="72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50">
        <f>SUM(AC77:AH77)+SUM(AI77:AN77)</f>
        <v/>
      </c>
      <c r="AP77" s="145">
        <f>IF(AB77&lt;&gt;0,(AO77-AB77)/ABS(AB77),0)</f>
        <v/>
      </c>
    </row>
    <row r="78" ht="15.75" customHeight="1">
      <c r="A78" s="34" t="n"/>
      <c r="B78" s="8" t="n"/>
      <c r="C78" s="8" t="n"/>
      <c r="D78" s="8" t="n"/>
      <c r="E78" s="8" t="n"/>
      <c r="F78" s="8" t="n"/>
      <c r="G78" s="8" t="n"/>
      <c r="H78" s="8" t="n"/>
      <c r="I78" s="56" t="n"/>
      <c r="J78" s="56" t="n"/>
      <c r="K78" s="56" t="n"/>
      <c r="L78" s="56" t="n"/>
      <c r="M78" s="56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6" t="n"/>
      <c r="X78" s="56" t="n"/>
      <c r="Y78" s="56" t="n"/>
      <c r="Z78" s="56" t="n"/>
      <c r="AA78" s="56" t="n"/>
      <c r="AB78" s="56" t="n"/>
      <c r="AC78" s="56" t="n"/>
      <c r="AD78" s="56" t="n"/>
      <c r="AE78" s="56" t="n"/>
      <c r="AF78" s="56" t="n"/>
      <c r="AG78" s="56" t="n"/>
      <c r="AH78" s="56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34" t="n"/>
      <c r="B79" s="8" t="n"/>
      <c r="C79" s="8" t="n"/>
      <c r="D79" s="8" t="n"/>
      <c r="E79" s="8" t="n"/>
      <c r="F79" s="8" t="n"/>
      <c r="G79" s="8" t="n"/>
      <c r="H79" s="8" t="n"/>
      <c r="I79" s="56" t="n"/>
      <c r="J79" s="56" t="n"/>
      <c r="K79" s="56" t="n"/>
      <c r="L79" s="56" t="n"/>
      <c r="M79" s="56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  <c r="AC79" s="56" t="n"/>
      <c r="AD79" s="56" t="n"/>
      <c r="AE79" s="56" t="n"/>
      <c r="AF79" s="56" t="n"/>
      <c r="AG79" s="56" t="n"/>
      <c r="AH79" s="56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>
      <c r="A80" s="34" t="n"/>
      <c r="B80" s="8" t="n"/>
      <c r="C80" s="8" t="n"/>
      <c r="D80" s="8" t="n"/>
      <c r="E80" s="8" t="n"/>
      <c r="F80" s="8" t="n"/>
      <c r="G80" s="8" t="n"/>
      <c r="H80" s="8" t="n"/>
      <c r="I80" s="56" t="n"/>
      <c r="J80" s="56" t="n"/>
      <c r="K80" s="56" t="n"/>
      <c r="L80" s="56" t="n"/>
      <c r="M80" s="56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6" t="n"/>
      <c r="X80" s="56" t="n"/>
      <c r="Y80" s="56" t="n"/>
      <c r="Z80" s="56" t="n"/>
      <c r="AA80" s="56" t="n"/>
      <c r="AB80" s="56" t="n"/>
      <c r="AC80" s="56" t="n"/>
      <c r="AD80" s="56" t="n"/>
      <c r="AE80" s="56" t="n"/>
      <c r="AF80" s="56" t="n"/>
      <c r="AG80" s="56" t="n"/>
      <c r="AH80" s="56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34" t="n"/>
      <c r="B81" s="8" t="n"/>
      <c r="C81" s="8" t="n"/>
      <c r="D81" s="8" t="n"/>
      <c r="E81" s="8" t="n"/>
      <c r="F81" s="8" t="n"/>
      <c r="G81" s="8" t="n"/>
      <c r="H81" s="8" t="n"/>
      <c r="I81" s="56" t="n"/>
      <c r="J81" s="56" t="n"/>
      <c r="K81" s="56" t="n"/>
      <c r="L81" s="56" t="n"/>
      <c r="M81" s="56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  <c r="AC81" s="56" t="n"/>
      <c r="AD81" s="56" t="n"/>
      <c r="AE81" s="56" t="n"/>
      <c r="AF81" s="56" t="n"/>
      <c r="AG81" s="56" t="n"/>
      <c r="AH81" s="56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34" t="n"/>
      <c r="B82" s="8" t="n"/>
      <c r="C82" s="8" t="n"/>
      <c r="D82" s="8" t="n"/>
      <c r="E82" s="8" t="n"/>
      <c r="F82" s="8" t="n"/>
      <c r="G82" s="8" t="n"/>
      <c r="H82" s="8" t="n"/>
      <c r="I82" s="56" t="n"/>
      <c r="J82" s="56" t="n"/>
      <c r="K82" s="56" t="n"/>
      <c r="L82" s="56" t="n"/>
      <c r="M82" s="56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6" t="n"/>
      <c r="X82" s="56" t="n"/>
      <c r="Y82" s="56" t="n"/>
      <c r="Z82" s="56" t="n"/>
      <c r="AA82" s="56" t="n"/>
      <c r="AB82" s="56" t="n"/>
      <c r="AC82" s="56" t="n"/>
      <c r="AD82" s="56" t="n"/>
      <c r="AE82" s="56" t="n"/>
      <c r="AF82" s="56" t="n"/>
      <c r="AG82" s="56" t="n"/>
      <c r="AH82" s="56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34" t="n"/>
      <c r="B83" s="8" t="n"/>
      <c r="C83" s="8" t="n"/>
      <c r="D83" s="8" t="n"/>
      <c r="E83" s="8" t="n"/>
      <c r="F83" s="8" t="n"/>
      <c r="G83" s="8" t="n"/>
      <c r="H83" s="8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  <c r="AC83" s="56" t="n"/>
      <c r="AD83" s="56" t="n"/>
      <c r="AE83" s="56" t="n"/>
      <c r="AF83" s="56" t="n"/>
      <c r="AG83" s="56" t="n"/>
      <c r="AH83" s="56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34" t="n"/>
      <c r="B84" s="8" t="n"/>
      <c r="C84" s="8" t="n"/>
      <c r="D84" s="8" t="n"/>
      <c r="E84" s="8" t="n"/>
      <c r="F84" s="8" t="n"/>
      <c r="G84" s="8" t="n"/>
      <c r="H84" s="8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6" t="n"/>
      <c r="X84" s="56" t="n"/>
      <c r="Y84" s="56" t="n"/>
      <c r="Z84" s="56" t="n"/>
      <c r="AA84" s="56" t="n"/>
      <c r="AB84" s="56" t="n"/>
      <c r="AC84" s="56" t="n"/>
      <c r="AD84" s="56" t="n"/>
      <c r="AE84" s="56" t="n"/>
      <c r="AF84" s="56" t="n"/>
      <c r="AG84" s="56" t="n"/>
      <c r="AH84" s="56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60" t="inlineStr">
        <is>
          <t>Memo</t>
        </is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60">
        <f>SUM(O85:T85)</f>
        <v/>
      </c>
      <c r="AB85" s="56" t="n"/>
      <c r="AC85" s="8" t="n"/>
      <c r="AD85" s="8" t="n"/>
      <c r="AE85" s="8" t="n"/>
      <c r="AF85" s="8" t="n"/>
      <c r="AG85" s="8" t="n"/>
      <c r="AH85" s="8" t="n"/>
      <c r="AI85" s="148" t="n">
        <v>0</v>
      </c>
      <c r="AJ85" s="148" t="n">
        <v>0</v>
      </c>
      <c r="AK85" s="148" t="n">
        <v>0</v>
      </c>
      <c r="AL85" s="148" t="n">
        <v>0</v>
      </c>
      <c r="AM85" s="148" t="n">
        <v>0</v>
      </c>
      <c r="AN85" s="148" t="n">
        <v>0</v>
      </c>
      <c r="AO85" s="149">
        <f>SUM(AC85:AH85)+SUM(AI85:AN85)</f>
        <v/>
      </c>
      <c r="AP85" s="145">
        <f>IF(AB85&lt;&gt;0,(AO85-AB85)/ABS(AB85),0)</f>
        <v/>
      </c>
    </row>
    <row r="86">
      <c r="A86" s="60" t="inlineStr">
        <is>
          <t>Direct - Sales</t>
        </is>
      </c>
      <c r="B86" s="60" t="n">
        <v>27851.06</v>
      </c>
      <c r="C86" s="60" t="n">
        <v>36270.37</v>
      </c>
      <c r="D86" s="60" t="n">
        <v>41597.59</v>
      </c>
      <c r="E86" s="60" t="n">
        <v>38151.37</v>
      </c>
      <c r="F86" s="60" t="n">
        <v>35194.78</v>
      </c>
      <c r="G86" s="60" t="n">
        <v>55543.46999999999</v>
      </c>
      <c r="H86" s="60" t="n">
        <v>66307.58</v>
      </c>
      <c r="I86" s="60" t="n">
        <v>42067.17</v>
      </c>
      <c r="J86" s="60" t="n">
        <v>39409.41</v>
      </c>
      <c r="K86" s="60" t="n">
        <v>49796.69</v>
      </c>
      <c r="L86" s="60" t="n">
        <v>45805.68</v>
      </c>
      <c r="M86" s="8" t="n"/>
      <c r="N86" s="8" t="n"/>
      <c r="O86" s="60">
        <f>-SUMIF('HAB TB'!$T:$T,'HAB P&amp;L'!$A86,'HAB TB'!C:C)</f>
        <v/>
      </c>
      <c r="P86" s="60">
        <f>-SUMIF('HAB TB'!$T:$T,'HAB P&amp;L'!$A86,'HAB TB'!D:D)</f>
        <v/>
      </c>
      <c r="Q86" s="60">
        <f>-SUMIF('HAB TB'!$T:$T,'HAB P&amp;L'!$A86,'HAB TB'!E:E)</f>
        <v/>
      </c>
      <c r="R86" s="60">
        <f>-SUMIF('HAB TB'!$T:$T,'HAB P&amp;L'!$A86,'HAB TB'!F:F)</f>
        <v/>
      </c>
      <c r="S86" s="60">
        <f>-SUMIF('HAB TB'!$T:$T,'HAB P&amp;L'!$A86,'HAB TB'!G:G)</f>
        <v/>
      </c>
      <c r="T86" s="60">
        <f>-SUMIF('HAB TB'!$T:$T,'HAB P&amp;L'!$A86,'HAB TB'!H:H)</f>
        <v/>
      </c>
      <c r="U86" s="60">
        <f>-SUMIF('HAB TB'!$T:$T,'HAB P&amp;L'!$A86,'HAB TB'!I:I)</f>
        <v/>
      </c>
      <c r="V86" s="60">
        <f>-SUMIF('HAB TB'!$T:$T,'HAB P&amp;L'!$A86,'HAB TB'!J:J)</f>
        <v/>
      </c>
      <c r="W86" s="60">
        <f>-SUMIF('HAB TB'!$T:$T,'HAB P&amp;L'!$A86,'HAB TB'!K:K)</f>
        <v/>
      </c>
      <c r="X86" s="60">
        <f>-SUMIF('HAB TB'!$T:$T,'HAB P&amp;L'!$A86,'HAB TB'!L:L)</f>
        <v/>
      </c>
      <c r="Y86" s="60">
        <f>-SUMIF('HAB TB'!$T:$T,'HAB P&amp;L'!$A86,'HAB TB'!M:M)</f>
        <v/>
      </c>
      <c r="Z86" s="60">
        <f>-SUMIF('HAB TB'!$T:$T,'HAB P&amp;L'!$A86,'HAB TB'!N:N)</f>
        <v/>
      </c>
      <c r="AA86" s="60">
        <f>SUM(O86:T86)</f>
        <v/>
      </c>
      <c r="AB86" s="8" t="n"/>
      <c r="AC86" s="8" t="n"/>
      <c r="AD86" s="8" t="n"/>
      <c r="AE86" s="8" t="n"/>
      <c r="AF86" s="8" t="n"/>
      <c r="AG86" s="8" t="n"/>
      <c r="AH86" s="8" t="n"/>
      <c r="AI86" s="148" t="n">
        <v>0</v>
      </c>
      <c r="AJ86" s="148" t="n">
        <v>0</v>
      </c>
      <c r="AK86" s="148" t="n">
        <v>0</v>
      </c>
      <c r="AL86" s="148" t="n">
        <v>0</v>
      </c>
      <c r="AM86" s="148" t="n">
        <v>0</v>
      </c>
      <c r="AN86" s="148" t="n">
        <v>0</v>
      </c>
      <c r="AO86" s="149">
        <f>SUM(AC86:AH86)+SUM(AI86:AN86)</f>
        <v/>
      </c>
      <c r="AP86" s="145">
        <f>IF(AB86&lt;&gt;0,(AO86-AB86)/ABS(AB86),0)</f>
        <v/>
      </c>
    </row>
    <row r="87">
      <c r="A87" s="34" t="inlineStr">
        <is>
          <t>Direct - Staff Cost</t>
        </is>
      </c>
      <c r="B87" s="60" t="n">
        <v>-15648.24</v>
      </c>
      <c r="C87" s="60" t="n">
        <v>-18409.52</v>
      </c>
      <c r="D87" s="60" t="n">
        <v>-19663.6</v>
      </c>
      <c r="E87" s="60" t="n">
        <v>-21338.35</v>
      </c>
      <c r="F87" s="60" t="n">
        <v>-23094.97</v>
      </c>
      <c r="G87" s="60" t="n">
        <v>-22006.96</v>
      </c>
      <c r="H87" s="60" t="n">
        <v>-22849.88</v>
      </c>
      <c r="I87" s="60" t="n">
        <v>-21324.02</v>
      </c>
      <c r="J87" s="60" t="n">
        <v>-26356.50999999999</v>
      </c>
      <c r="K87" s="60" t="n">
        <v>-26819.11</v>
      </c>
      <c r="L87" s="60" t="n">
        <v>-25918.13</v>
      </c>
      <c r="M87" s="8" t="n"/>
      <c r="N87" s="8" t="n"/>
      <c r="O87" s="60">
        <f>-SUMIF('HAB TB'!$T:$T,'HAB P&amp;L'!$A87,'HAB TB'!C:C)</f>
        <v/>
      </c>
      <c r="P87" s="60">
        <f>-SUMIF('HAB TB'!$T:$T,'HAB P&amp;L'!$A87,'HAB TB'!D:D)</f>
        <v/>
      </c>
      <c r="Q87" s="60">
        <f>-SUMIF('HAB TB'!$T:$T,'HAB P&amp;L'!$A87,'HAB TB'!E:E)</f>
        <v/>
      </c>
      <c r="R87" s="60">
        <f>-SUMIF('HAB TB'!$T:$T,'HAB P&amp;L'!$A87,'HAB TB'!F:F)</f>
        <v/>
      </c>
      <c r="S87" s="60">
        <f>-SUMIF('HAB TB'!$T:$T,'HAB P&amp;L'!$A87,'HAB TB'!G:G)</f>
        <v/>
      </c>
      <c r="T87" s="60">
        <f>-SUMIF('HAB TB'!$T:$T,'HAB P&amp;L'!$A87,'HAB TB'!H:H)</f>
        <v/>
      </c>
      <c r="U87" s="60">
        <f>-SUMIF('HAB TB'!$T:$T,'HAB P&amp;L'!$A87,'HAB TB'!I:I)</f>
        <v/>
      </c>
      <c r="V87" s="60">
        <f>-SUMIF('HAB TB'!$T:$T,'HAB P&amp;L'!$A87,'HAB TB'!J:J)</f>
        <v/>
      </c>
      <c r="W87" s="60">
        <f>-SUMIF('HAB TB'!$T:$T,'HAB P&amp;L'!$A87,'HAB TB'!K:K)</f>
        <v/>
      </c>
      <c r="X87" s="60">
        <f>-SUMIF('HAB TB'!$T:$T,'HAB P&amp;L'!$A87,'HAB TB'!L:L)</f>
        <v/>
      </c>
      <c r="Y87" s="60">
        <f>-SUMIF('HAB TB'!$T:$T,'HAB P&amp;L'!$A87,'HAB TB'!M:M)</f>
        <v/>
      </c>
      <c r="Z87" s="60">
        <f>-SUMIF('HAB TB'!$T:$T,'HAB P&amp;L'!$A87,'HAB TB'!N:N)</f>
        <v/>
      </c>
      <c r="AA87" s="60">
        <f>SUM(O87:T87)</f>
        <v/>
      </c>
      <c r="AB87" s="8" t="n"/>
      <c r="AC87" s="8" t="n"/>
      <c r="AD87" s="8" t="n"/>
      <c r="AE87" s="8" t="n"/>
      <c r="AF87" s="8" t="n"/>
      <c r="AG87" s="8" t="n"/>
      <c r="AH87" s="8" t="n"/>
      <c r="AI87" s="148" t="n">
        <v>0</v>
      </c>
      <c r="AJ87" s="148" t="n">
        <v>0</v>
      </c>
      <c r="AK87" s="148" t="n">
        <v>0</v>
      </c>
      <c r="AL87" s="148" t="n">
        <v>0</v>
      </c>
      <c r="AM87" s="148" t="n">
        <v>0</v>
      </c>
      <c r="AN87" s="148" t="n">
        <v>0</v>
      </c>
      <c r="AO87" s="149">
        <f>SUM(AC87:AH87)+SUM(AI87:AN87)</f>
        <v/>
      </c>
      <c r="AP87" s="145">
        <f>IF(AB87&lt;&gt;0,(AO87-AB87)/ABS(AB87),0)</f>
        <v/>
      </c>
    </row>
    <row r="88">
      <c r="A88" s="60" t="inlineStr">
        <is>
          <t>Direct - Childcare Cost</t>
        </is>
      </c>
      <c r="B88" s="60" t="n">
        <v>-2321.62</v>
      </c>
      <c r="C88" s="60" t="n">
        <v>-1565.24</v>
      </c>
      <c r="D88" s="60" t="n">
        <v>-1638.04</v>
      </c>
      <c r="E88" s="60" t="n">
        <v>-1338.03</v>
      </c>
      <c r="F88" s="60" t="n">
        <v>-2847.929999999999</v>
      </c>
      <c r="G88" s="60" t="n">
        <v>-2014.27</v>
      </c>
      <c r="H88" s="60" t="n">
        <v>-1895.43</v>
      </c>
      <c r="I88" s="60" t="n">
        <v>-1348.57</v>
      </c>
      <c r="J88" s="60" t="n">
        <v>-1649.42</v>
      </c>
      <c r="K88" s="60" t="n">
        <v>-2893.63</v>
      </c>
      <c r="L88" s="60" t="n">
        <v>-1597.74</v>
      </c>
      <c r="M88" s="60" t="n">
        <v>-1561.17</v>
      </c>
      <c r="N88" s="8" t="n"/>
      <c r="O88" s="60">
        <f>-SUMIF('HAB TB'!$T:$T,'HAB P&amp;L'!$A88,'HAB TB'!C:C)</f>
        <v/>
      </c>
      <c r="P88" s="60">
        <f>-SUMIF('HAB TB'!$T:$T,'HAB P&amp;L'!$A88,'HAB TB'!D:D)</f>
        <v/>
      </c>
      <c r="Q88" s="60">
        <f>-SUMIF('HAB TB'!$T:$T,'HAB P&amp;L'!$A88,'HAB TB'!E:E)</f>
        <v/>
      </c>
      <c r="R88" s="60">
        <f>-SUMIF('HAB TB'!$T:$T,'HAB P&amp;L'!$A88,'HAB TB'!F:F)</f>
        <v/>
      </c>
      <c r="S88" s="60">
        <f>-SUMIF('HAB TB'!$T:$T,'HAB P&amp;L'!$A88,'HAB TB'!G:G)</f>
        <v/>
      </c>
      <c r="T88" s="60">
        <f>-SUMIF('HAB TB'!$T:$T,'HAB P&amp;L'!$A88,'HAB TB'!H:H)</f>
        <v/>
      </c>
      <c r="U88" s="60">
        <f>-SUMIF('HAB TB'!$T:$T,'HAB P&amp;L'!$A88,'HAB TB'!I:I)</f>
        <v/>
      </c>
      <c r="V88" s="60">
        <f>-SUMIF('HAB TB'!$T:$T,'HAB P&amp;L'!$A88,'HAB TB'!J:J)</f>
        <v/>
      </c>
      <c r="W88" s="60">
        <f>-SUMIF('HAB TB'!$T:$T,'HAB P&amp;L'!$A88,'HAB TB'!K:K)</f>
        <v/>
      </c>
      <c r="X88" s="60">
        <f>-SUMIF('HAB TB'!$T:$T,'HAB P&amp;L'!$A88,'HAB TB'!L:L)</f>
        <v/>
      </c>
      <c r="Y88" s="60">
        <f>-SUMIF('HAB TB'!$T:$T,'HAB P&amp;L'!$A88,'HAB TB'!M:M)</f>
        <v/>
      </c>
      <c r="Z88" s="60">
        <f>-SUMIF('HAB TB'!$T:$T,'HAB P&amp;L'!$A88,'HAB TB'!N:N)</f>
        <v/>
      </c>
      <c r="AA88" s="60">
        <f>SUM(O88:T88)</f>
        <v/>
      </c>
      <c r="AB88" s="8" t="n"/>
      <c r="AC88" s="8" t="n"/>
      <c r="AD88" s="8" t="n"/>
      <c r="AE88" s="8" t="n"/>
      <c r="AF88" s="8" t="n"/>
      <c r="AG88" s="8" t="n"/>
      <c r="AH88" s="8" t="n"/>
      <c r="AI88" s="148" t="n">
        <v>0</v>
      </c>
      <c r="AJ88" s="148" t="n">
        <v>0</v>
      </c>
      <c r="AK88" s="148" t="n">
        <v>0</v>
      </c>
      <c r="AL88" s="148" t="n">
        <v>0</v>
      </c>
      <c r="AM88" s="148" t="n">
        <v>0</v>
      </c>
      <c r="AN88" s="148" t="n">
        <v>0</v>
      </c>
      <c r="AO88" s="149">
        <f>SUM(AC88:AH88)+SUM(AI88:AN88)</f>
        <v/>
      </c>
      <c r="AP88" s="145">
        <f>IF(AB88&lt;&gt;0,(AO88-AB88)/ABS(AB88),0)</f>
        <v/>
      </c>
    </row>
    <row r="89">
      <c r="A89" s="60" t="inlineStr">
        <is>
          <t>Direct - Premises &amp; Admin</t>
        </is>
      </c>
      <c r="B89" s="60" t="n">
        <v>-5179.05</v>
      </c>
      <c r="C89" s="60" t="n">
        <v>-6465.360000000001</v>
      </c>
      <c r="D89" s="60" t="n">
        <v>-5635.89</v>
      </c>
      <c r="E89" s="60" t="n">
        <v>-6069.85</v>
      </c>
      <c r="F89" s="60" t="n">
        <v>-5888.38</v>
      </c>
      <c r="G89" s="60" t="n">
        <v>-5785.790000000001</v>
      </c>
      <c r="H89" s="60" t="n">
        <v>-5447.849999999999</v>
      </c>
      <c r="I89" s="60" t="n">
        <v>-5311.48</v>
      </c>
      <c r="J89" s="60" t="n">
        <v>-6571.339999999998</v>
      </c>
      <c r="K89" s="60" t="n">
        <v>-5300.97</v>
      </c>
      <c r="L89" s="60" t="n">
        <v>-5073.289999999999</v>
      </c>
      <c r="M89" s="60" t="n">
        <v>-5209.6</v>
      </c>
      <c r="N89" s="8" t="n"/>
      <c r="O89" s="60">
        <f>-SUMIF('HAB TB'!$T:$T,'HAB P&amp;L'!$A89,'HAB TB'!C:C)</f>
        <v/>
      </c>
      <c r="P89" s="60">
        <f>-SUMIF('HAB TB'!$T:$T,'HAB P&amp;L'!$A89,'HAB TB'!D:D)</f>
        <v/>
      </c>
      <c r="Q89" s="60">
        <f>-SUMIF('HAB TB'!$T:$T,'HAB P&amp;L'!$A89,'HAB TB'!E:E)</f>
        <v/>
      </c>
      <c r="R89" s="60">
        <f>-SUMIF('HAB TB'!$T:$T,'HAB P&amp;L'!$A89,'HAB TB'!F:F)</f>
        <v/>
      </c>
      <c r="S89" s="60">
        <f>-SUMIF('HAB TB'!$T:$T,'HAB P&amp;L'!$A89,'HAB TB'!G:G)</f>
        <v/>
      </c>
      <c r="T89" s="60">
        <f>-SUMIF('HAB TB'!$T:$T,'HAB P&amp;L'!$A89,'HAB TB'!H:H)</f>
        <v/>
      </c>
      <c r="U89" s="60">
        <f>-SUMIF('HAB TB'!$T:$T,'HAB P&amp;L'!$A89,'HAB TB'!I:I)</f>
        <v/>
      </c>
      <c r="V89" s="60">
        <f>-SUMIF('HAB TB'!$T:$T,'HAB P&amp;L'!$A89,'HAB TB'!J:J)</f>
        <v/>
      </c>
      <c r="W89" s="60">
        <f>-SUMIF('HAB TB'!$T:$T,'HAB P&amp;L'!$A89,'HAB TB'!K:K)</f>
        <v/>
      </c>
      <c r="X89" s="60">
        <f>-SUMIF('HAB TB'!$T:$T,'HAB P&amp;L'!$A89,'HAB TB'!L:L)</f>
        <v/>
      </c>
      <c r="Y89" s="60">
        <f>-SUMIF('HAB TB'!$T:$T,'HAB P&amp;L'!$A89,'HAB TB'!M:M)</f>
        <v/>
      </c>
      <c r="Z89" s="60">
        <f>-SUMIF('HAB TB'!$T:$T,'HAB P&amp;L'!$A89,'HAB TB'!N:N)</f>
        <v/>
      </c>
      <c r="AA89" s="60">
        <f>SUM(O89:T89)</f>
        <v/>
      </c>
      <c r="AB89" s="8" t="n"/>
      <c r="AC89" s="8" t="n"/>
      <c r="AD89" s="8" t="n"/>
      <c r="AE89" s="8" t="n"/>
      <c r="AF89" s="8" t="n"/>
      <c r="AG89" s="8" t="n"/>
      <c r="AH89" s="8" t="n"/>
      <c r="AI89" s="148" t="n">
        <v>0</v>
      </c>
      <c r="AJ89" s="148" t="n">
        <v>0</v>
      </c>
      <c r="AK89" s="148" t="n">
        <v>0</v>
      </c>
      <c r="AL89" s="148" t="n">
        <v>0</v>
      </c>
      <c r="AM89" s="148" t="n">
        <v>0</v>
      </c>
      <c r="AN89" s="148" t="n">
        <v>0</v>
      </c>
      <c r="AO89" s="149">
        <f>SUM(AC89:AH89)+SUM(AI89:AN89)</f>
        <v/>
      </c>
      <c r="AP89" s="145">
        <f>IF(AB89&lt;&gt;0,(AO89-AB89)/ABS(AB89),0)</f>
        <v/>
      </c>
    </row>
    <row r="90">
      <c r="A90" s="60" t="inlineStr">
        <is>
          <t>In-Direct - Staff Cost</t>
        </is>
      </c>
      <c r="B90" s="60" t="n">
        <v>0</v>
      </c>
      <c r="C90" s="60" t="n">
        <v>0</v>
      </c>
      <c r="D90" s="60" t="n">
        <v>0</v>
      </c>
      <c r="E90" s="60" t="n">
        <v>0</v>
      </c>
      <c r="F90" s="60" t="n">
        <v>0</v>
      </c>
      <c r="G90" s="60" t="n">
        <v>0</v>
      </c>
      <c r="H90" s="60" t="n">
        <v>0</v>
      </c>
      <c r="I90" s="60" t="n">
        <v>0</v>
      </c>
      <c r="J90" s="60" t="n">
        <v>0</v>
      </c>
      <c r="K90" s="60" t="n">
        <v>0</v>
      </c>
      <c r="L90" s="60" t="n">
        <v>0</v>
      </c>
      <c r="M90" s="60" t="n">
        <v>0</v>
      </c>
      <c r="N90" s="8" t="n"/>
      <c r="O90" s="60">
        <f>-SUMIF('HAB TB'!$T:$T,'HAB P&amp;L'!$A90,'HAB TB'!C:C)</f>
        <v/>
      </c>
      <c r="P90" s="60">
        <f>-SUMIF('HAB TB'!$T:$T,'HAB P&amp;L'!$A90,'HAB TB'!D:D)</f>
        <v/>
      </c>
      <c r="Q90" s="60">
        <f>-SUMIF('HAB TB'!$T:$T,'HAB P&amp;L'!$A90,'HAB TB'!E:E)</f>
        <v/>
      </c>
      <c r="R90" s="60">
        <f>-SUMIF('HAB TB'!$T:$T,'HAB P&amp;L'!$A90,'HAB TB'!F:F)</f>
        <v/>
      </c>
      <c r="S90" s="60">
        <f>-SUMIF('HAB TB'!$T:$T,'HAB P&amp;L'!$A90,'HAB TB'!G:G)</f>
        <v/>
      </c>
      <c r="T90" s="60">
        <f>-SUMIF('HAB TB'!$T:$T,'HAB P&amp;L'!$A90,'HAB TB'!H:H)</f>
        <v/>
      </c>
      <c r="U90" s="60">
        <f>-SUMIF('HAB TB'!$T:$T,'HAB P&amp;L'!$A90,'HAB TB'!I:I)</f>
        <v/>
      </c>
      <c r="V90" s="60">
        <f>-SUMIF('HAB TB'!$T:$T,'HAB P&amp;L'!$A90,'HAB TB'!J:J)</f>
        <v/>
      </c>
      <c r="W90" s="60">
        <f>-SUMIF('HAB TB'!$T:$T,'HAB P&amp;L'!$A90,'HAB TB'!K:K)</f>
        <v/>
      </c>
      <c r="X90" s="60">
        <f>-SUMIF('HAB TB'!$T:$T,'HAB P&amp;L'!$A90,'HAB TB'!L:L)</f>
        <v/>
      </c>
      <c r="Y90" s="60">
        <f>-SUMIF('HAB TB'!$T:$T,'HAB P&amp;L'!$A90,'HAB TB'!M:M)</f>
        <v/>
      </c>
      <c r="Z90" s="60">
        <f>-SUMIF('HAB TB'!$T:$T,'HAB P&amp;L'!$A90,'HAB TB'!N:N)</f>
        <v/>
      </c>
      <c r="AA90" s="60">
        <f>SUM(O90:T90)</f>
        <v/>
      </c>
      <c r="AB90" s="8" t="n"/>
      <c r="AC90" s="8" t="n"/>
      <c r="AD90" s="8" t="n"/>
      <c r="AE90" s="8" t="n"/>
      <c r="AF90" s="8" t="n"/>
      <c r="AG90" s="8" t="n"/>
      <c r="AH90" s="8" t="n"/>
      <c r="AI90" s="148" t="n">
        <v>0</v>
      </c>
      <c r="AJ90" s="148" t="n">
        <v>0</v>
      </c>
      <c r="AK90" s="148" t="n">
        <v>0</v>
      </c>
      <c r="AL90" s="148" t="n">
        <v>0</v>
      </c>
      <c r="AM90" s="148" t="n">
        <v>0</v>
      </c>
      <c r="AN90" s="148" t="n">
        <v>0</v>
      </c>
      <c r="AO90" s="149">
        <f>SUM(AC90:AH90)+SUM(AI90:AN90)</f>
        <v/>
      </c>
      <c r="AP90" s="145">
        <f>IF(AB90&lt;&gt;0,(AO90-AB90)/ABS(AB90),0)</f>
        <v/>
      </c>
    </row>
    <row r="91">
      <c r="A91" s="60" t="inlineStr">
        <is>
          <t>In-Direct - Overheads</t>
        </is>
      </c>
      <c r="B91" s="60" t="n">
        <v>-211.08</v>
      </c>
      <c r="C91" s="60" t="n">
        <v>-211.08</v>
      </c>
      <c r="D91" s="60" t="n">
        <v>-271.08</v>
      </c>
      <c r="E91" s="60" t="n">
        <v>-1624.6</v>
      </c>
      <c r="F91" s="60" t="n">
        <v>-381.05</v>
      </c>
      <c r="G91" s="60" t="n">
        <v>-587.23</v>
      </c>
      <c r="H91" s="60" t="n">
        <v>-738.97</v>
      </c>
      <c r="I91" s="60" t="n">
        <v>-934.4200000000001</v>
      </c>
      <c r="J91" s="60" t="n">
        <v>-284.23</v>
      </c>
      <c r="K91" s="60" t="n">
        <v>-777.4599999999999</v>
      </c>
      <c r="L91" s="60" t="n">
        <v>-383.66</v>
      </c>
      <c r="M91" s="60" t="n">
        <v>-1136.93</v>
      </c>
      <c r="N91" s="8" t="n"/>
      <c r="O91" s="60">
        <f>-SUMIF('HAB TB'!$T:$T,'HAB P&amp;L'!$A91,'HAB TB'!C:C)</f>
        <v/>
      </c>
      <c r="P91" s="60">
        <f>-SUMIF('HAB TB'!$T:$T,'HAB P&amp;L'!$A91,'HAB TB'!D:D)</f>
        <v/>
      </c>
      <c r="Q91" s="60">
        <f>-SUMIF('HAB TB'!$T:$T,'HAB P&amp;L'!$A91,'HAB TB'!E:E)</f>
        <v/>
      </c>
      <c r="R91" s="60">
        <f>-SUMIF('HAB TB'!$T:$T,'HAB P&amp;L'!$A91,'HAB TB'!F:F)</f>
        <v/>
      </c>
      <c r="S91" s="60">
        <f>-SUMIF('HAB TB'!$T:$T,'HAB P&amp;L'!$A91,'HAB TB'!G:G)</f>
        <v/>
      </c>
      <c r="T91" s="60">
        <f>-SUMIF('HAB TB'!$T:$T,'HAB P&amp;L'!$A91,'HAB TB'!H:H)</f>
        <v/>
      </c>
      <c r="U91" s="60">
        <f>-SUMIF('HAB TB'!$T:$T,'HAB P&amp;L'!$A91,'HAB TB'!I:I)</f>
        <v/>
      </c>
      <c r="V91" s="60">
        <f>-SUMIF('HAB TB'!$T:$T,'HAB P&amp;L'!$A91,'HAB TB'!J:J)</f>
        <v/>
      </c>
      <c r="W91" s="60">
        <f>-SUMIF('HAB TB'!$T:$T,'HAB P&amp;L'!$A91,'HAB TB'!K:K)</f>
        <v/>
      </c>
      <c r="X91" s="60">
        <f>-SUMIF('HAB TB'!$T:$T,'HAB P&amp;L'!$A91,'HAB TB'!L:L)</f>
        <v/>
      </c>
      <c r="Y91" s="60">
        <f>-SUMIF('HAB TB'!$T:$T,'HAB P&amp;L'!$A91,'HAB TB'!M:M)</f>
        <v/>
      </c>
      <c r="Z91" s="60">
        <f>-SUMIF('HAB TB'!$T:$T,'HAB P&amp;L'!$A91,'HAB TB'!N:N)</f>
        <v/>
      </c>
      <c r="AA91" s="60">
        <f>SUM(O91:T91)</f>
        <v/>
      </c>
      <c r="AB91" s="8" t="n"/>
      <c r="AC91" s="8" t="n"/>
      <c r="AD91" s="8" t="n"/>
      <c r="AE91" s="8" t="n"/>
      <c r="AF91" s="8" t="n"/>
      <c r="AG91" s="8" t="n"/>
      <c r="AH91" s="8" t="n"/>
      <c r="AI91" s="148" t="n">
        <v>0</v>
      </c>
      <c r="AJ91" s="148" t="n">
        <v>0</v>
      </c>
      <c r="AK91" s="148" t="n">
        <v>0</v>
      </c>
      <c r="AL91" s="148" t="n">
        <v>0</v>
      </c>
      <c r="AM91" s="148" t="n">
        <v>0</v>
      </c>
      <c r="AN91" s="148" t="n">
        <v>0</v>
      </c>
      <c r="AO91" s="149">
        <f>SUM(AC91:AH91)+SUM(AI91:AN91)</f>
        <v/>
      </c>
      <c r="AP91" s="145">
        <f>IF(AB91&lt;&gt;0,(AO91-AB91)/ABS(AB91),0)</f>
        <v/>
      </c>
    </row>
    <row r="92" ht="15.75" customHeight="1">
      <c r="A92" s="8" t="n"/>
      <c r="B92" s="64" t="n">
        <v>4491.070000000004</v>
      </c>
      <c r="C92" s="64" t="n">
        <v>9619.170000000002</v>
      </c>
      <c r="D92" s="64" t="n">
        <v>14388.98</v>
      </c>
      <c r="E92" s="64" t="n">
        <v>7780.539999999992</v>
      </c>
      <c r="F92" s="64" t="n">
        <v>2982.449999999993</v>
      </c>
      <c r="G92" s="64" t="n">
        <v>25149.21999999999</v>
      </c>
      <c r="H92" s="64" t="n">
        <v>35375.45</v>
      </c>
      <c r="I92" s="64" t="n">
        <v>13148.68</v>
      </c>
      <c r="J92" s="64" t="n">
        <v>4547.910000000011</v>
      </c>
      <c r="K92" s="64" t="n">
        <v>14005.52</v>
      </c>
      <c r="L92" s="64" t="n">
        <v>12832.86</v>
      </c>
      <c r="M92" s="64" t="n">
        <v>-7907.700000000001</v>
      </c>
      <c r="N92" s="8" t="n"/>
      <c r="O92" s="64">
        <f>SUM(O86:O91)</f>
        <v/>
      </c>
      <c r="P92" s="64">
        <f>SUM(P86:P91)</f>
        <v/>
      </c>
      <c r="Q92" s="64">
        <f>SUM(Q86:Q91)</f>
        <v/>
      </c>
      <c r="R92" s="64">
        <f>SUM(R86:R91)</f>
        <v/>
      </c>
      <c r="S92" s="64">
        <f>SUM(S86:S91)</f>
        <v/>
      </c>
      <c r="T92" s="64">
        <f>SUM(T86:T91)</f>
        <v/>
      </c>
      <c r="U92" s="64">
        <f>SUM(U86:U91)</f>
        <v/>
      </c>
      <c r="V92" s="64">
        <f>SUM(V86:V91)</f>
        <v/>
      </c>
      <c r="W92" s="64">
        <f>SUM(W86:W91)</f>
        <v/>
      </c>
      <c r="X92" s="64">
        <f>SUM(X86:X91)</f>
        <v/>
      </c>
      <c r="Y92" s="64">
        <f>SUM(Y86:Y91)</f>
        <v/>
      </c>
      <c r="Z92" s="64">
        <f>SUM(Z86:Z91)</f>
        <v/>
      </c>
      <c r="AA92" s="60">
        <f>SUM(O92:T92)</f>
        <v/>
      </c>
      <c r="AB92" s="8" t="n"/>
      <c r="AC92" s="64" t="n"/>
      <c r="AD92" s="64" t="n"/>
      <c r="AE92" s="64" t="n"/>
      <c r="AF92" s="64" t="n"/>
      <c r="AG92" s="64" t="n"/>
      <c r="AH92" s="64" t="n"/>
      <c r="AI92" s="134" t="n">
        <v>0</v>
      </c>
      <c r="AJ92" s="134" t="n">
        <v>0</v>
      </c>
      <c r="AK92" s="134" t="n">
        <v>0</v>
      </c>
      <c r="AL92" s="134" t="n">
        <v>0</v>
      </c>
      <c r="AM92" s="134" t="n">
        <v>0</v>
      </c>
      <c r="AN92" s="134" t="n">
        <v>0</v>
      </c>
      <c r="AO92" s="150">
        <f>SUM(AC92:AH92)+SUM(AI92:AN92)</f>
        <v/>
      </c>
      <c r="AP92" s="145">
        <f>IF(AB92&lt;&gt;0,(AO92-AB92)/ABS(AB92),0)</f>
        <v/>
      </c>
    </row>
    <row r="93" ht="15.75" customHeight="1">
      <c r="A93" s="8" t="n"/>
      <c r="B93" s="60" t="n">
        <v>0</v>
      </c>
      <c r="C93" s="60" t="n">
        <v>0</v>
      </c>
      <c r="D93" s="60" t="n">
        <v>0</v>
      </c>
      <c r="E93" s="60" t="n">
        <v>0</v>
      </c>
      <c r="F93" s="60" t="n">
        <v>0</v>
      </c>
      <c r="G93" s="60" t="n">
        <v>0</v>
      </c>
      <c r="H93" s="60" t="n">
        <v>0</v>
      </c>
      <c r="I93" s="60" t="n">
        <v>0</v>
      </c>
      <c r="J93" s="60" t="n">
        <v>0</v>
      </c>
      <c r="K93" s="60" t="n">
        <v>0</v>
      </c>
      <c r="L93" s="60" t="n">
        <v>0</v>
      </c>
      <c r="M93" s="60" t="n">
        <v>32626.95</v>
      </c>
      <c r="N93" s="8" t="n"/>
      <c r="O93" s="60">
        <f>+O70-O92</f>
        <v/>
      </c>
      <c r="P93" s="60">
        <f>+P70-P92</f>
        <v/>
      </c>
      <c r="Q93" s="60">
        <f>+Q70-Q92</f>
        <v/>
      </c>
      <c r="R93" s="60">
        <f>+R70-R92</f>
        <v/>
      </c>
      <c r="S93" s="60">
        <f>+S70-S92</f>
        <v/>
      </c>
      <c r="T93" s="60">
        <f>+T70-T92</f>
        <v/>
      </c>
      <c r="U93" s="60">
        <f>+U70-U92</f>
        <v/>
      </c>
      <c r="V93" s="60">
        <f>+V70-V92</f>
        <v/>
      </c>
      <c r="W93" s="60">
        <f>+W70-W92</f>
        <v/>
      </c>
      <c r="X93" s="60">
        <f>+X70-X92</f>
        <v/>
      </c>
      <c r="Y93" s="60">
        <f>+Y70-Y92</f>
        <v/>
      </c>
      <c r="Z93" s="60">
        <f>+Z70-Z92</f>
        <v/>
      </c>
      <c r="AA93" s="60">
        <f>SUM(O93:T93)</f>
        <v/>
      </c>
      <c r="AB93" s="8" t="n"/>
      <c r="AC93" s="8" t="n"/>
      <c r="AD93" s="8" t="n"/>
      <c r="AE93" s="8" t="n"/>
      <c r="AF93" s="8" t="n"/>
      <c r="AG93" s="8" t="n"/>
      <c r="AH93" s="8" t="n"/>
      <c r="AI93" s="148" t="n">
        <v>0</v>
      </c>
      <c r="AJ93" s="148" t="n">
        <v>0</v>
      </c>
      <c r="AK93" s="148" t="n">
        <v>0</v>
      </c>
      <c r="AL93" s="148" t="n">
        <v>0</v>
      </c>
      <c r="AM93" s="148" t="n">
        <v>0</v>
      </c>
      <c r="AN93" s="148" t="n">
        <v>0</v>
      </c>
      <c r="AO93" s="149">
        <f>SUM(AC93:AH93)+SUM(AI93:AN93)</f>
        <v/>
      </c>
      <c r="AP93" s="145">
        <f>IF(AB93&lt;&gt;0,(AO93-AB93)/ABS(AB93),0)</f>
        <v/>
      </c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60" t="n">
        <v>0</v>
      </c>
      <c r="C95" s="60" t="n">
        <v>0</v>
      </c>
      <c r="D95" s="60" t="n">
        <v>0</v>
      </c>
      <c r="E95" s="60" t="n">
        <v>0</v>
      </c>
      <c r="F95" s="60" t="n">
        <v>-8.640199666842818e-12</v>
      </c>
      <c r="G95" s="60" t="n">
        <v>0</v>
      </c>
      <c r="H95" s="60" t="n">
        <v>0</v>
      </c>
      <c r="I95" s="60" t="n">
        <v>0</v>
      </c>
      <c r="J95" s="60" t="n">
        <v>0</v>
      </c>
      <c r="K95" s="60" t="n">
        <v>0</v>
      </c>
      <c r="L95" s="60" t="n">
        <v>0</v>
      </c>
      <c r="M95" s="60" t="n">
        <v>-32626.94999999999</v>
      </c>
      <c r="N95" s="8" t="n"/>
      <c r="O95" s="60">
        <f>O92+O96</f>
        <v/>
      </c>
      <c r="P95" s="60">
        <f>P92+P96</f>
        <v/>
      </c>
      <c r="Q95" s="60">
        <f>Q92+Q96</f>
        <v/>
      </c>
      <c r="R95" s="60">
        <f>R92+R96</f>
        <v/>
      </c>
      <c r="S95" s="60">
        <f>S92+S96</f>
        <v/>
      </c>
      <c r="T95" s="60">
        <f>T92+T96</f>
        <v/>
      </c>
      <c r="U95" s="60">
        <f>U92+U96</f>
        <v/>
      </c>
      <c r="V95" s="60">
        <f>V92+V96</f>
        <v/>
      </c>
      <c r="W95" s="60">
        <f>W92+W96</f>
        <v/>
      </c>
      <c r="X95" s="60">
        <f>X92+X96</f>
        <v/>
      </c>
      <c r="Y95" s="60">
        <f>Y92+Y96</f>
        <v/>
      </c>
      <c r="Z95" s="60">
        <f>Z92+Z96</f>
        <v/>
      </c>
      <c r="AA95" s="8" t="n"/>
      <c r="AB95" s="8" t="n"/>
      <c r="AC95" s="8" t="n"/>
      <c r="AD95" s="8" t="n"/>
      <c r="AE95" s="8" t="n"/>
      <c r="AF95" s="8" t="n"/>
      <c r="AG95" s="8" t="n"/>
      <c r="AH95" s="8" t="n"/>
      <c r="AI95" s="148" t="n">
        <v>0</v>
      </c>
      <c r="AJ95" s="148" t="n">
        <v>0</v>
      </c>
      <c r="AK95" s="148" t="n">
        <v>0</v>
      </c>
      <c r="AL95" s="148" t="n">
        <v>0</v>
      </c>
      <c r="AM95" s="148" t="n">
        <v>0</v>
      </c>
      <c r="AN95" s="148" t="n">
        <v>0</v>
      </c>
      <c r="AO95" s="149">
        <f>SUM(AC95:AH95)+SUM(AI95:AN95)</f>
        <v/>
      </c>
      <c r="AP95" s="145">
        <f>IF(AB95&lt;&gt;0,(AO95-AB95)/ABS(AB95),0)</f>
        <v/>
      </c>
    </row>
    <row r="96">
      <c r="A96" s="8" t="n"/>
      <c r="B96" s="60" t="n">
        <v>-4491.070000000002</v>
      </c>
      <c r="C96" s="60" t="n">
        <v>-9619.170000000006</v>
      </c>
      <c r="D96" s="60" t="n">
        <v>-14388.98</v>
      </c>
      <c r="E96" s="60" t="n">
        <v>-7780.539999999989</v>
      </c>
      <c r="F96" s="60" t="n">
        <v>-2982.450000000002</v>
      </c>
      <c r="G96" s="60" t="n">
        <v>-25149.21999999999</v>
      </c>
      <c r="H96" s="60" t="n">
        <v>-35375.45</v>
      </c>
      <c r="I96" s="60" t="n">
        <v>-13148.68</v>
      </c>
      <c r="J96" s="60" t="n">
        <v>-4547.910000000006</v>
      </c>
      <c r="K96" s="60" t="n">
        <v>-14005.52</v>
      </c>
      <c r="L96" s="60" t="n">
        <v>-12832.86</v>
      </c>
      <c r="M96" s="60" t="n">
        <v>-24719.24999999999</v>
      </c>
      <c r="N96" s="8" t="n"/>
      <c r="O96" s="60">
        <f>SUM('HAB TB'!C2:C46)</f>
        <v/>
      </c>
      <c r="P96" s="60">
        <f>SUM('HAB TB'!D2:D46)</f>
        <v/>
      </c>
      <c r="Q96" s="60">
        <f>SUM('HAB TB'!E2:E46)</f>
        <v/>
      </c>
      <c r="R96" s="60">
        <f>SUM('HAB TB'!F2:F46)</f>
        <v/>
      </c>
      <c r="S96" s="60">
        <f>SUM('HAB TB'!G2:G46)</f>
        <v/>
      </c>
      <c r="T96" s="60">
        <f>SUM('HAB TB'!H2:H46)</f>
        <v/>
      </c>
      <c r="U96" s="60">
        <f>SUM('HAB TB'!I2:I46)</f>
        <v/>
      </c>
      <c r="V96" s="60">
        <f>SUM('HAB TB'!J2:J46)</f>
        <v/>
      </c>
      <c r="W96" s="60">
        <f>SUM('HAB TB'!K2:K46)</f>
        <v/>
      </c>
      <c r="X96" s="60">
        <f>SUM('HAB TB'!L2:L46)</f>
        <v/>
      </c>
      <c r="Y96" s="60">
        <f>SUM('HAB TB'!M2:M46)</f>
        <v/>
      </c>
      <c r="Z96" s="60">
        <f>SUM('HAB TB'!N2:N46)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48" t="n">
        <v>0</v>
      </c>
      <c r="AJ96" s="148" t="n">
        <v>0</v>
      </c>
      <c r="AK96" s="148" t="n">
        <v>0</v>
      </c>
      <c r="AL96" s="148" t="n">
        <v>0</v>
      </c>
      <c r="AM96" s="148" t="n">
        <v>0</v>
      </c>
      <c r="AN96" s="148" t="n">
        <v>0</v>
      </c>
      <c r="AO96" s="149">
        <f>SUM(AC96:AH96)+SUM(AI96:AN96)</f>
        <v/>
      </c>
      <c r="AP96" s="145">
        <f>IF(AB96&lt;&gt;0,(AO96-AB96)/ABS(AB96),0)</f>
        <v/>
      </c>
    </row>
  </sheetData>
  <mergeCells count="1">
    <mergeCell ref="AI1:AQ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Hazebrouck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44526.36</v>
      </c>
      <c r="C8" s="35" t="n">
        <v>42668.15</v>
      </c>
      <c r="D8" s="35" t="n">
        <v>49356.27</v>
      </c>
      <c r="E8" s="35" t="n">
        <v>55745.42</v>
      </c>
      <c r="F8" s="35" t="n">
        <v>50381.74</v>
      </c>
      <c r="G8" s="35" t="n">
        <v>50496.26</v>
      </c>
      <c r="H8" s="35" t="n">
        <v>61970.37</v>
      </c>
      <c r="I8" s="35" t="n">
        <v>50217.38</v>
      </c>
      <c r="J8" s="35" t="n">
        <v>36754.18</v>
      </c>
      <c r="K8" s="35" t="n">
        <v>35941.95</v>
      </c>
      <c r="L8" s="35" t="n">
        <v>31455.98</v>
      </c>
      <c r="M8" s="35" t="n">
        <v>43997.17</v>
      </c>
      <c r="N8" s="36">
        <f>SUM(B8:M8)</f>
        <v/>
      </c>
      <c r="O8" s="37" t="n">
        <v>40552.59</v>
      </c>
      <c r="P8" s="37" t="n">
        <v>36292.38999999999</v>
      </c>
      <c r="Q8" s="37" t="n">
        <v>41164.89999999999</v>
      </c>
      <c r="R8" s="37" t="n">
        <v>42853.82999999999</v>
      </c>
      <c r="S8" s="37" t="n">
        <v>34239.50999999999</v>
      </c>
      <c r="T8" s="37" t="n">
        <v>35527.34</v>
      </c>
      <c r="U8" s="37" t="n">
        <v>44114.17999999999</v>
      </c>
      <c r="V8" s="38" t="n">
        <v>38209</v>
      </c>
      <c r="W8" s="38" t="n">
        <v>28974</v>
      </c>
      <c r="X8" s="38" t="n">
        <v>31722</v>
      </c>
      <c r="Y8" s="38" t="n">
        <v>31557</v>
      </c>
      <c r="Z8" s="38" t="n">
        <v>38081</v>
      </c>
      <c r="AA8" s="36">
        <f>SUM(O8:U8)</f>
        <v/>
      </c>
      <c r="AB8" s="36">
        <f>SUM(O8:Z8)</f>
        <v/>
      </c>
      <c r="AC8" s="38" t="n">
        <v>59616.39</v>
      </c>
      <c r="AD8" s="38" t="n">
        <v>56865.4</v>
      </c>
      <c r="AE8" s="38" t="n">
        <v>68454.33</v>
      </c>
      <c r="AF8" s="38" t="n">
        <v>58114.53</v>
      </c>
      <c r="AG8" s="38" t="n">
        <v>45217.21</v>
      </c>
      <c r="AH8" s="38" t="n">
        <v>47158.84</v>
      </c>
      <c r="AI8" s="117" t="n">
        <v>47158.84</v>
      </c>
      <c r="AJ8" s="118" t="n">
        <v>47158.84</v>
      </c>
      <c r="AK8" s="118" t="n">
        <v>47158.84</v>
      </c>
      <c r="AL8" s="118" t="n">
        <v>47158.84</v>
      </c>
      <c r="AM8" s="119" t="n">
        <v>47158.84</v>
      </c>
      <c r="AN8" s="117" t="n">
        <v>47158.84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16877.61</v>
      </c>
      <c r="C9" s="35" t="n">
        <v>16877.61</v>
      </c>
      <c r="D9" s="35" t="n">
        <v>17395.39</v>
      </c>
      <c r="E9" s="35" t="n">
        <v>12211.58</v>
      </c>
      <c r="F9" s="35" t="n">
        <v>12211.58</v>
      </c>
      <c r="G9" s="35" t="n">
        <v>12211.58</v>
      </c>
      <c r="H9" s="35" t="n">
        <v>35264.02</v>
      </c>
      <c r="I9" s="35" t="n">
        <v>0</v>
      </c>
      <c r="J9" s="35" t="n">
        <v>14082.29</v>
      </c>
      <c r="K9" s="35" t="n">
        <v>14082.29</v>
      </c>
      <c r="L9" s="35" t="n">
        <v>33950.17</v>
      </c>
      <c r="M9" s="35" t="n">
        <v>34388.31</v>
      </c>
      <c r="N9" s="36">
        <f>SUM(B9:M9)</f>
        <v/>
      </c>
      <c r="O9" s="37" t="n">
        <v>24341.41</v>
      </c>
      <c r="P9" s="37" t="n">
        <v>24341.41</v>
      </c>
      <c r="Q9" s="37" t="n">
        <v>31208.03</v>
      </c>
      <c r="R9" s="37" t="n">
        <v>23609.06</v>
      </c>
      <c r="S9" s="37" t="n">
        <v>23609.06</v>
      </c>
      <c r="T9" s="37" t="n">
        <v>26879.66</v>
      </c>
      <c r="U9" s="37" t="n">
        <v>24032.53</v>
      </c>
      <c r="V9" s="38" t="n"/>
      <c r="W9" s="38" t="n">
        <v>22105.08</v>
      </c>
      <c r="X9" s="38" t="n">
        <v>27987</v>
      </c>
      <c r="Y9" s="38" t="n">
        <v>27276</v>
      </c>
      <c r="Z9" s="38" t="n">
        <v>11777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100</v>
      </c>
      <c r="C10" s="35" t="n">
        <v>100</v>
      </c>
      <c r="D10" s="35" t="n">
        <v>150</v>
      </c>
      <c r="E10" s="35" t="n">
        <v>150</v>
      </c>
      <c r="F10" s="35" t="n">
        <v>150</v>
      </c>
      <c r="G10" s="35" t="n">
        <v>150</v>
      </c>
      <c r="H10" s="35" t="n">
        <v>150</v>
      </c>
      <c r="I10" s="35" t="n">
        <v>3333.04</v>
      </c>
      <c r="J10" s="35" t="n">
        <v>150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 t="n">
        <v>150</v>
      </c>
      <c r="P10" s="37" t="n">
        <v>150</v>
      </c>
      <c r="Q10" s="37" t="n">
        <v>150</v>
      </c>
      <c r="R10" s="37" t="n">
        <v>150</v>
      </c>
      <c r="S10" s="37" t="n">
        <v>150</v>
      </c>
      <c r="T10" s="37" t="n">
        <v>150</v>
      </c>
      <c r="U10" s="37" t="n">
        <v>150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61503.97</v>
      </c>
      <c r="C11" s="42" t="n">
        <v>59645.76</v>
      </c>
      <c r="D11" s="42" t="n">
        <v>66901.66</v>
      </c>
      <c r="E11" s="42" t="n">
        <v>68107</v>
      </c>
      <c r="F11" s="42" t="n">
        <v>62743.32</v>
      </c>
      <c r="G11" s="42" t="n">
        <v>62857.84</v>
      </c>
      <c r="H11" s="42" t="n">
        <v>97384.39</v>
      </c>
      <c r="I11" s="42" t="n">
        <v>53550.42</v>
      </c>
      <c r="J11" s="42" t="n">
        <v>50986.47</v>
      </c>
      <c r="K11" s="42" t="n">
        <v>50174.24</v>
      </c>
      <c r="L11" s="42" t="n">
        <v>65556.14999999999</v>
      </c>
      <c r="M11" s="42" t="n">
        <v>78535.48000000001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24899.66</v>
      </c>
      <c r="C16" s="35" t="n">
        <v>26577.82</v>
      </c>
      <c r="D16" s="35" t="n">
        <v>26925.91</v>
      </c>
      <c r="E16" s="35" t="n">
        <v>29092.65</v>
      </c>
      <c r="F16" s="35" t="n">
        <v>30703.98</v>
      </c>
      <c r="G16" s="35" t="n">
        <v>32699.41</v>
      </c>
      <c r="H16" s="35" t="n">
        <v>32041.49</v>
      </c>
      <c r="I16" s="35" t="n">
        <v>30033.99</v>
      </c>
      <c r="J16" s="35" t="n">
        <v>30047.01</v>
      </c>
      <c r="K16" s="35" t="n">
        <v>23930.87</v>
      </c>
      <c r="L16" s="35" t="n">
        <v>23821.02</v>
      </c>
      <c r="M16" s="35" t="n">
        <v>27265.52</v>
      </c>
      <c r="N16" s="36">
        <f>SUM(B16:M16)</f>
        <v/>
      </c>
      <c r="O16" s="37" t="n">
        <v>28276.3</v>
      </c>
      <c r="P16" s="37" t="n">
        <v>26802.27</v>
      </c>
      <c r="Q16" s="37" t="n">
        <v>25382.96</v>
      </c>
      <c r="R16" s="37" t="n">
        <v>25595.28</v>
      </c>
      <c r="S16" s="37" t="n">
        <v>24639.07</v>
      </c>
      <c r="T16" s="37" t="n">
        <v>24164.19</v>
      </c>
      <c r="U16" s="37" t="n">
        <v>25386.13</v>
      </c>
      <c r="V16" s="38" t="n">
        <v>25386.13</v>
      </c>
      <c r="W16" s="38" t="n">
        <v>25386.13</v>
      </c>
      <c r="X16" s="38" t="n">
        <v>25386.13</v>
      </c>
      <c r="Y16" s="38" t="n">
        <v>25386.13</v>
      </c>
      <c r="Z16" s="38" t="n">
        <v>25386.13</v>
      </c>
      <c r="AA16" s="36">
        <f>SUM(O16:U16)</f>
        <v/>
      </c>
      <c r="AB16" s="36">
        <f>SUM(O16:Z16)</f>
        <v/>
      </c>
      <c r="AC16" s="38" t="n">
        <v>25386.13</v>
      </c>
      <c r="AD16" s="38" t="n">
        <v>25386.13</v>
      </c>
      <c r="AE16" s="38" t="n">
        <v>25386.13</v>
      </c>
      <c r="AF16" s="38" t="n">
        <v>25386.13</v>
      </c>
      <c r="AG16" s="38" t="n">
        <v>25386.13</v>
      </c>
      <c r="AH16" s="38" t="n">
        <v>25386.13</v>
      </c>
      <c r="AI16" s="117" t="n">
        <v>25386.13</v>
      </c>
      <c r="AJ16" s="118" t="n">
        <v>25386.13</v>
      </c>
      <c r="AK16" s="118" t="n">
        <v>25386.13</v>
      </c>
      <c r="AL16" s="118" t="n">
        <v>25386.13</v>
      </c>
      <c r="AM16" s="119" t="n">
        <v>25386.13</v>
      </c>
      <c r="AN16" s="117" t="n">
        <v>25386.13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2002.62</v>
      </c>
      <c r="C17" s="35" t="n">
        <v>2207.05</v>
      </c>
      <c r="D17" s="35" t="n">
        <v>2189.18</v>
      </c>
      <c r="E17" s="35" t="n">
        <v>3403.25</v>
      </c>
      <c r="F17" s="35" t="n">
        <v>3660.67</v>
      </c>
      <c r="G17" s="35" t="n">
        <v>3726.55</v>
      </c>
      <c r="H17" s="35" t="n">
        <v>3675.17</v>
      </c>
      <c r="I17" s="35" t="n">
        <v>3450.1</v>
      </c>
      <c r="J17" s="35" t="n">
        <v>3516.17</v>
      </c>
      <c r="K17" s="35" t="n">
        <v>2723.85</v>
      </c>
      <c r="L17" s="35" t="n">
        <v>2722.83</v>
      </c>
      <c r="M17" s="35" t="n">
        <v>2951.52</v>
      </c>
      <c r="N17" s="36">
        <f>SUM(B17:M17)</f>
        <v/>
      </c>
      <c r="O17" s="37" t="n">
        <v>3122.38</v>
      </c>
      <c r="P17" s="37" t="n">
        <v>2859.56</v>
      </c>
      <c r="Q17" s="37" t="n">
        <v>2641.72</v>
      </c>
      <c r="R17" s="37" t="n">
        <v>2695.94</v>
      </c>
      <c r="S17" s="37" t="n">
        <v>2587.54</v>
      </c>
      <c r="T17" s="37" t="n">
        <v>2503.45</v>
      </c>
      <c r="U17" s="37" t="n">
        <v>2708.66</v>
      </c>
      <c r="V17" s="38" t="n">
        <v>2708.66</v>
      </c>
      <c r="W17" s="38" t="n">
        <v>2708.66</v>
      </c>
      <c r="X17" s="38" t="n">
        <v>2708.66</v>
      </c>
      <c r="Y17" s="38" t="n">
        <v>2708.66</v>
      </c>
      <c r="Z17" s="38" t="n">
        <v>2708.66</v>
      </c>
      <c r="AA17" s="36">
        <f>SUM(O17:U17)</f>
        <v/>
      </c>
      <c r="AB17" s="36">
        <f>SUM(O17:Z17)</f>
        <v/>
      </c>
      <c r="AC17" s="38" t="n">
        <v>2708.66</v>
      </c>
      <c r="AD17" s="38" t="n">
        <v>2708.66</v>
      </c>
      <c r="AE17" s="38" t="n">
        <v>2708.66</v>
      </c>
      <c r="AF17" s="38" t="n">
        <v>2708.66</v>
      </c>
      <c r="AG17" s="38" t="n">
        <v>2708.66</v>
      </c>
      <c r="AH17" s="38" t="n">
        <v>2708.66</v>
      </c>
      <c r="AI17" s="117" t="n">
        <v>2708.66</v>
      </c>
      <c r="AJ17" s="118" t="n">
        <v>2708.66</v>
      </c>
      <c r="AK17" s="118" t="n">
        <v>2708.66</v>
      </c>
      <c r="AL17" s="118" t="n">
        <v>2708.66</v>
      </c>
      <c r="AM17" s="119" t="n">
        <v>2708.66</v>
      </c>
      <c r="AN17" s="117" t="n">
        <v>2708.66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498.73</v>
      </c>
      <c r="C18" s="35" t="n">
        <v>506.68</v>
      </c>
      <c r="D18" s="35" t="n">
        <v>526.7</v>
      </c>
      <c r="E18" s="35" t="n">
        <v>643.53</v>
      </c>
      <c r="F18" s="35" t="n">
        <v>694.99</v>
      </c>
      <c r="G18" s="35" t="n">
        <v>708.16</v>
      </c>
      <c r="H18" s="35" t="n">
        <v>700.99</v>
      </c>
      <c r="I18" s="35" t="n">
        <v>652.88</v>
      </c>
      <c r="J18" s="35" t="n">
        <v>662.3</v>
      </c>
      <c r="K18" s="35" t="n">
        <v>516.9299999999999</v>
      </c>
      <c r="L18" s="35" t="n">
        <v>516.73</v>
      </c>
      <c r="M18" s="35" t="n">
        <v>527.27</v>
      </c>
      <c r="N18" s="36">
        <f>SUM(B18:M18)</f>
        <v/>
      </c>
      <c r="O18" s="37" t="n">
        <v>546.7</v>
      </c>
      <c r="P18" s="37" t="n">
        <v>540.97</v>
      </c>
      <c r="Q18" s="37" t="n">
        <v>497.41</v>
      </c>
      <c r="R18" s="37" t="n">
        <v>511.34</v>
      </c>
      <c r="S18" s="37" t="n">
        <v>489.65</v>
      </c>
      <c r="T18" s="37" t="n">
        <v>472.83</v>
      </c>
      <c r="U18" s="37" t="n">
        <v>513.88</v>
      </c>
      <c r="V18" s="38" t="n">
        <v>513.88</v>
      </c>
      <c r="W18" s="38" t="n">
        <v>513.88</v>
      </c>
      <c r="X18" s="38" t="n">
        <v>513.88</v>
      </c>
      <c r="Y18" s="38" t="n">
        <v>513.88</v>
      </c>
      <c r="Z18" s="38" t="n">
        <v>513.88</v>
      </c>
      <c r="AA18" s="36">
        <f>SUM(O18:U18)</f>
        <v/>
      </c>
      <c r="AB18" s="36">
        <f>SUM(O18:Z18)</f>
        <v/>
      </c>
      <c r="AC18" s="38" t="n">
        <v>513.88</v>
      </c>
      <c r="AD18" s="38" t="n">
        <v>513.88</v>
      </c>
      <c r="AE18" s="38" t="n">
        <v>513.88</v>
      </c>
      <c r="AF18" s="38" t="n">
        <v>513.88</v>
      </c>
      <c r="AG18" s="38" t="n">
        <v>513.88</v>
      </c>
      <c r="AH18" s="38" t="n">
        <v>513.88</v>
      </c>
      <c r="AI18" s="117" t="n">
        <v>513.88</v>
      </c>
      <c r="AJ18" s="118" t="n">
        <v>513.88</v>
      </c>
      <c r="AK18" s="118" t="n">
        <v>513.88</v>
      </c>
      <c r="AL18" s="118" t="n">
        <v>513.88</v>
      </c>
      <c r="AM18" s="119" t="n">
        <v>513.88</v>
      </c>
      <c r="AN18" s="117" t="n">
        <v>513.88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70.56</v>
      </c>
      <c r="C19" s="35" t="n">
        <v>56.16</v>
      </c>
      <c r="D19" s="35" t="n">
        <v>171.23</v>
      </c>
      <c r="E19" s="35" t="n">
        <v>0</v>
      </c>
      <c r="F19" s="35" t="n">
        <v>119.96</v>
      </c>
      <c r="G19" s="35" t="n">
        <v>78.48</v>
      </c>
      <c r="H19" s="35" t="n">
        <v>0</v>
      </c>
      <c r="I19" s="35" t="n">
        <v>0</v>
      </c>
      <c r="J19" s="35" t="n">
        <v>0</v>
      </c>
      <c r="K19" s="35" t="n">
        <v>136.44</v>
      </c>
      <c r="L19" s="35" t="n">
        <v>0</v>
      </c>
      <c r="M19" s="35" t="n">
        <v>0</v>
      </c>
      <c r="N19" s="36">
        <f>SUM(B19:M19)</f>
        <v/>
      </c>
      <c r="O19" s="37" t="n">
        <v>135.3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59.28</v>
      </c>
      <c r="U19" s="37" t="n">
        <v>29.94</v>
      </c>
      <c r="V19" s="38" t="n">
        <v>50</v>
      </c>
      <c r="W19" s="38" t="n">
        <v>50</v>
      </c>
      <c r="X19" s="38" t="n">
        <v>50</v>
      </c>
      <c r="Y19" s="38" t="n">
        <v>50</v>
      </c>
      <c r="Z19" s="38" t="n">
        <v>50</v>
      </c>
      <c r="AA19" s="36">
        <f>SUM(O19:U19)</f>
        <v/>
      </c>
      <c r="AB19" s="36">
        <f>SUM(O19:Z19)</f>
        <v/>
      </c>
      <c r="AC19" s="38" t="n">
        <v>50</v>
      </c>
      <c r="AD19" s="38" t="n">
        <v>50</v>
      </c>
      <c r="AE19" s="38" t="n">
        <v>50</v>
      </c>
      <c r="AF19" s="38" t="n">
        <v>50</v>
      </c>
      <c r="AG19" s="38" t="n">
        <v>50</v>
      </c>
      <c r="AH19" s="38" t="n">
        <v>50</v>
      </c>
      <c r="AI19" s="117" t="n">
        <v>50</v>
      </c>
      <c r="AJ19" s="118" t="n">
        <v>50</v>
      </c>
      <c r="AK19" s="118" t="n">
        <v>50</v>
      </c>
      <c r="AL19" s="118" t="n">
        <v>50</v>
      </c>
      <c r="AM19" s="119" t="n">
        <v>50</v>
      </c>
      <c r="AN19" s="117" t="n">
        <v>50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96</v>
      </c>
      <c r="C20" s="35" t="n">
        <v>0</v>
      </c>
      <c r="D20" s="35" t="n">
        <v>48</v>
      </c>
      <c r="E20" s="35" t="n">
        <v>156</v>
      </c>
      <c r="F20" s="35" t="n">
        <v>98.40000000000001</v>
      </c>
      <c r="G20" s="35" t="n">
        <v>0</v>
      </c>
      <c r="H20" s="35" t="n">
        <v>270</v>
      </c>
      <c r="I20" s="35" t="n">
        <v>0</v>
      </c>
      <c r="J20" s="35" t="n">
        <v>0</v>
      </c>
      <c r="K20" s="35" t="n">
        <v>193.2</v>
      </c>
      <c r="L20" s="35" t="n">
        <v>594</v>
      </c>
      <c r="M20" s="35" t="n">
        <v>37.2</v>
      </c>
      <c r="N20" s="36">
        <f>SUM(B20:M20)</f>
        <v/>
      </c>
      <c r="O20" s="37" t="n">
        <v>0</v>
      </c>
      <c r="P20" s="37" t="n">
        <v>58</v>
      </c>
      <c r="Q20" s="37" t="n">
        <v>0</v>
      </c>
      <c r="R20" s="37" t="n">
        <v>24</v>
      </c>
      <c r="S20" s="37" t="n">
        <v>0</v>
      </c>
      <c r="T20" s="37" t="n">
        <v>-500</v>
      </c>
      <c r="U20" s="37" t="n">
        <v>331.63</v>
      </c>
      <c r="V20" s="38" t="n">
        <v>0</v>
      </c>
      <c r="W20" s="38" t="n">
        <v>0</v>
      </c>
      <c r="X20" s="38" t="n">
        <v>0</v>
      </c>
      <c r="Y20" s="38" t="n">
        <v>0</v>
      </c>
      <c r="Z20" s="38" t="n">
        <v>0</v>
      </c>
      <c r="AA20" s="36">
        <f>SUM(O20:U20)</f>
        <v/>
      </c>
      <c r="AB20" s="36">
        <f>SUM(O20:Z20)</f>
        <v/>
      </c>
      <c r="AC20" s="38" t="n">
        <v>0</v>
      </c>
      <c r="AD20" s="38" t="n">
        <v>0</v>
      </c>
      <c r="AE20" s="38" t="n">
        <v>0</v>
      </c>
      <c r="AF20" s="38" t="n">
        <v>0</v>
      </c>
      <c r="AG20" s="38" t="n">
        <v>0</v>
      </c>
      <c r="AH20" s="38" t="n">
        <v>0</v>
      </c>
      <c r="AI20" s="117" t="n">
        <v>0</v>
      </c>
      <c r="AJ20" s="118" t="n">
        <v>0</v>
      </c>
      <c r="AK20" s="118" t="n">
        <v>0</v>
      </c>
      <c r="AL20" s="118" t="n">
        <v>0</v>
      </c>
      <c r="AM20" s="119" t="n">
        <v>0</v>
      </c>
      <c r="AN20" s="117" t="n">
        <v>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133.75</v>
      </c>
      <c r="C21" s="35" t="n">
        <v>119.98</v>
      </c>
      <c r="D21" s="35" t="n">
        <v>168.98</v>
      </c>
      <c r="E21" s="35" t="n">
        <v>151.14</v>
      </c>
      <c r="F21" s="35" t="n">
        <v>162.64</v>
      </c>
      <c r="G21" s="35" t="n">
        <v>156.4</v>
      </c>
      <c r="H21" s="35" t="n">
        <v>78.23999999999999</v>
      </c>
      <c r="I21" s="35" t="n">
        <v>238.74</v>
      </c>
      <c r="J21" s="35" t="n">
        <v>0</v>
      </c>
      <c r="K21" s="35" t="n">
        <v>154.24</v>
      </c>
      <c r="L21" s="35" t="n">
        <v>73.00999999999999</v>
      </c>
      <c r="M21" s="35" t="n">
        <v>375.95</v>
      </c>
      <c r="N21" s="36">
        <f>SUM(B21:M21)</f>
        <v/>
      </c>
      <c r="O21" s="37" t="n">
        <v>132.69</v>
      </c>
      <c r="P21" s="37" t="n">
        <v>153.97</v>
      </c>
      <c r="Q21" s="37" t="n">
        <v>157.6</v>
      </c>
      <c r="R21" s="37" t="n">
        <v>163.93</v>
      </c>
      <c r="S21" s="37" t="n">
        <v>163.71</v>
      </c>
      <c r="T21" s="37" t="n">
        <v>48.41</v>
      </c>
      <c r="U21" s="37" t="n">
        <v>199.54</v>
      </c>
      <c r="V21" s="38" t="n">
        <v>132.69</v>
      </c>
      <c r="W21" s="38" t="n">
        <v>132.69</v>
      </c>
      <c r="X21" s="38" t="n">
        <v>132.69</v>
      </c>
      <c r="Y21" s="38" t="n">
        <v>132.69</v>
      </c>
      <c r="Z21" s="38" t="n">
        <v>132.69</v>
      </c>
      <c r="AA21" s="36">
        <f>SUM(O21:U21)</f>
        <v/>
      </c>
      <c r="AB21" s="36">
        <f>SUM(O21:Z21)</f>
        <v/>
      </c>
      <c r="AC21" s="38" t="n">
        <v>132.69</v>
      </c>
      <c r="AD21" s="38" t="n">
        <v>132.69</v>
      </c>
      <c r="AE21" s="38" t="n">
        <v>132.69</v>
      </c>
      <c r="AF21" s="38" t="n">
        <v>132.69</v>
      </c>
      <c r="AG21" s="38" t="n">
        <v>132.69</v>
      </c>
      <c r="AH21" s="38" t="n">
        <v>132.69</v>
      </c>
      <c r="AI21" s="117" t="n">
        <v>132.69</v>
      </c>
      <c r="AJ21" s="118" t="n">
        <v>132.69</v>
      </c>
      <c r="AK21" s="118" t="n">
        <v>132.69</v>
      </c>
      <c r="AL21" s="118" t="n">
        <v>132.69</v>
      </c>
      <c r="AM21" s="119" t="n">
        <v>132.69</v>
      </c>
      <c r="AN21" s="117" t="n">
        <v>132.69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SUMIF('HB TB'!$R:$R,'HB P&amp;L'!$A22,'HB TB'!C:C)</f>
        <v/>
      </c>
      <c r="P22" s="37">
        <f>SUMIF('HB TB'!$R:$R,'HB P&amp;L'!$A22,'HB TB'!D:D)</f>
        <v/>
      </c>
      <c r="Q22" s="37">
        <f>SUMIF('HB TB'!$R:$R,'HB P&amp;L'!$A22,'HB TB'!E:E)</f>
        <v/>
      </c>
      <c r="R22" s="37">
        <f>SUMIF('HB TB'!$R:$R,'HB P&amp;L'!$A22,'HB TB'!F:F)</f>
        <v/>
      </c>
      <c r="S22" s="37">
        <f>SUMIF('HB TB'!$R:$R,'HB P&amp;L'!$A22,'HB TB'!G:G)</f>
        <v/>
      </c>
      <c r="T22" s="37">
        <f>SUMIF('HB TB'!$R:$R,'HB P&amp;L'!$A22,'HB TB'!H:H)</f>
        <v/>
      </c>
      <c r="U22" s="37">
        <f>SUMIF('HB TB'!$R:$R,'HB P&amp;L'!$A22,'HB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30</v>
      </c>
      <c r="I23" s="35" t="n">
        <v>9.49</v>
      </c>
      <c r="J23" s="35" t="n">
        <v>21</v>
      </c>
      <c r="K23" s="35" t="n">
        <v>26.97</v>
      </c>
      <c r="L23" s="35" t="n">
        <v>0</v>
      </c>
      <c r="M23" s="35" t="n">
        <v>10.05</v>
      </c>
      <c r="N23" s="36">
        <f>SUM(B23:M23)</f>
        <v/>
      </c>
      <c r="O23" s="37" t="n">
        <v>30</v>
      </c>
      <c r="P23" s="37" t="n">
        <v>50.75</v>
      </c>
      <c r="Q23" s="37" t="n">
        <v>27.55</v>
      </c>
      <c r="R23" s="37" t="n">
        <v>0</v>
      </c>
      <c r="S23" s="37" t="n">
        <v>0</v>
      </c>
      <c r="T23" s="37" t="n">
        <v>0</v>
      </c>
      <c r="U23" s="37" t="n">
        <v>0</v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117" t="n">
        <v>42</v>
      </c>
      <c r="AJ23" s="118" t="n">
        <v>42</v>
      </c>
      <c r="AK23" s="118" t="n">
        <v>42</v>
      </c>
      <c r="AL23" s="118" t="n">
        <v>42</v>
      </c>
      <c r="AM23" s="119" t="n">
        <v>42</v>
      </c>
      <c r="AN23" s="117" t="n">
        <v>42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SUMIF('HB TB'!$R:$R,'HB P&amp;L'!$A24,'HB TB'!C:C)</f>
        <v/>
      </c>
      <c r="P24" s="37">
        <f>SUMIF('HB TB'!$R:$R,'HB P&amp;L'!$A24,'HB TB'!D:D)</f>
        <v/>
      </c>
      <c r="Q24" s="37">
        <f>SUMIF('HB TB'!$R:$R,'HB P&amp;L'!$A24,'HB TB'!E:E)</f>
        <v/>
      </c>
      <c r="R24" s="37">
        <f>SUMIF('HB TB'!$R:$R,'HB P&amp;L'!$A24,'HB TB'!F:F)</f>
        <v/>
      </c>
      <c r="S24" s="37">
        <f>SUMIF('HB TB'!$R:$R,'HB P&amp;L'!$A24,'HB TB'!G:G)</f>
        <v/>
      </c>
      <c r="T24" s="37">
        <f>SUMIF('HB TB'!$R:$R,'HB P&amp;L'!$A24,'HB TB'!H:H)</f>
        <v/>
      </c>
      <c r="U24" s="37">
        <f>SUMIF('HB TB'!$R:$R,'HB P&amp;L'!$A24,'HB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27701.32</v>
      </c>
      <c r="C25" s="42" t="n">
        <v>29467.69</v>
      </c>
      <c r="D25" s="42" t="n">
        <v>30030</v>
      </c>
      <c r="E25" s="42" t="n">
        <v>33446.57</v>
      </c>
      <c r="F25" s="42" t="n">
        <v>35440.64</v>
      </c>
      <c r="G25" s="42" t="n">
        <v>37369.00000000001</v>
      </c>
      <c r="H25" s="42" t="n">
        <v>36795.89</v>
      </c>
      <c r="I25" s="42" t="n">
        <v>34385.2</v>
      </c>
      <c r="J25" s="42" t="n">
        <v>34246.48</v>
      </c>
      <c r="K25" s="42" t="n">
        <v>27682.5</v>
      </c>
      <c r="L25" s="42" t="n">
        <v>27727.59</v>
      </c>
      <c r="M25" s="42" t="n">
        <v>31167.51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2744.18</v>
      </c>
      <c r="C27" s="35" t="n">
        <v>2024.31</v>
      </c>
      <c r="D27" s="35" t="n">
        <v>2049.67</v>
      </c>
      <c r="E27" s="35" t="n">
        <v>1664.58</v>
      </c>
      <c r="F27" s="35" t="n">
        <v>1769.58</v>
      </c>
      <c r="G27" s="35" t="n">
        <v>2265.91</v>
      </c>
      <c r="H27" s="35" t="n">
        <v>2338.29</v>
      </c>
      <c r="I27" s="35" t="n">
        <v>1692.46</v>
      </c>
      <c r="J27" s="35" t="n">
        <v>2080.16</v>
      </c>
      <c r="K27" s="35" t="n">
        <v>2053.82</v>
      </c>
      <c r="L27" s="35" t="n">
        <v>1983.01</v>
      </c>
      <c r="M27" s="35" t="n">
        <v>1442.92</v>
      </c>
      <c r="N27" s="36">
        <f>SUM(B27:M27)</f>
        <v/>
      </c>
      <c r="O27" s="37" t="n">
        <v>1913.69</v>
      </c>
      <c r="P27" s="37" t="n">
        <v>2339.36</v>
      </c>
      <c r="Q27" s="37" t="n">
        <v>2227.04</v>
      </c>
      <c r="R27" s="37" t="n">
        <v>1978.58</v>
      </c>
      <c r="S27" s="37" t="n">
        <v>1723.72</v>
      </c>
      <c r="T27" s="37" t="n">
        <v>2074.85</v>
      </c>
      <c r="U27" s="37" t="n">
        <v>2481.22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345.51</v>
      </c>
      <c r="C28" s="35" t="n">
        <v>751.0200000000001</v>
      </c>
      <c r="D28" s="35" t="n">
        <v>178.36</v>
      </c>
      <c r="E28" s="35" t="n">
        <v>150.78</v>
      </c>
      <c r="F28" s="35" t="n">
        <v>488.33</v>
      </c>
      <c r="G28" s="35" t="n">
        <v>322.31</v>
      </c>
      <c r="H28" s="35" t="n">
        <v>82.25999999999999</v>
      </c>
      <c r="I28" s="35" t="n">
        <v>311.59</v>
      </c>
      <c r="J28" s="35" t="n">
        <v>65.91</v>
      </c>
      <c r="K28" s="35" t="n">
        <v>455.4800000000001</v>
      </c>
      <c r="L28" s="35" t="n">
        <v>445.5099999999999</v>
      </c>
      <c r="M28" s="35" t="n">
        <v>229.46</v>
      </c>
      <c r="N28" s="36">
        <f>SUM(B28:M28)</f>
        <v/>
      </c>
      <c r="O28" s="37" t="n">
        <v>272.87</v>
      </c>
      <c r="P28" s="37" t="n">
        <v>16.47</v>
      </c>
      <c r="Q28" s="37" t="n">
        <v>417.58</v>
      </c>
      <c r="R28" s="37" t="n">
        <v>44.43</v>
      </c>
      <c r="S28" s="37" t="n">
        <v>553.8199999999999</v>
      </c>
      <c r="T28" s="37" t="n">
        <v>372.91</v>
      </c>
      <c r="U28" s="37" t="n">
        <v>274.15</v>
      </c>
      <c r="V28" s="38" t="n">
        <v>53</v>
      </c>
      <c r="W28" s="38" t="n">
        <v>53</v>
      </c>
      <c r="X28" s="38" t="n">
        <v>53</v>
      </c>
      <c r="Y28" s="38" t="n">
        <v>53</v>
      </c>
      <c r="Z28" s="38" t="n">
        <v>53</v>
      </c>
      <c r="AA28" s="36">
        <f>SUM(O28:U28)</f>
        <v/>
      </c>
      <c r="AB28" s="36">
        <f>SUM(O28:Z28)</f>
        <v/>
      </c>
      <c r="AC28" s="38" t="n">
        <v>53</v>
      </c>
      <c r="AD28" s="38" t="n">
        <v>53</v>
      </c>
      <c r="AE28" s="38" t="n">
        <v>53</v>
      </c>
      <c r="AF28" s="38" t="n">
        <v>53</v>
      </c>
      <c r="AG28" s="38" t="n">
        <v>53</v>
      </c>
      <c r="AH28" s="38" t="n">
        <v>53</v>
      </c>
      <c r="AI28" s="117" t="n">
        <v>53</v>
      </c>
      <c r="AJ28" s="118" t="n">
        <v>53</v>
      </c>
      <c r="AK28" s="118" t="n">
        <v>53</v>
      </c>
      <c r="AL28" s="118" t="n">
        <v>53</v>
      </c>
      <c r="AM28" s="119" t="n">
        <v>53</v>
      </c>
      <c r="AN28" s="117" t="n">
        <v>53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69.13</v>
      </c>
      <c r="C29" s="35" t="n">
        <v>84.98</v>
      </c>
      <c r="D29" s="35" t="n">
        <v>67.86</v>
      </c>
      <c r="E29" s="35" t="n">
        <v>123.59</v>
      </c>
      <c r="F29" s="35" t="n">
        <v>68.06999999999999</v>
      </c>
      <c r="G29" s="35" t="n">
        <v>30.29</v>
      </c>
      <c r="H29" s="35" t="n">
        <v>53.46</v>
      </c>
      <c r="I29" s="35" t="n">
        <v>187.21</v>
      </c>
      <c r="J29" s="35" t="n">
        <v>111.33</v>
      </c>
      <c r="K29" s="35" t="n">
        <v>121.13</v>
      </c>
      <c r="L29" s="35" t="n">
        <v>192.24</v>
      </c>
      <c r="M29" s="35" t="n">
        <v>74.47</v>
      </c>
      <c r="N29" s="36">
        <f>SUM(B29:M29)</f>
        <v/>
      </c>
      <c r="O29" s="37" t="n">
        <v>68</v>
      </c>
      <c r="P29" s="37" t="n">
        <v>106.03</v>
      </c>
      <c r="Q29" s="37" t="n">
        <v>139.34</v>
      </c>
      <c r="R29" s="37" t="n">
        <v>75.17</v>
      </c>
      <c r="S29" s="37" t="n">
        <v>133.3</v>
      </c>
      <c r="T29" s="37" t="n">
        <v>104.5</v>
      </c>
      <c r="U29" s="37" t="n">
        <v>50.74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65.61999999999999</v>
      </c>
      <c r="C30" s="35" t="n">
        <v>0</v>
      </c>
      <c r="D30" s="35" t="n">
        <v>34.48999999999999</v>
      </c>
      <c r="E30" s="35" t="n">
        <v>0</v>
      </c>
      <c r="F30" s="35" t="n">
        <v>10.98</v>
      </c>
      <c r="G30" s="35" t="n">
        <v>60.12</v>
      </c>
      <c r="H30" s="35" t="n">
        <v>75.83</v>
      </c>
      <c r="I30" s="35" t="n">
        <v>75.47</v>
      </c>
      <c r="J30" s="35" t="n">
        <v>37.5</v>
      </c>
      <c r="K30" s="35" t="n">
        <v>39.66</v>
      </c>
      <c r="L30" s="35" t="n">
        <v>17.99</v>
      </c>
      <c r="M30" s="35" t="n">
        <v>26.23</v>
      </c>
      <c r="N30" s="36">
        <f>SUM(B30:M30)</f>
        <v/>
      </c>
      <c r="O30" s="37" t="n">
        <v>34.47</v>
      </c>
      <c r="P30" s="37" t="n">
        <v>5.99</v>
      </c>
      <c r="Q30" s="37" t="n">
        <v>35.57</v>
      </c>
      <c r="R30" s="37" t="n">
        <v>10.58</v>
      </c>
      <c r="S30" s="37" t="n">
        <v>32.1</v>
      </c>
      <c r="T30" s="37" t="n">
        <v>12.04</v>
      </c>
      <c r="U30" s="37" t="n">
        <v>5.04</v>
      </c>
      <c r="V30" s="38" t="n">
        <v>98</v>
      </c>
      <c r="W30" s="38" t="n">
        <v>98</v>
      </c>
      <c r="X30" s="38" t="n">
        <v>98</v>
      </c>
      <c r="Y30" s="38" t="n">
        <v>98</v>
      </c>
      <c r="Z30" s="38" t="n">
        <v>98</v>
      </c>
      <c r="AA30" s="36">
        <f>SUM(O30:U30)</f>
        <v/>
      </c>
      <c r="AB30" s="36">
        <f>SUM(O30:Z30)</f>
        <v/>
      </c>
      <c r="AC30" s="38" t="n">
        <v>98</v>
      </c>
      <c r="AD30" s="38" t="n">
        <v>98</v>
      </c>
      <c r="AE30" s="38" t="n">
        <v>98</v>
      </c>
      <c r="AF30" s="38" t="n">
        <v>98</v>
      </c>
      <c r="AG30" s="38" t="n">
        <v>98</v>
      </c>
      <c r="AH30" s="38" t="n">
        <v>98</v>
      </c>
      <c r="AI30" s="117" t="n">
        <v>98</v>
      </c>
      <c r="AJ30" s="118" t="n">
        <v>98</v>
      </c>
      <c r="AK30" s="118" t="n">
        <v>98</v>
      </c>
      <c r="AL30" s="118" t="n">
        <v>98</v>
      </c>
      <c r="AM30" s="119" t="n">
        <v>98</v>
      </c>
      <c r="AN30" s="117" t="n">
        <v>98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46.92999999999999</v>
      </c>
      <c r="C31" s="35" t="n">
        <v>379.43</v>
      </c>
      <c r="D31" s="35" t="n">
        <v>0</v>
      </c>
      <c r="E31" s="35" t="n">
        <v>296.79</v>
      </c>
      <c r="F31" s="35" t="n">
        <v>5.49</v>
      </c>
      <c r="G31" s="35" t="n">
        <v>42.48</v>
      </c>
      <c r="H31" s="35" t="n">
        <v>146.76</v>
      </c>
      <c r="I31" s="35" t="n">
        <v>139.82</v>
      </c>
      <c r="J31" s="35" t="n">
        <v>78.06999999999999</v>
      </c>
      <c r="K31" s="35" t="n">
        <v>255.55</v>
      </c>
      <c r="L31" s="35" t="n">
        <v>279.7</v>
      </c>
      <c r="M31" s="35" t="n">
        <v>94.52999999999999</v>
      </c>
      <c r="N31" s="36">
        <f>SUM(B31:M31)</f>
        <v/>
      </c>
      <c r="O31" s="37" t="n">
        <v>18.6</v>
      </c>
      <c r="P31" s="37" t="n">
        <v>0</v>
      </c>
      <c r="Q31" s="37" t="n">
        <v>17.49</v>
      </c>
      <c r="R31" s="37" t="n">
        <v>91.95999999999999</v>
      </c>
      <c r="S31" s="37" t="n">
        <v>-77.97</v>
      </c>
      <c r="T31" s="37" t="n">
        <v>0</v>
      </c>
      <c r="U31" s="37" t="n">
        <v>7.94</v>
      </c>
      <c r="V31" s="38" t="n">
        <v>53</v>
      </c>
      <c r="W31" s="38" t="n">
        <v>53</v>
      </c>
      <c r="X31" s="38" t="n">
        <v>53</v>
      </c>
      <c r="Y31" s="38" t="n">
        <v>53</v>
      </c>
      <c r="Z31" s="38" t="n">
        <v>53</v>
      </c>
      <c r="AA31" s="36">
        <f>SUM(O31:U31)</f>
        <v/>
      </c>
      <c r="AB31" s="36">
        <f>SUM(O31:Z31)</f>
        <v/>
      </c>
      <c r="AC31" s="38" t="n">
        <v>53</v>
      </c>
      <c r="AD31" s="38" t="n">
        <v>53</v>
      </c>
      <c r="AE31" s="38" t="n">
        <v>53</v>
      </c>
      <c r="AF31" s="38" t="n">
        <v>53</v>
      </c>
      <c r="AG31" s="38" t="n">
        <v>53</v>
      </c>
      <c r="AH31" s="38" t="n">
        <v>53</v>
      </c>
      <c r="AI31" s="117" t="n">
        <v>53</v>
      </c>
      <c r="AJ31" s="118" t="n">
        <v>53</v>
      </c>
      <c r="AK31" s="118" t="n">
        <v>53</v>
      </c>
      <c r="AL31" s="118" t="n">
        <v>53</v>
      </c>
      <c r="AM31" s="119" t="n">
        <v>53</v>
      </c>
      <c r="AN31" s="117" t="n">
        <v>53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177.16</v>
      </c>
      <c r="C32" s="35" t="n">
        <v>97.81999999999999</v>
      </c>
      <c r="D32" s="35" t="n">
        <v>168.92</v>
      </c>
      <c r="E32" s="35" t="n">
        <v>204.4</v>
      </c>
      <c r="F32" s="35" t="n">
        <v>266.11</v>
      </c>
      <c r="G32" s="35" t="n">
        <v>242.35</v>
      </c>
      <c r="H32" s="35" t="n">
        <v>117.49</v>
      </c>
      <c r="I32" s="35" t="n">
        <v>282.09</v>
      </c>
      <c r="J32" s="35" t="n">
        <v>150.05</v>
      </c>
      <c r="K32" s="35" t="n">
        <v>101.07</v>
      </c>
      <c r="L32" s="35" t="n">
        <v>140.87</v>
      </c>
      <c r="M32" s="35" t="n">
        <v>168.72</v>
      </c>
      <c r="N32" s="36">
        <f>SUM(B32:M32)</f>
        <v/>
      </c>
      <c r="O32" s="37" t="n">
        <v>284.34</v>
      </c>
      <c r="P32" s="37" t="n">
        <v>440.32</v>
      </c>
      <c r="Q32" s="37" t="n">
        <v>438.53</v>
      </c>
      <c r="R32" s="37" t="n">
        <v>394.8199999999999</v>
      </c>
      <c r="S32" s="37" t="n">
        <v>302.87</v>
      </c>
      <c r="T32" s="37" t="n">
        <v>208.43</v>
      </c>
      <c r="U32" s="37" t="n">
        <v>87.88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SUMIF('HB TB'!$R:$R,'HB P&amp;L'!$A33,'HB TB'!C:C)</f>
        <v/>
      </c>
      <c r="P33" s="37">
        <f>SUMIF('HB TB'!$R:$R,'HB P&amp;L'!$A33,'HB TB'!D:D)</f>
        <v/>
      </c>
      <c r="Q33" s="37">
        <f>SUMIF('HB TB'!$R:$R,'HB P&amp;L'!$A33,'HB TB'!E:E)</f>
        <v/>
      </c>
      <c r="R33" s="37">
        <f>SUMIF('HB TB'!$R:$R,'HB P&amp;L'!$A33,'HB TB'!F:F)</f>
        <v/>
      </c>
      <c r="S33" s="37">
        <f>SUMIF('HB TB'!$R:$R,'HB P&amp;L'!$A33,'HB TB'!G:G)</f>
        <v/>
      </c>
      <c r="T33" s="37">
        <f>SUMIF('HB TB'!$R:$R,'HB P&amp;L'!$A33,'HB TB'!H:H)</f>
        <v/>
      </c>
      <c r="U33" s="37">
        <f>SUMIF('HB TB'!$R:$R,'HB P&amp;L'!$A33,'HB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3448.529999999999</v>
      </c>
      <c r="C34" s="42" t="n">
        <v>3337.56</v>
      </c>
      <c r="D34" s="42" t="n">
        <v>2499.3</v>
      </c>
      <c r="E34" s="42" t="n">
        <v>2440.14</v>
      </c>
      <c r="F34" s="42" t="n">
        <v>2608.56</v>
      </c>
      <c r="G34" s="42" t="n">
        <v>2963.46</v>
      </c>
      <c r="H34" s="42" t="n">
        <v>2814.09</v>
      </c>
      <c r="I34" s="42" t="n">
        <v>2688.64</v>
      </c>
      <c r="J34" s="42" t="n">
        <v>2523.02</v>
      </c>
      <c r="K34" s="42" t="n">
        <v>3026.71</v>
      </c>
      <c r="L34" s="42" t="n">
        <v>3059.32</v>
      </c>
      <c r="M34" s="42" t="n">
        <v>2036.33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4645.83</v>
      </c>
      <c r="C36" s="35" t="n">
        <v>4645.83</v>
      </c>
      <c r="D36" s="35" t="n">
        <v>4645.83</v>
      </c>
      <c r="E36" s="35" t="n">
        <v>4645.83</v>
      </c>
      <c r="F36" s="35" t="n">
        <v>4645.83</v>
      </c>
      <c r="G36" s="35" t="n">
        <v>4645.83</v>
      </c>
      <c r="H36" s="35" t="n">
        <v>4645.84</v>
      </c>
      <c r="I36" s="35" t="n">
        <v>4645.83</v>
      </c>
      <c r="J36" s="35" t="n">
        <v>4645.84</v>
      </c>
      <c r="K36" s="35" t="n">
        <v>4645.83</v>
      </c>
      <c r="L36" s="35" t="n">
        <v>4645.83</v>
      </c>
      <c r="M36" s="35" t="n">
        <v>4645.83</v>
      </c>
      <c r="N36" s="36">
        <f>SUM(B36:M36)</f>
        <v/>
      </c>
      <c r="O36" s="37" t="n">
        <v>4645.84</v>
      </c>
      <c r="P36" s="37" t="n">
        <v>4645.83</v>
      </c>
      <c r="Q36" s="37" t="n">
        <v>4645.83</v>
      </c>
      <c r="R36" s="37" t="n">
        <v>4645.83</v>
      </c>
      <c r="S36" s="37" t="n">
        <v>4645.83</v>
      </c>
      <c r="T36" s="37" t="n">
        <v>4645.84</v>
      </c>
      <c r="U36" s="37" t="n">
        <v>4645.83</v>
      </c>
      <c r="V36" s="38" t="n">
        <v>4646</v>
      </c>
      <c r="W36" s="38" t="n">
        <v>4646</v>
      </c>
      <c r="X36" s="38" t="n">
        <v>4646</v>
      </c>
      <c r="Y36" s="38" t="n">
        <v>4646</v>
      </c>
      <c r="Z36" s="38" t="n">
        <v>4646</v>
      </c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3844.75</v>
      </c>
      <c r="C37" s="35" t="n">
        <v>3844.75</v>
      </c>
      <c r="D37" s="35" t="n">
        <v>3844.75</v>
      </c>
      <c r="E37" s="35" t="n">
        <v>3908.13</v>
      </c>
      <c r="F37" s="35" t="n">
        <v>3908.13</v>
      </c>
      <c r="G37" s="35" t="n">
        <v>3908.13</v>
      </c>
      <c r="H37" s="35" t="n">
        <v>3908.13</v>
      </c>
      <c r="I37" s="35" t="n">
        <v>3908.13</v>
      </c>
      <c r="J37" s="35" t="n">
        <v>3908.13</v>
      </c>
      <c r="K37" s="35" t="n">
        <v>3908.13</v>
      </c>
      <c r="L37" s="35" t="n">
        <v>3908.13</v>
      </c>
      <c r="M37" s="35" t="n">
        <v>3908.13</v>
      </c>
      <c r="N37" s="36">
        <f>SUM(B37:M37)</f>
        <v/>
      </c>
      <c r="O37" s="37" t="n">
        <v>3908.11</v>
      </c>
      <c r="P37" s="37" t="n">
        <v>3908.11</v>
      </c>
      <c r="Q37" s="37" t="n">
        <v>3908.11</v>
      </c>
      <c r="R37" s="37" t="n">
        <v>3082.92</v>
      </c>
      <c r="S37" s="37" t="n">
        <v>3082.92</v>
      </c>
      <c r="T37" s="37" t="n">
        <v>3082.92</v>
      </c>
      <c r="U37" s="37" t="n">
        <v>3082.92</v>
      </c>
      <c r="V37" s="38" t="n">
        <v>3082.92</v>
      </c>
      <c r="W37" s="38" t="n">
        <v>3082.92</v>
      </c>
      <c r="X37" s="38" t="n">
        <v>3082.92</v>
      </c>
      <c r="Y37" s="38" t="n">
        <v>3082.92</v>
      </c>
      <c r="Z37" s="38" t="n">
        <v>3082.92</v>
      </c>
      <c r="AA37" s="36">
        <f>SUM(O37:U37)</f>
        <v/>
      </c>
      <c r="AB37" s="36">
        <f>SUM(O37:Z37)</f>
        <v/>
      </c>
      <c r="AC37" s="38" t="n">
        <v>3082.92</v>
      </c>
      <c r="AD37" s="38" t="n">
        <v>3082.92</v>
      </c>
      <c r="AE37" s="38" t="n">
        <v>3082.92</v>
      </c>
      <c r="AF37" s="38" t="n">
        <v>3082.92</v>
      </c>
      <c r="AG37" s="38" t="n">
        <v>3082.92</v>
      </c>
      <c r="AH37" s="38" t="n">
        <v>3082.92</v>
      </c>
      <c r="AI37" s="117" t="n">
        <v>3082.92</v>
      </c>
      <c r="AJ37" s="118" t="n">
        <v>3082.92</v>
      </c>
      <c r="AK37" s="118" t="n">
        <v>3082.92</v>
      </c>
      <c r="AL37" s="118" t="n">
        <v>3082.92</v>
      </c>
      <c r="AM37" s="119" t="n">
        <v>3082.92</v>
      </c>
      <c r="AN37" s="117" t="n">
        <v>3082.92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300</v>
      </c>
      <c r="C38" s="35" t="n">
        <v>300</v>
      </c>
      <c r="D38" s="35" t="n">
        <v>300</v>
      </c>
      <c r="E38" s="35" t="n">
        <v>300</v>
      </c>
      <c r="F38" s="35" t="n">
        <v>300</v>
      </c>
      <c r="G38" s="35" t="n">
        <v>300</v>
      </c>
      <c r="H38" s="35" t="n">
        <v>300</v>
      </c>
      <c r="I38" s="35" t="n">
        <v>300</v>
      </c>
      <c r="J38" s="35" t="n">
        <v>300</v>
      </c>
      <c r="K38" s="35" t="n">
        <v>300</v>
      </c>
      <c r="L38" s="35" t="n">
        <v>300</v>
      </c>
      <c r="M38" s="35" t="n">
        <v>300</v>
      </c>
      <c r="N38" s="36">
        <f>SUM(B38:M38)</f>
        <v/>
      </c>
      <c r="O38" s="37" t="n">
        <v>300</v>
      </c>
      <c r="P38" s="37" t="n">
        <v>300</v>
      </c>
      <c r="Q38" s="37" t="n">
        <v>300</v>
      </c>
      <c r="R38" s="37" t="n">
        <v>300</v>
      </c>
      <c r="S38" s="37" t="n">
        <v>300</v>
      </c>
      <c r="T38" s="37" t="n">
        <v>300</v>
      </c>
      <c r="U38" s="37" t="n">
        <v>300</v>
      </c>
      <c r="V38" s="38" t="n">
        <v>300</v>
      </c>
      <c r="W38" s="38" t="n">
        <v>300</v>
      </c>
      <c r="X38" s="38" t="n">
        <v>300</v>
      </c>
      <c r="Y38" s="38" t="n">
        <v>300</v>
      </c>
      <c r="Z38" s="38" t="n">
        <v>300</v>
      </c>
      <c r="AA38" s="36">
        <f>SUM(O38:U38)</f>
        <v/>
      </c>
      <c r="AB38" s="36">
        <f>SUM(O38:Z38)</f>
        <v/>
      </c>
      <c r="AC38" s="38" t="n">
        <v>300</v>
      </c>
      <c r="AD38" s="38" t="n">
        <v>300</v>
      </c>
      <c r="AE38" s="38" t="n">
        <v>300</v>
      </c>
      <c r="AF38" s="38" t="n">
        <v>300</v>
      </c>
      <c r="AG38" s="38" t="n">
        <v>300</v>
      </c>
      <c r="AH38" s="38" t="n">
        <v>300</v>
      </c>
      <c r="AI38" s="117" t="n">
        <v>300</v>
      </c>
      <c r="AJ38" s="118" t="n">
        <v>300</v>
      </c>
      <c r="AK38" s="118" t="n">
        <v>300</v>
      </c>
      <c r="AL38" s="118" t="n">
        <v>300</v>
      </c>
      <c r="AM38" s="119" t="n">
        <v>300</v>
      </c>
      <c r="AN38" s="117" t="n">
        <v>300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29.52</v>
      </c>
      <c r="C39" s="35" t="n">
        <v>4464.59</v>
      </c>
      <c r="D39" s="35" t="n">
        <v>0</v>
      </c>
      <c r="E39" s="35" t="n">
        <v>0</v>
      </c>
      <c r="F39" s="35" t="n">
        <v>48.2</v>
      </c>
      <c r="G39" s="35" t="n">
        <v>0</v>
      </c>
      <c r="H39" s="35" t="n">
        <v>0</v>
      </c>
      <c r="I39" s="35" t="n">
        <v>36.18</v>
      </c>
      <c r="J39" s="35" t="n">
        <v>48.39</v>
      </c>
      <c r="K39" s="35" t="n">
        <v>21.13</v>
      </c>
      <c r="L39" s="35" t="n">
        <v>40</v>
      </c>
      <c r="M39" s="35" t="n">
        <v>0</v>
      </c>
      <c r="N39" s="36">
        <f>SUM(B39:M39)</f>
        <v/>
      </c>
      <c r="O39" s="37" t="n">
        <v>0</v>
      </c>
      <c r="P39" s="37" t="n">
        <v>80.40000000000001</v>
      </c>
      <c r="Q39" s="37" t="n">
        <v>0</v>
      </c>
      <c r="R39" s="37" t="n">
        <v>0</v>
      </c>
      <c r="S39" s="37" t="n">
        <v>0</v>
      </c>
      <c r="T39" s="37" t="n">
        <v>0</v>
      </c>
      <c r="U39" s="37" t="n">
        <v>313.1</v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1025.16</v>
      </c>
      <c r="C40" s="35" t="n">
        <v>994.6700000000001</v>
      </c>
      <c r="D40" s="35" t="n">
        <v>1230.5</v>
      </c>
      <c r="E40" s="35" t="n">
        <v>952.4300000000001</v>
      </c>
      <c r="F40" s="35" t="n">
        <v>1083.43</v>
      </c>
      <c r="G40" s="35" t="n">
        <v>1263.91</v>
      </c>
      <c r="H40" s="35" t="n">
        <v>1279.37</v>
      </c>
      <c r="I40" s="35" t="n">
        <v>880.76</v>
      </c>
      <c r="J40" s="35" t="n">
        <v>903.78</v>
      </c>
      <c r="K40" s="35" t="n">
        <v>1337.18</v>
      </c>
      <c r="L40" s="35" t="n">
        <v>906.53</v>
      </c>
      <c r="M40" s="35" t="n">
        <v>956.1900000000001</v>
      </c>
      <c r="N40" s="36">
        <f>SUM(B40:M40)</f>
        <v/>
      </c>
      <c r="O40" s="37" t="n">
        <v>1070.49</v>
      </c>
      <c r="P40" s="37" t="n">
        <v>1130.83</v>
      </c>
      <c r="Q40" s="37" t="n">
        <v>1703.53</v>
      </c>
      <c r="R40" s="37" t="n">
        <v>260.51</v>
      </c>
      <c r="S40" s="37" t="n">
        <v>862.84</v>
      </c>
      <c r="T40" s="37" t="n">
        <v>1019.03</v>
      </c>
      <c r="U40" s="37" t="n">
        <v>2198.64</v>
      </c>
      <c r="V40" s="38" t="n">
        <v>1107</v>
      </c>
      <c r="W40" s="38" t="n">
        <v>1107</v>
      </c>
      <c r="X40" s="38" t="n">
        <v>1107</v>
      </c>
      <c r="Y40" s="38" t="n">
        <v>1107</v>
      </c>
      <c r="Z40" s="38" t="n">
        <v>1107</v>
      </c>
      <c r="AA40" s="36">
        <f>SUM(O40:U40)</f>
        <v/>
      </c>
      <c r="AB40" s="36">
        <f>SUM(O40:Z40)</f>
        <v/>
      </c>
      <c r="AC40" s="38" t="n">
        <v>1107</v>
      </c>
      <c r="AD40" s="38" t="n">
        <v>1107</v>
      </c>
      <c r="AE40" s="38" t="n">
        <v>1107</v>
      </c>
      <c r="AF40" s="38" t="n">
        <v>1107</v>
      </c>
      <c r="AG40" s="38" t="n">
        <v>1107</v>
      </c>
      <c r="AH40" s="38" t="n">
        <v>1107</v>
      </c>
      <c r="AI40" s="117" t="n">
        <v>1107</v>
      </c>
      <c r="AJ40" s="118" t="n">
        <v>1107</v>
      </c>
      <c r="AK40" s="118" t="n">
        <v>1107</v>
      </c>
      <c r="AL40" s="118" t="n">
        <v>1107</v>
      </c>
      <c r="AM40" s="119" t="n">
        <v>1107</v>
      </c>
      <c r="AN40" s="117" t="n">
        <v>1107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335.27</v>
      </c>
      <c r="C41" s="35" t="n">
        <v>416.27</v>
      </c>
      <c r="D41" s="35" t="n">
        <v>437.9400000000001</v>
      </c>
      <c r="E41" s="35" t="n">
        <v>344.92</v>
      </c>
      <c r="F41" s="35" t="n">
        <v>406.1900000000001</v>
      </c>
      <c r="G41" s="35" t="n">
        <v>426.02</v>
      </c>
      <c r="H41" s="35" t="n">
        <v>372.62</v>
      </c>
      <c r="I41" s="35" t="n">
        <v>437.31</v>
      </c>
      <c r="J41" s="35" t="n">
        <v>655.72</v>
      </c>
      <c r="K41" s="35" t="n">
        <v>386.92</v>
      </c>
      <c r="L41" s="35" t="n">
        <v>388.32</v>
      </c>
      <c r="M41" s="35" t="n">
        <v>441.73</v>
      </c>
      <c r="N41" s="36">
        <f>SUM(B41:M41)</f>
        <v/>
      </c>
      <c r="O41" s="37" t="n">
        <v>427.01</v>
      </c>
      <c r="P41" s="37" t="n">
        <v>402.51</v>
      </c>
      <c r="Q41" s="37" t="n">
        <v>455.91</v>
      </c>
      <c r="R41" s="37" t="n">
        <v>510.55</v>
      </c>
      <c r="S41" s="37" t="n">
        <v>429.51</v>
      </c>
      <c r="T41" s="37" t="n">
        <v>320.85</v>
      </c>
      <c r="U41" s="37" t="n">
        <v>493.58</v>
      </c>
      <c r="V41" s="38" t="n">
        <v>423</v>
      </c>
      <c r="W41" s="38" t="n">
        <v>423</v>
      </c>
      <c r="X41" s="38" t="n">
        <v>423</v>
      </c>
      <c r="Y41" s="38" t="n">
        <v>423</v>
      </c>
      <c r="Z41" s="38" t="n">
        <v>423</v>
      </c>
      <c r="AA41" s="36">
        <f>SUM(O41:U41)</f>
        <v/>
      </c>
      <c r="AB41" s="36">
        <f>SUM(O41:Z41)</f>
        <v/>
      </c>
      <c r="AC41" s="38" t="n">
        <v>423</v>
      </c>
      <c r="AD41" s="38" t="n">
        <v>423</v>
      </c>
      <c r="AE41" s="38" t="n">
        <v>423</v>
      </c>
      <c r="AF41" s="38" t="n">
        <v>423</v>
      </c>
      <c r="AG41" s="38" t="n">
        <v>423</v>
      </c>
      <c r="AH41" s="38" t="n">
        <v>423</v>
      </c>
      <c r="AI41" s="117" t="n">
        <v>423</v>
      </c>
      <c r="AJ41" s="118" t="n">
        <v>423</v>
      </c>
      <c r="AK41" s="118" t="n">
        <v>423</v>
      </c>
      <c r="AL41" s="118" t="n">
        <v>423</v>
      </c>
      <c r="AM41" s="119" t="n">
        <v>423</v>
      </c>
      <c r="AN41" s="117" t="n">
        <v>423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108.05</v>
      </c>
      <c r="C42" s="35" t="n">
        <v>44.34</v>
      </c>
      <c r="D42" s="35" t="n">
        <v>32.23</v>
      </c>
      <c r="E42" s="35" t="n">
        <v>12</v>
      </c>
      <c r="F42" s="35" t="n">
        <v>40.39</v>
      </c>
      <c r="G42" s="35" t="n">
        <v>34.34</v>
      </c>
      <c r="H42" s="35" t="n">
        <v>140.57</v>
      </c>
      <c r="I42" s="35" t="n">
        <v>47.51</v>
      </c>
      <c r="J42" s="35" t="n">
        <v>80.84999999999999</v>
      </c>
      <c r="K42" s="35" t="n">
        <v>63.14</v>
      </c>
      <c r="L42" s="35" t="n">
        <v>51.95</v>
      </c>
      <c r="M42" s="35" t="n">
        <v>154.14</v>
      </c>
      <c r="N42" s="36">
        <f>SUM(B42:M42)</f>
        <v/>
      </c>
      <c r="O42" s="37" t="n">
        <v>19.19</v>
      </c>
      <c r="P42" s="37" t="n">
        <v>48.62</v>
      </c>
      <c r="Q42" s="37" t="n">
        <v>59.29</v>
      </c>
      <c r="R42" s="37" t="n">
        <v>44.34</v>
      </c>
      <c r="S42" s="37" t="n">
        <v>41.65</v>
      </c>
      <c r="T42" s="37" t="n">
        <v>62.16</v>
      </c>
      <c r="U42" s="37" t="n">
        <v>73.75999999999999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0</v>
      </c>
      <c r="Q43" s="37" t="n">
        <v>74</v>
      </c>
      <c r="R43" s="37" t="n">
        <v>50</v>
      </c>
      <c r="S43" s="37" t="n">
        <v>0</v>
      </c>
      <c r="T43" s="37" t="n">
        <v>0</v>
      </c>
      <c r="U43" s="37" t="n">
        <v>0</v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SUMIF('HB TB'!$R:$R,'HB P&amp;L'!$A44,'HB TB'!C:C)</f>
        <v/>
      </c>
      <c r="P44" s="37">
        <f>SUMIF('HB TB'!$R:$R,'HB P&amp;L'!$A44,'HB TB'!D:D)</f>
        <v/>
      </c>
      <c r="Q44" s="37">
        <f>SUMIF('HB TB'!$R:$R,'HB P&amp;L'!$A44,'HB TB'!E:E)</f>
        <v/>
      </c>
      <c r="R44" s="37">
        <f>SUMIF('HB TB'!$R:$R,'HB P&amp;L'!$A44,'HB TB'!F:F)</f>
        <v/>
      </c>
      <c r="S44" s="37">
        <f>SUMIF('HB TB'!$R:$R,'HB P&amp;L'!$A44,'HB TB'!G:G)</f>
        <v/>
      </c>
      <c r="T44" s="37">
        <f>SUMIF('HB TB'!$R:$R,'HB P&amp;L'!$A44,'HB TB'!H:H)</f>
        <v/>
      </c>
      <c r="U44" s="37">
        <f>SUMIF('HB TB'!$R:$R,'HB P&amp;L'!$A44,'HB TB'!I:I)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220</v>
      </c>
      <c r="G45" s="35" t="n">
        <v>45</v>
      </c>
      <c r="H45" s="35" t="n">
        <v>0</v>
      </c>
      <c r="I45" s="35" t="n">
        <v>90</v>
      </c>
      <c r="J45" s="35" t="n">
        <v>0</v>
      </c>
      <c r="K45" s="35" t="n">
        <v>137.5</v>
      </c>
      <c r="L45" s="35" t="n">
        <v>137.5</v>
      </c>
      <c r="M45" s="35" t="n">
        <v>137.5</v>
      </c>
      <c r="N45" s="36">
        <f>SUM(B45:M45)</f>
        <v/>
      </c>
      <c r="O45" s="37" t="n">
        <v>236.5</v>
      </c>
      <c r="P45" s="37" t="n">
        <v>137.5</v>
      </c>
      <c r="Q45" s="37" t="n">
        <v>137.5</v>
      </c>
      <c r="R45" s="37" t="n">
        <v>239.5</v>
      </c>
      <c r="S45" s="37" t="n">
        <v>357.5</v>
      </c>
      <c r="T45" s="37" t="n">
        <v>137.5</v>
      </c>
      <c r="U45" s="37" t="n">
        <v>137.5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7" t="n">
        <v>100</v>
      </c>
      <c r="AJ45" s="118" t="n">
        <v>100</v>
      </c>
      <c r="AK45" s="118" t="n">
        <v>100</v>
      </c>
      <c r="AL45" s="118" t="n">
        <v>100</v>
      </c>
      <c r="AM45" s="119" t="n">
        <v>100</v>
      </c>
      <c r="AN45" s="117" t="n">
        <v>100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SUMIF('HB TB'!$R:$R,'HB P&amp;L'!$A46,'HB TB'!C:C)</f>
        <v/>
      </c>
      <c r="P46" s="37">
        <f>SUMIF('HB TB'!$R:$R,'HB P&amp;L'!$A46,'HB TB'!D:D)</f>
        <v/>
      </c>
      <c r="Q46" s="37">
        <f>SUMIF('HB TB'!$R:$R,'HB P&amp;L'!$A46,'HB TB'!E:E)</f>
        <v/>
      </c>
      <c r="R46" s="37">
        <f>SUMIF('HB TB'!$R:$R,'HB P&amp;L'!$A46,'HB TB'!F:F)</f>
        <v/>
      </c>
      <c r="S46" s="37">
        <f>SUMIF('HB TB'!$R:$R,'HB P&amp;L'!$A46,'HB TB'!G:G)</f>
        <v/>
      </c>
      <c r="T46" s="37">
        <f>SUMIF('HB TB'!$R:$R,'HB P&amp;L'!$A46,'HB TB'!H:H)</f>
        <v/>
      </c>
      <c r="U46" s="37">
        <f>SUMIF('HB TB'!$R:$R,'HB P&amp;L'!$A46,'HB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10288.58</v>
      </c>
      <c r="C47" s="42" t="n">
        <v>14710.45</v>
      </c>
      <c r="D47" s="42" t="n">
        <v>10491.25</v>
      </c>
      <c r="E47" s="42" t="n">
        <v>10163.31</v>
      </c>
      <c r="F47" s="42" t="n">
        <v>10652.17</v>
      </c>
      <c r="G47" s="42" t="n">
        <v>10623.23</v>
      </c>
      <c r="H47" s="42" t="n">
        <v>10646.53</v>
      </c>
      <c r="I47" s="42" t="n">
        <v>10345.72</v>
      </c>
      <c r="J47" s="42" t="n">
        <v>10542.71</v>
      </c>
      <c r="K47" s="42" t="n">
        <v>10799.83</v>
      </c>
      <c r="L47" s="42" t="n">
        <v>10378.26</v>
      </c>
      <c r="M47" s="42" t="n">
        <v>10543.52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41438.43</v>
      </c>
      <c r="C48" s="23" t="n">
        <v>47515.7</v>
      </c>
      <c r="D48" s="23" t="n">
        <v>43020.55</v>
      </c>
      <c r="E48" s="23" t="n">
        <v>46050.02</v>
      </c>
      <c r="F48" s="23" t="n">
        <v>48701.37</v>
      </c>
      <c r="G48" s="23" t="n">
        <v>50955.69</v>
      </c>
      <c r="H48" s="23" t="n">
        <v>50256.50999999999</v>
      </c>
      <c r="I48" s="23" t="n">
        <v>47419.56</v>
      </c>
      <c r="J48" s="23" t="n">
        <v>47312.21</v>
      </c>
      <c r="K48" s="23" t="n">
        <v>41509.03999999999</v>
      </c>
      <c r="L48" s="23" t="n">
        <v>41165.17</v>
      </c>
      <c r="M48" s="23" t="n">
        <v>43747.36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20065.54</v>
      </c>
      <c r="C50" s="55" t="n">
        <v>12130.06</v>
      </c>
      <c r="D50" s="55" t="n">
        <v>23881.11</v>
      </c>
      <c r="E50" s="55" t="n">
        <v>22056.98</v>
      </c>
      <c r="F50" s="55" t="n">
        <v>14041.95</v>
      </c>
      <c r="G50" s="55" t="n">
        <v>11902.15</v>
      </c>
      <c r="H50" s="55" t="n">
        <v>47127.88</v>
      </c>
      <c r="I50" s="55" t="n">
        <v>6130.860000000001</v>
      </c>
      <c r="J50" s="55" t="n">
        <v>3674.260000000002</v>
      </c>
      <c r="K50" s="55" t="n">
        <v>8665.200000000004</v>
      </c>
      <c r="L50" s="55" t="n">
        <v>24390.98</v>
      </c>
      <c r="M50" s="55" t="n">
        <v>34788.12000000001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SUMIF('HB TB'!$R:$R,'HB P&amp;L'!$A53,'HB TB'!C:C)</f>
        <v/>
      </c>
      <c r="P53" s="37">
        <f>SUMIF('HB TB'!$R:$R,'HB P&amp;L'!$A53,'HB TB'!D:D)</f>
        <v/>
      </c>
      <c r="Q53" s="37">
        <f>SUMIF('HB TB'!$R:$R,'HB P&amp;L'!$A53,'HB TB'!E:E)</f>
        <v/>
      </c>
      <c r="R53" s="37">
        <f>SUMIF('HB TB'!$R:$R,'HB P&amp;L'!$A53,'HB TB'!F:F)</f>
        <v/>
      </c>
      <c r="S53" s="37">
        <f>SUMIF('HB TB'!$R:$R,'HB P&amp;L'!$A53,'HB TB'!G:G)</f>
        <v/>
      </c>
      <c r="T53" s="37">
        <f>SUMIF('HB TB'!$R:$R,'HB P&amp;L'!$A53,'HB TB'!H:H)</f>
        <v/>
      </c>
      <c r="U53" s="37">
        <f>SUMIF('HB TB'!$R:$R,'HB P&amp;L'!$A53,'HB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SUMIF('HB TB'!$R:$R,'HB P&amp;L'!$A54,'HB TB'!C:C)</f>
        <v/>
      </c>
      <c r="P54" s="37">
        <f>SUMIF('HB TB'!$R:$R,'HB P&amp;L'!$A54,'HB TB'!D:D)</f>
        <v/>
      </c>
      <c r="Q54" s="37">
        <f>SUMIF('HB TB'!$R:$R,'HB P&amp;L'!$A54,'HB TB'!E:E)</f>
        <v/>
      </c>
      <c r="R54" s="37">
        <f>SUMIF('HB TB'!$R:$R,'HB P&amp;L'!$A54,'HB TB'!F:F)</f>
        <v/>
      </c>
      <c r="S54" s="37">
        <f>SUMIF('HB TB'!$R:$R,'HB P&amp;L'!$A54,'HB TB'!G:G)</f>
        <v/>
      </c>
      <c r="T54" s="37">
        <f>SUMIF('HB TB'!$R:$R,'HB P&amp;L'!$A54,'HB TB'!H:H)</f>
        <v/>
      </c>
      <c r="U54" s="37">
        <f>SUMIF('HB TB'!$R:$R,'HB P&amp;L'!$A54,'HB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SUMIF('HB TB'!$R:$R,'HB P&amp;L'!$A55,'HB TB'!C:C)</f>
        <v/>
      </c>
      <c r="P55" s="37">
        <f>SUMIF('HB TB'!$R:$R,'HB P&amp;L'!$A55,'HB TB'!D:D)</f>
        <v/>
      </c>
      <c r="Q55" s="37">
        <f>SUMIF('HB TB'!$R:$R,'HB P&amp;L'!$A55,'HB TB'!E:E)</f>
        <v/>
      </c>
      <c r="R55" s="37">
        <f>SUMIF('HB TB'!$R:$R,'HB P&amp;L'!$A55,'HB TB'!F:F)</f>
        <v/>
      </c>
      <c r="S55" s="37">
        <f>SUMIF('HB TB'!$R:$R,'HB P&amp;L'!$A55,'HB TB'!G:G)</f>
        <v/>
      </c>
      <c r="T55" s="37">
        <f>SUMIF('HB TB'!$R:$R,'HB P&amp;L'!$A55,'HB TB'!H:H)</f>
        <v/>
      </c>
      <c r="U55" s="37">
        <f>SUMIF('HB TB'!$R:$R,'HB P&amp;L'!$A55,'HB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SUMIF('HB TB'!$R:$R,'HB P&amp;L'!$A56,'HB TB'!C:C)</f>
        <v/>
      </c>
      <c r="P56" s="37">
        <f>SUMIF('HB TB'!$R:$R,'HB P&amp;L'!$A56,'HB TB'!D:D)</f>
        <v/>
      </c>
      <c r="Q56" s="37">
        <f>SUMIF('HB TB'!$R:$R,'HB P&amp;L'!$A56,'HB TB'!E:E)</f>
        <v/>
      </c>
      <c r="R56" s="37">
        <f>SUMIF('HB TB'!$R:$R,'HB P&amp;L'!$A56,'HB TB'!F:F)</f>
        <v/>
      </c>
      <c r="S56" s="37">
        <f>SUMIF('HB TB'!$R:$R,'HB P&amp;L'!$A56,'HB TB'!G:G)</f>
        <v/>
      </c>
      <c r="T56" s="37">
        <f>SUMIF('HB TB'!$R:$R,'HB P&amp;L'!$A56,'HB TB'!H:H)</f>
        <v/>
      </c>
      <c r="U56" s="37">
        <f>SUMIF('HB TB'!$R:$R,'HB P&amp;L'!$A56,'HB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160.38</v>
      </c>
      <c r="N57" s="36">
        <f>SUM(B57:M57)</f>
        <v/>
      </c>
      <c r="O57" s="37">
        <f>SUMIF('HB TB'!$R:$R,'HB P&amp;L'!$A57,'HB TB'!C:C)</f>
        <v/>
      </c>
      <c r="P57" s="37">
        <f>SUMIF('HB TB'!$R:$R,'HB P&amp;L'!$A57,'HB TB'!D:D)</f>
        <v/>
      </c>
      <c r="Q57" s="37">
        <f>SUMIF('HB TB'!$R:$R,'HB P&amp;L'!$A57,'HB TB'!E:E)</f>
        <v/>
      </c>
      <c r="R57" s="37">
        <f>SUMIF('HB TB'!$R:$R,'HB P&amp;L'!$A57,'HB TB'!F:F)</f>
        <v/>
      </c>
      <c r="S57" s="37">
        <f>SUMIF('HB TB'!$R:$R,'HB P&amp;L'!$A57,'HB TB'!G:G)</f>
        <v/>
      </c>
      <c r="T57" s="37">
        <f>SUMIF('HB TB'!$R:$R,'HB P&amp;L'!$A57,'HB TB'!H:H)</f>
        <v/>
      </c>
      <c r="U57" s="37">
        <f>SUMIF('HB TB'!$R:$R,'HB P&amp;L'!$A57,'HB TB'!I:I)</f>
        <v/>
      </c>
      <c r="V57" s="38" t="n"/>
      <c r="W57" s="38" t="n"/>
      <c r="X57" s="38" t="n"/>
      <c r="Y57" s="38" t="n"/>
      <c r="Z57" s="38">
        <f>30*10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SUMIF('HB TB'!$R:$R,'HB P&amp;L'!$A58,'HB TB'!C:C)</f>
        <v/>
      </c>
      <c r="P58" s="37">
        <f>SUMIF('HB TB'!$R:$R,'HB P&amp;L'!$A58,'HB TB'!D:D)</f>
        <v/>
      </c>
      <c r="Q58" s="37">
        <f>SUMIF('HB TB'!$R:$R,'HB P&amp;L'!$A58,'HB TB'!E:E)</f>
        <v/>
      </c>
      <c r="R58" s="37">
        <f>SUMIF('HB TB'!$R:$R,'HB P&amp;L'!$A58,'HB TB'!F:F)</f>
        <v/>
      </c>
      <c r="S58" s="37">
        <f>SUMIF('HB TB'!$R:$R,'HB P&amp;L'!$A58,'HB TB'!G:G)</f>
        <v/>
      </c>
      <c r="T58" s="37">
        <f>SUMIF('HB TB'!$R:$R,'HB P&amp;L'!$A58,'HB TB'!H:H)</f>
        <v/>
      </c>
      <c r="U58" s="37">
        <f>SUMIF('HB TB'!$R:$R,'HB P&amp;L'!$A58,'HB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6</v>
      </c>
      <c r="C60" s="35" t="n">
        <v>4.8</v>
      </c>
      <c r="D60" s="35" t="n">
        <v>5.4</v>
      </c>
      <c r="E60" s="35" t="n">
        <v>5.399999999999999</v>
      </c>
      <c r="F60" s="35" t="n">
        <v>6</v>
      </c>
      <c r="G60" s="35" t="n">
        <v>4.2</v>
      </c>
      <c r="H60" s="35" t="n">
        <v>6.600000000000001</v>
      </c>
      <c r="I60" s="35" t="n">
        <v>3</v>
      </c>
      <c r="J60" s="35" t="n">
        <v>2.4</v>
      </c>
      <c r="K60" s="35" t="n">
        <v>70</v>
      </c>
      <c r="L60" s="35" t="n">
        <v>1.8</v>
      </c>
      <c r="M60" s="35" t="n">
        <v>3</v>
      </c>
      <c r="N60" s="36">
        <f>SUM(B60:M60)</f>
        <v/>
      </c>
      <c r="O60" s="37" t="n">
        <v>1.2</v>
      </c>
      <c r="P60" s="37" t="n">
        <v>2.4</v>
      </c>
      <c r="Q60" s="37" t="n">
        <v>2.4</v>
      </c>
      <c r="R60" s="37" t="n">
        <v>3</v>
      </c>
      <c r="S60" s="37" t="n">
        <v>2.4</v>
      </c>
      <c r="T60" s="37" t="n">
        <v>2.4</v>
      </c>
      <c r="U60" s="37" t="n">
        <v>2.4</v>
      </c>
      <c r="V60" s="38" t="n">
        <v>5</v>
      </c>
      <c r="W60" s="38" t="n">
        <v>5</v>
      </c>
      <c r="X60" s="38" t="n">
        <v>5</v>
      </c>
      <c r="Y60" s="38" t="n">
        <v>5</v>
      </c>
      <c r="Z60" s="38" t="n">
        <v>5</v>
      </c>
      <c r="AA60" s="36">
        <f>SUM(O60:U60)</f>
        <v/>
      </c>
      <c r="AB60" s="36">
        <f>SUM(O60:Z60)</f>
        <v/>
      </c>
      <c r="AC60" s="38" t="n">
        <v>5</v>
      </c>
      <c r="AD60" s="38" t="n">
        <v>5</v>
      </c>
      <c r="AE60" s="38" t="n">
        <v>5</v>
      </c>
      <c r="AF60" s="38" t="n">
        <v>5</v>
      </c>
      <c r="AG60" s="38" t="n">
        <v>5</v>
      </c>
      <c r="AH60" s="38" t="n">
        <v>5</v>
      </c>
      <c r="AI60" s="117" t="n">
        <v>5</v>
      </c>
      <c r="AJ60" s="118" t="n">
        <v>5</v>
      </c>
      <c r="AK60" s="118" t="n">
        <v>5</v>
      </c>
      <c r="AL60" s="118" t="n">
        <v>5</v>
      </c>
      <c r="AM60" s="119" t="n">
        <v>5</v>
      </c>
      <c r="AN60" s="117" t="n">
        <v>5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3.98</v>
      </c>
      <c r="D61" s="35" t="n">
        <v>29.96</v>
      </c>
      <c r="E61" s="35" t="n">
        <v>11.95</v>
      </c>
      <c r="F61" s="35" t="n">
        <v>14.88</v>
      </c>
      <c r="G61" s="35" t="n">
        <v>60.69</v>
      </c>
      <c r="H61" s="35" t="n">
        <v>102.51</v>
      </c>
      <c r="I61" s="35" t="n">
        <v>0</v>
      </c>
      <c r="J61" s="35" t="n">
        <v>0</v>
      </c>
      <c r="K61" s="35" t="n">
        <v>15.26</v>
      </c>
      <c r="L61" s="35" t="n">
        <v>12.12</v>
      </c>
      <c r="M61" s="35" t="n">
        <v>54</v>
      </c>
      <c r="N61" s="36">
        <f>SUM(B61:M61)</f>
        <v/>
      </c>
      <c r="O61" s="37">
        <f>SUMIF('HB TB'!$R:$R,'HB P&amp;L'!$A61,'HB TB'!C:C)</f>
        <v/>
      </c>
      <c r="P61" s="37">
        <f>SUMIF('HB TB'!$R:$R,'HB P&amp;L'!$A61,'HB TB'!D:D)</f>
        <v/>
      </c>
      <c r="Q61" s="37">
        <f>SUMIF('HB TB'!$R:$R,'HB P&amp;L'!$A61,'HB TB'!E:E)</f>
        <v/>
      </c>
      <c r="R61" s="37">
        <f>SUMIF('HB TB'!$R:$R,'HB P&amp;L'!$A61,'HB TB'!F:F)</f>
        <v/>
      </c>
      <c r="S61" s="37">
        <f>SUMIF('HB TB'!$R:$R,'HB P&amp;L'!$A61,'HB TB'!G:G)</f>
        <v/>
      </c>
      <c r="T61" s="37">
        <f>SUMIF('HB TB'!$R:$R,'HB P&amp;L'!$A61,'HB TB'!H:H)</f>
        <v/>
      </c>
      <c r="U61" s="37">
        <f>SUMIF('HB TB'!$R:$R,'HB P&amp;L'!$A61,'HB TB'!I:I)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18</v>
      </c>
      <c r="C62" s="35" t="n">
        <v>0</v>
      </c>
      <c r="D62" s="35" t="n">
        <v>80</v>
      </c>
      <c r="E62" s="35" t="n">
        <v>110</v>
      </c>
      <c r="F62" s="35" t="n">
        <v>330</v>
      </c>
      <c r="G62" s="35" t="n">
        <v>250</v>
      </c>
      <c r="H62" s="35" t="n">
        <v>0</v>
      </c>
      <c r="I62" s="35" t="n">
        <v>180</v>
      </c>
      <c r="J62" s="35" t="n">
        <v>70</v>
      </c>
      <c r="K62" s="35" t="n">
        <v>0</v>
      </c>
      <c r="L62" s="35" t="n">
        <v>40</v>
      </c>
      <c r="M62" s="35" t="n">
        <v>0</v>
      </c>
      <c r="N62" s="36">
        <f>SUM(B62:M62)</f>
        <v/>
      </c>
      <c r="O62" s="37" t="n">
        <v>105</v>
      </c>
      <c r="P62" s="37" t="n">
        <v>0</v>
      </c>
      <c r="Q62" s="37" t="n">
        <v>125</v>
      </c>
      <c r="R62" s="37" t="n">
        <v>60</v>
      </c>
      <c r="S62" s="37" t="n">
        <v>0</v>
      </c>
      <c r="T62" s="37" t="n">
        <v>0</v>
      </c>
      <c r="U62" s="37" t="n">
        <v>0</v>
      </c>
      <c r="V62" s="38" t="n">
        <v>100</v>
      </c>
      <c r="W62" s="38" t="n">
        <v>100</v>
      </c>
      <c r="X62" s="38" t="n">
        <v>100</v>
      </c>
      <c r="Y62" s="38" t="n">
        <v>100</v>
      </c>
      <c r="Z62" s="38" t="n">
        <v>100</v>
      </c>
      <c r="AA62" s="36">
        <f>SUM(O62:U62)</f>
        <v/>
      </c>
      <c r="AB62" s="36">
        <f>SUM(O62:Z62)</f>
        <v/>
      </c>
      <c r="AC62" s="38" t="n">
        <v>100</v>
      </c>
      <c r="AD62" s="38" t="n">
        <v>100</v>
      </c>
      <c r="AE62" s="38" t="n">
        <v>100</v>
      </c>
      <c r="AF62" s="38" t="n">
        <v>100</v>
      </c>
      <c r="AG62" s="38" t="n">
        <v>100</v>
      </c>
      <c r="AH62" s="38" t="n">
        <v>100</v>
      </c>
      <c r="AI62" s="117" t="n">
        <v>100</v>
      </c>
      <c r="AJ62" s="118" t="n">
        <v>100</v>
      </c>
      <c r="AK62" s="118" t="n">
        <v>100</v>
      </c>
      <c r="AL62" s="118" t="n">
        <v>100</v>
      </c>
      <c r="AM62" s="119" t="n">
        <v>100</v>
      </c>
      <c r="AN62" s="117" t="n">
        <v>100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SUMIF('HB TB'!$R:$R,'HB P&amp;L'!$A63,'HB TB'!C:C)</f>
        <v/>
      </c>
      <c r="P63" s="37">
        <f>SUMIF('HB TB'!$R:$R,'HB P&amp;L'!$A63,'HB TB'!D:D)</f>
        <v/>
      </c>
      <c r="Q63" s="37">
        <f>SUMIF('HB TB'!$R:$R,'HB P&amp;L'!$A63,'HB TB'!E:E)</f>
        <v/>
      </c>
      <c r="R63" s="37">
        <f>SUMIF('HB TB'!$R:$R,'HB P&amp;L'!$A63,'HB TB'!F:F)</f>
        <v/>
      </c>
      <c r="S63" s="37">
        <f>SUMIF('HB TB'!$R:$R,'HB P&amp;L'!$A63,'HB TB'!G:G)</f>
        <v/>
      </c>
      <c r="T63" s="37">
        <f>SUMIF('HB TB'!$R:$R,'HB P&amp;L'!$A63,'HB TB'!H:H)</f>
        <v/>
      </c>
      <c r="U63" s="37">
        <f>SUMIF('HB TB'!$R:$R,'HB P&amp;L'!$A63,'HB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SUMIF('HB TB'!$R:$R,'HB P&amp;L'!$A64,'HB TB'!C:C)</f>
        <v/>
      </c>
      <c r="P64" s="37">
        <f>SUMIF('HB TB'!$R:$R,'HB P&amp;L'!$A64,'HB TB'!D:D)</f>
        <v/>
      </c>
      <c r="Q64" s="37">
        <f>SUMIF('HB TB'!$R:$R,'HB P&amp;L'!$A64,'HB TB'!E:E)</f>
        <v/>
      </c>
      <c r="R64" s="37">
        <f>SUMIF('HB TB'!$R:$R,'HB P&amp;L'!$A64,'HB TB'!F:F)</f>
        <v/>
      </c>
      <c r="S64" s="37">
        <f>SUMIF('HB TB'!$R:$R,'HB P&amp;L'!$A64,'HB TB'!G:G)</f>
        <v/>
      </c>
      <c r="T64" s="37">
        <f>SUMIF('HB TB'!$R:$R,'HB P&amp;L'!$A64,'HB TB'!H:H)</f>
        <v/>
      </c>
      <c r="U64" s="37">
        <f>SUMIF('HB TB'!$R:$R,'HB P&amp;L'!$A64,'HB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SUMIF('HB TB'!$R:$R,'HB P&amp;L'!$A65,'HB TB'!C:C)</f>
        <v/>
      </c>
      <c r="P65" s="37">
        <f>SUMIF('HB TB'!$R:$R,'HB P&amp;L'!$A65,'HB TB'!D:D)</f>
        <v/>
      </c>
      <c r="Q65" s="37">
        <f>SUMIF('HB TB'!$R:$R,'HB P&amp;L'!$A65,'HB TB'!E:E)</f>
        <v/>
      </c>
      <c r="R65" s="37">
        <f>SUMIF('HB TB'!$R:$R,'HB P&amp;L'!$A65,'HB TB'!F:F)</f>
        <v/>
      </c>
      <c r="S65" s="37">
        <f>SUMIF('HB TB'!$R:$R,'HB P&amp;L'!$A65,'HB TB'!G:G)</f>
        <v/>
      </c>
      <c r="T65" s="37">
        <f>SUMIF('HB TB'!$R:$R,'HB P&amp;L'!$A65,'HB TB'!H:H)</f>
        <v/>
      </c>
      <c r="U65" s="37">
        <f>SUMIF('HB TB'!$R:$R,'HB P&amp;L'!$A65,'HB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SUMIF('HB TB'!$R:$R,'HB P&amp;L'!$A66,'HB TB'!C:C)</f>
        <v/>
      </c>
      <c r="P66" s="37">
        <f>SUMIF('HB TB'!$R:$R,'HB P&amp;L'!$A66,'HB TB'!D:D)</f>
        <v/>
      </c>
      <c r="Q66" s="37">
        <f>SUMIF('HB TB'!$R:$R,'HB P&amp;L'!$A66,'HB TB'!E:E)</f>
        <v/>
      </c>
      <c r="R66" s="37">
        <f>SUMIF('HB TB'!$R:$R,'HB P&amp;L'!$A66,'HB TB'!F:F)</f>
        <v/>
      </c>
      <c r="S66" s="37">
        <f>SUMIF('HB TB'!$R:$R,'HB P&amp;L'!$A66,'HB TB'!G:G)</f>
        <v/>
      </c>
      <c r="T66" s="37">
        <f>SUMIF('HB TB'!$R:$R,'HB P&amp;L'!$A66,'HB TB'!H:H)</f>
        <v/>
      </c>
      <c r="U66" s="37">
        <f>SUMIF('HB TB'!$R:$R,'HB P&amp;L'!$A66,'HB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SUMIF('HB TB'!$R:$R,'HB P&amp;L'!$A67,'HB TB'!C:C)</f>
        <v/>
      </c>
      <c r="P67" s="37">
        <f>SUMIF('HB TB'!$R:$R,'HB P&amp;L'!$A67,'HB TB'!D:D)</f>
        <v/>
      </c>
      <c r="Q67" s="37">
        <f>SUMIF('HB TB'!$R:$R,'HB P&amp;L'!$A67,'HB TB'!E:E)</f>
        <v/>
      </c>
      <c r="R67" s="37">
        <f>SUMIF('HB TB'!$R:$R,'HB P&amp;L'!$A67,'HB TB'!F:F)</f>
        <v/>
      </c>
      <c r="S67" s="37">
        <f>SUMIF('HB TB'!$R:$R,'HB P&amp;L'!$A67,'HB TB'!G:G)</f>
        <v/>
      </c>
      <c r="T67" s="37">
        <f>SUMIF('HB TB'!$R:$R,'HB P&amp;L'!$A67,'HB TB'!H:H)</f>
        <v/>
      </c>
      <c r="U67" s="37">
        <f>SUMIF('HB TB'!$R:$R,'HB P&amp;L'!$A67,'HB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SUMIF('HB TB'!$R:$R,'HB P&amp;L'!$A68,'HB TB'!C:C)</f>
        <v/>
      </c>
      <c r="P68" s="37">
        <f>SUMIF('HB TB'!$R:$R,'HB P&amp;L'!$A68,'HB TB'!D:D)</f>
        <v/>
      </c>
      <c r="Q68" s="37">
        <f>SUMIF('HB TB'!$R:$R,'HB P&amp;L'!$A68,'HB TB'!E:E)</f>
        <v/>
      </c>
      <c r="R68" s="37">
        <f>SUMIF('HB TB'!$R:$R,'HB P&amp;L'!$A68,'HB TB'!F:F)</f>
        <v/>
      </c>
      <c r="S68" s="37">
        <f>SUMIF('HB TB'!$R:$R,'HB P&amp;L'!$A68,'HB TB'!G:G)</f>
        <v/>
      </c>
      <c r="T68" s="37">
        <f>SUMIF('HB TB'!$R:$R,'HB P&amp;L'!$A68,'HB TB'!H:H)</f>
        <v/>
      </c>
      <c r="U68" s="37">
        <f>SUMIF('HB TB'!$R:$R,'HB P&amp;L'!$A68,'HB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225.38</v>
      </c>
      <c r="C69" s="42" t="n">
        <v>210.16</v>
      </c>
      <c r="D69" s="42" t="n">
        <v>316.74</v>
      </c>
      <c r="E69" s="42" t="n">
        <v>328.73</v>
      </c>
      <c r="F69" s="42" t="n">
        <v>552.26</v>
      </c>
      <c r="G69" s="42" t="n">
        <v>516.27</v>
      </c>
      <c r="H69" s="42" t="n">
        <v>310.49</v>
      </c>
      <c r="I69" s="42" t="n">
        <v>384.38</v>
      </c>
      <c r="J69" s="42" t="n">
        <v>273.78</v>
      </c>
      <c r="K69" s="42" t="n">
        <v>300.06</v>
      </c>
      <c r="L69" s="42" t="n">
        <v>268.72</v>
      </c>
      <c r="M69" s="42" t="n">
        <v>432.18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19840.16</v>
      </c>
      <c r="C70" s="55" t="n">
        <v>11919.90000000001</v>
      </c>
      <c r="D70" s="55" t="n">
        <v>23564.37</v>
      </c>
      <c r="E70" s="55" t="n">
        <v>21728.25</v>
      </c>
      <c r="F70" s="55" t="n">
        <v>13489.69</v>
      </c>
      <c r="G70" s="55" t="n">
        <v>11385.88</v>
      </c>
      <c r="H70" s="55" t="n">
        <v>46817.39000000001</v>
      </c>
      <c r="I70" s="55" t="n">
        <v>5746.48</v>
      </c>
      <c r="J70" s="55" t="n">
        <v>3400.480000000002</v>
      </c>
      <c r="K70" s="55" t="n">
        <v>8365.140000000005</v>
      </c>
      <c r="L70" s="55" t="n">
        <v>24122.25999999999</v>
      </c>
      <c r="M70" s="55" t="n">
        <v>34355.94000000001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148" t="n">
        <v>0</v>
      </c>
      <c r="AJ72" s="148" t="n">
        <v>0</v>
      </c>
      <c r="AK72" s="148" t="n">
        <v>0</v>
      </c>
      <c r="AL72" s="148" t="n">
        <v>0</v>
      </c>
      <c r="AM72" s="148" t="n">
        <v>0</v>
      </c>
      <c r="AN72" s="148" t="n">
        <v>0</v>
      </c>
      <c r="AO72" s="149">
        <f>SUM(AC72:AH72)+SUM(AI72:AN72)</f>
        <v/>
      </c>
      <c r="AP72" s="145">
        <f>IF(AB72&lt;&gt;0,(AO72-AB72)/ABS(AB72),0)</f>
        <v/>
      </c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148" t="n">
        <v>0</v>
      </c>
      <c r="AJ73" s="148" t="n">
        <v>0</v>
      </c>
      <c r="AK73" s="148" t="n">
        <v>0</v>
      </c>
      <c r="AL73" s="148" t="n">
        <v>0</v>
      </c>
      <c r="AM73" s="148" t="n">
        <v>0</v>
      </c>
      <c r="AN73" s="148" t="n">
        <v>0</v>
      </c>
      <c r="AO73" s="149">
        <f>SUM(AC73:AH73)+SUM(AI73:AN73)</f>
        <v/>
      </c>
      <c r="AP73" s="145">
        <f>IF(AB73&lt;&gt;0,(AO73-AB73)/ABS(AB73),0)</f>
        <v/>
      </c>
    </row>
    <row r="74">
      <c r="A74" s="60" t="inlineStr">
        <is>
          <t>Direct - Sales</t>
        </is>
      </c>
      <c r="B74" s="60" t="n">
        <v>61503.97</v>
      </c>
      <c r="C74" s="60" t="n">
        <v>59645.76</v>
      </c>
      <c r="D74" s="60" t="n">
        <v>66901.66</v>
      </c>
      <c r="E74" s="60" t="n">
        <v>68107</v>
      </c>
      <c r="F74" s="60" t="n">
        <v>62743.32</v>
      </c>
      <c r="G74" s="60" t="n">
        <v>62857.84</v>
      </c>
      <c r="H74" s="60" t="n">
        <v>97384.39</v>
      </c>
      <c r="I74" s="60" t="n">
        <v>53550.42</v>
      </c>
      <c r="J74" s="60" t="n">
        <v>50986.47</v>
      </c>
      <c r="K74" s="8" t="n"/>
      <c r="L74" s="8" t="n"/>
      <c r="M74" s="8" t="n"/>
      <c r="N74" s="8" t="n"/>
      <c r="O74" s="60">
        <f>-SUMIF('HB TB'!$T:$T,'HB P&amp;L'!$A74,'HB TB'!C:C)</f>
        <v/>
      </c>
      <c r="P74" s="60">
        <f>-SUMIF('HB TB'!$T:$T,'HB P&amp;L'!$A74,'HB TB'!D:D)</f>
        <v/>
      </c>
      <c r="Q74" s="60">
        <f>-SUMIF('HB TB'!$T:$T,'HB P&amp;L'!$A74,'HB TB'!E:E)</f>
        <v/>
      </c>
      <c r="R74" s="60">
        <f>-SUMIF('HB TB'!$T:$T,'HB P&amp;L'!$A74,'HB TB'!F:F)</f>
        <v/>
      </c>
      <c r="S74" s="60">
        <f>-SUMIF('HB TB'!$T:$T,'HB P&amp;L'!$A74,'HB TB'!G:G)</f>
        <v/>
      </c>
      <c r="T74" s="60">
        <f>-SUMIF('HB TB'!$T:$T,'HB P&amp;L'!$A74,'HB TB'!H:H)</f>
        <v/>
      </c>
      <c r="U74" s="60">
        <f>-SUMIF('HB TB'!$T:$T,'HB P&amp;L'!$A74,'HB TB'!I:I)</f>
        <v/>
      </c>
      <c r="V74" s="60">
        <f>-SUMIF('HB TB'!$T:$T,'HB P&amp;L'!$A74,'HB TB'!J:J)</f>
        <v/>
      </c>
      <c r="W74" s="60">
        <f>-SUMIF('HB TB'!$T:$T,'HB P&amp;L'!$A74,'HB TB'!K:K)</f>
        <v/>
      </c>
      <c r="X74" s="60">
        <f>-SUMIF('HB TB'!$T:$T,'HB P&amp;L'!$A74,'HB TB'!L:L)</f>
        <v/>
      </c>
      <c r="Y74" s="60">
        <f>-SUMIF('HB TB'!$T:$T,'HB P&amp;L'!$A74,'HB TB'!M:M)</f>
        <v/>
      </c>
      <c r="Z74" s="60">
        <f>-SUMIF('HB TB'!$T:$T,'HB P&amp;L'!$A74,'HB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148" t="n">
        <v>0</v>
      </c>
      <c r="AJ74" s="148" t="n">
        <v>0</v>
      </c>
      <c r="AK74" s="148" t="n">
        <v>0</v>
      </c>
      <c r="AL74" s="148" t="n">
        <v>0</v>
      </c>
      <c r="AM74" s="148" t="n">
        <v>0</v>
      </c>
      <c r="AN74" s="148" t="n">
        <v>0</v>
      </c>
      <c r="AO74" s="149">
        <f>SUM(AC74:AH74)+SUM(AI74:AN74)</f>
        <v/>
      </c>
      <c r="AP74" s="145">
        <f>IF(AB74&lt;&gt;0,(AO74-AB74)/ABS(AB74),0)</f>
        <v/>
      </c>
    </row>
    <row r="75">
      <c r="A75" s="34" t="inlineStr">
        <is>
          <t>Direct - Staff Cost</t>
        </is>
      </c>
      <c r="B75" s="18" t="n">
        <v>-27701.32</v>
      </c>
      <c r="C75" s="18" t="n">
        <v>-29467.69</v>
      </c>
      <c r="D75" s="18" t="n">
        <v>-30030</v>
      </c>
      <c r="E75" s="18" t="n">
        <v>-33446.57</v>
      </c>
      <c r="F75" s="18" t="n">
        <v>-35440.64</v>
      </c>
      <c r="G75" s="18" t="n">
        <v>-37369.00000000001</v>
      </c>
      <c r="H75" s="18" t="n">
        <v>-36795.89</v>
      </c>
      <c r="I75" s="18" t="n">
        <v>-34385.2</v>
      </c>
      <c r="J75" s="18" t="n">
        <v>-34246.48</v>
      </c>
      <c r="K75" s="18" t="n"/>
      <c r="L75" s="18" t="n"/>
      <c r="M75" s="18" t="n"/>
      <c r="N75" s="8" t="n"/>
      <c r="O75" s="60">
        <f>-SUMIF('HB TB'!$T:$T,'HB P&amp;L'!$A75,'HB TB'!C:C)</f>
        <v/>
      </c>
      <c r="P75" s="60">
        <f>-SUMIF('HB TB'!$T:$T,'HB P&amp;L'!$A75,'HB TB'!D:D)</f>
        <v/>
      </c>
      <c r="Q75" s="60">
        <f>-SUMIF('HB TB'!$T:$T,'HB P&amp;L'!$A75,'HB TB'!E:E)</f>
        <v/>
      </c>
      <c r="R75" s="60">
        <f>-SUMIF('HB TB'!$T:$T,'HB P&amp;L'!$A75,'HB TB'!F:F)</f>
        <v/>
      </c>
      <c r="S75" s="60">
        <f>-SUMIF('HB TB'!$T:$T,'HB P&amp;L'!$A75,'HB TB'!G:G)</f>
        <v/>
      </c>
      <c r="T75" s="60">
        <f>-SUMIF('HB TB'!$T:$T,'HB P&amp;L'!$A75,'HB TB'!H:H)</f>
        <v/>
      </c>
      <c r="U75" s="60">
        <f>-SUMIF('HB TB'!$T:$T,'HB P&amp;L'!$A75,'HB TB'!I:I)</f>
        <v/>
      </c>
      <c r="V75" s="60">
        <f>-SUMIF('HB TB'!$T:$T,'HB P&amp;L'!$A75,'HB TB'!J:J)</f>
        <v/>
      </c>
      <c r="W75" s="60">
        <f>-SUMIF('HB TB'!$T:$T,'HB P&amp;L'!$A75,'HB TB'!K:K)</f>
        <v/>
      </c>
      <c r="X75" s="60">
        <f>-SUMIF('HB TB'!$T:$T,'HB P&amp;L'!$A75,'HB TB'!L:L)</f>
        <v/>
      </c>
      <c r="Y75" s="60">
        <f>-SUMIF('HB TB'!$T:$T,'HB P&amp;L'!$A75,'HB TB'!M:M)</f>
        <v/>
      </c>
      <c r="Z75" s="60">
        <f>-SUMIF('HB TB'!$T:$T,'HB P&amp;L'!$A75,'HB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148" t="n">
        <v>0</v>
      </c>
      <c r="AJ75" s="148" t="n">
        <v>0</v>
      </c>
      <c r="AK75" s="148" t="n">
        <v>0</v>
      </c>
      <c r="AL75" s="148" t="n">
        <v>0</v>
      </c>
      <c r="AM75" s="148" t="n">
        <v>0</v>
      </c>
      <c r="AN75" s="148" t="n">
        <v>0</v>
      </c>
      <c r="AO75" s="149">
        <f>SUM(AC75:AH75)+SUM(AI75:AN75)</f>
        <v/>
      </c>
      <c r="AP75" s="145">
        <f>IF(AB75&lt;&gt;0,(AO75-AB75)/ABS(AB75),0)</f>
        <v/>
      </c>
    </row>
    <row r="76">
      <c r="A76" s="60" t="inlineStr">
        <is>
          <t>Direct - Childcare Cost</t>
        </is>
      </c>
      <c r="B76" s="18" t="n">
        <v>-3448.529999999999</v>
      </c>
      <c r="C76" s="18" t="n">
        <v>-3337.56</v>
      </c>
      <c r="D76" s="18" t="n">
        <v>-2499.3</v>
      </c>
      <c r="E76" s="18" t="n">
        <v>-2440.14</v>
      </c>
      <c r="F76" s="18" t="n">
        <v>-2608.559999999999</v>
      </c>
      <c r="G76" s="18" t="n">
        <v>-2963.46</v>
      </c>
      <c r="H76" s="18" t="n">
        <v>-2814.09</v>
      </c>
      <c r="I76" s="18" t="n">
        <v>-2688.64</v>
      </c>
      <c r="J76" s="18" t="n">
        <v>-2523.02</v>
      </c>
      <c r="K76" s="18" t="n"/>
      <c r="L76" s="18" t="n"/>
      <c r="M76" s="18" t="n"/>
      <c r="N76" s="8" t="n"/>
      <c r="O76" s="60">
        <f>-SUMIF('HB TB'!$T:$T,'HB P&amp;L'!$A76,'HB TB'!C:C)</f>
        <v/>
      </c>
      <c r="P76" s="60">
        <f>-SUMIF('HB TB'!$T:$T,'HB P&amp;L'!$A76,'HB TB'!D:D)</f>
        <v/>
      </c>
      <c r="Q76" s="60">
        <f>-SUMIF('HB TB'!$T:$T,'HB P&amp;L'!$A76,'HB TB'!E:E)</f>
        <v/>
      </c>
      <c r="R76" s="60">
        <f>-SUMIF('HB TB'!$T:$T,'HB P&amp;L'!$A76,'HB TB'!F:F)</f>
        <v/>
      </c>
      <c r="S76" s="60">
        <f>-SUMIF('HB TB'!$T:$T,'HB P&amp;L'!$A76,'HB TB'!G:G)</f>
        <v/>
      </c>
      <c r="T76" s="60">
        <f>-SUMIF('HB TB'!$T:$T,'HB P&amp;L'!$A76,'HB TB'!H:H)</f>
        <v/>
      </c>
      <c r="U76" s="60">
        <f>-SUMIF('HB TB'!$T:$T,'HB P&amp;L'!$A76,'HB TB'!I:I)</f>
        <v/>
      </c>
      <c r="V76" s="60">
        <f>-SUMIF('HB TB'!$T:$T,'HB P&amp;L'!$A76,'HB TB'!J:J)</f>
        <v/>
      </c>
      <c r="W76" s="60">
        <f>-SUMIF('HB TB'!$T:$T,'HB P&amp;L'!$A76,'HB TB'!K:K)</f>
        <v/>
      </c>
      <c r="X76" s="60">
        <f>-SUMIF('HB TB'!$T:$T,'HB P&amp;L'!$A76,'HB TB'!L:L)</f>
        <v/>
      </c>
      <c r="Y76" s="60">
        <f>-SUMIF('HB TB'!$T:$T,'HB P&amp;L'!$A76,'HB TB'!M:M)</f>
        <v/>
      </c>
      <c r="Z76" s="60">
        <f>-SUMIF('HB TB'!$T:$T,'HB P&amp;L'!$A76,'HB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148" t="n">
        <v>0</v>
      </c>
      <c r="AJ76" s="148" t="n">
        <v>0</v>
      </c>
      <c r="AK76" s="148" t="n">
        <v>0</v>
      </c>
      <c r="AL76" s="148" t="n">
        <v>0</v>
      </c>
      <c r="AM76" s="148" t="n">
        <v>0</v>
      </c>
      <c r="AN76" s="148" t="n">
        <v>0</v>
      </c>
      <c r="AO76" s="149">
        <f>SUM(AC76:AH76)+SUM(AI76:AN76)</f>
        <v/>
      </c>
      <c r="AP76" s="145">
        <f>IF(AB76&lt;&gt;0,(AO76-AB76)/ABS(AB76),0)</f>
        <v/>
      </c>
    </row>
    <row r="77">
      <c r="A77" s="60" t="inlineStr">
        <is>
          <t>Direct - Premises &amp; Admin</t>
        </is>
      </c>
      <c r="B77" s="18" t="n">
        <v>-10288.58</v>
      </c>
      <c r="C77" s="18" t="n">
        <v>-14710.45</v>
      </c>
      <c r="D77" s="18" t="n">
        <v>-10491.25</v>
      </c>
      <c r="E77" s="18" t="n">
        <v>-10163.31</v>
      </c>
      <c r="F77" s="18" t="n">
        <v>-10652.17</v>
      </c>
      <c r="G77" s="18" t="n">
        <v>-10623.23</v>
      </c>
      <c r="H77" s="18" t="n">
        <v>-10646.53</v>
      </c>
      <c r="I77" s="18" t="n">
        <v>-10345.72</v>
      </c>
      <c r="J77" s="18" t="n">
        <v>-10542.71</v>
      </c>
      <c r="K77" s="18" t="n"/>
      <c r="L77" s="18" t="n"/>
      <c r="M77" s="18" t="n"/>
      <c r="N77" s="8" t="n"/>
      <c r="O77" s="60">
        <f>-SUMIF('HB TB'!$T:$T,'HB P&amp;L'!$A77,'HB TB'!C:C)</f>
        <v/>
      </c>
      <c r="P77" s="60">
        <f>-SUMIF('HB TB'!$T:$T,'HB P&amp;L'!$A77,'HB TB'!D:D)</f>
        <v/>
      </c>
      <c r="Q77" s="60">
        <f>-SUMIF('HB TB'!$T:$T,'HB P&amp;L'!$A77,'HB TB'!E:E)</f>
        <v/>
      </c>
      <c r="R77" s="60">
        <f>-SUMIF('HB TB'!$T:$T,'HB P&amp;L'!$A77,'HB TB'!F:F)</f>
        <v/>
      </c>
      <c r="S77" s="60">
        <f>-SUMIF('HB TB'!$T:$T,'HB P&amp;L'!$A77,'HB TB'!G:G)</f>
        <v/>
      </c>
      <c r="T77" s="60">
        <f>-SUMIF('HB TB'!$T:$T,'HB P&amp;L'!$A77,'HB TB'!H:H)</f>
        <v/>
      </c>
      <c r="U77" s="60">
        <f>-SUMIF('HB TB'!$T:$T,'HB P&amp;L'!$A77,'HB TB'!I:I)</f>
        <v/>
      </c>
      <c r="V77" s="60">
        <f>-SUMIF('HB TB'!$T:$T,'HB P&amp;L'!$A77,'HB TB'!J:J)</f>
        <v/>
      </c>
      <c r="W77" s="60">
        <f>-SUMIF('HB TB'!$T:$T,'HB P&amp;L'!$A77,'HB TB'!K:K)</f>
        <v/>
      </c>
      <c r="X77" s="60">
        <f>-SUMIF('HB TB'!$T:$T,'HB P&amp;L'!$A77,'HB TB'!L:L)</f>
        <v/>
      </c>
      <c r="Y77" s="60">
        <f>-SUMIF('HB TB'!$T:$T,'HB P&amp;L'!$A77,'HB TB'!M:M)</f>
        <v/>
      </c>
      <c r="Z77" s="60">
        <f>-SUMIF('HB TB'!$T:$T,'HB P&amp;L'!$A77,'HB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148" t="n">
        <v>0</v>
      </c>
      <c r="AJ77" s="148" t="n">
        <v>0</v>
      </c>
      <c r="AK77" s="148" t="n">
        <v>0</v>
      </c>
      <c r="AL77" s="148" t="n">
        <v>0</v>
      </c>
      <c r="AM77" s="148" t="n">
        <v>0</v>
      </c>
      <c r="AN77" s="148" t="n">
        <v>0</v>
      </c>
      <c r="AO77" s="149">
        <f>SUM(AC77:AH77)+SUM(AI77:AN77)</f>
        <v/>
      </c>
      <c r="AP77" s="145">
        <f>IF(AB77&lt;&gt;0,(AO77-AB77)/ABS(AB77),0)</f>
        <v/>
      </c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/>
      <c r="L78" s="18" t="n"/>
      <c r="M78" s="18" t="n"/>
      <c r="N78" s="8" t="n"/>
      <c r="O78" s="60">
        <f>-SUMIF('HB TB'!$T:$T,'HB P&amp;L'!$A78,'HB TB'!C:C)</f>
        <v/>
      </c>
      <c r="P78" s="60">
        <f>-SUMIF('HB TB'!$T:$T,'HB P&amp;L'!$A78,'HB TB'!D:D)</f>
        <v/>
      </c>
      <c r="Q78" s="60">
        <f>-SUMIF('HB TB'!$T:$T,'HB P&amp;L'!$A78,'HB TB'!E:E)</f>
        <v/>
      </c>
      <c r="R78" s="60">
        <f>-SUMIF('HB TB'!$T:$T,'HB P&amp;L'!$A78,'HB TB'!F:F)</f>
        <v/>
      </c>
      <c r="S78" s="60">
        <f>-SUMIF('HB TB'!$T:$T,'HB P&amp;L'!$A78,'HB TB'!G:G)</f>
        <v/>
      </c>
      <c r="T78" s="60">
        <f>-SUMIF('HB TB'!$T:$T,'HB P&amp;L'!$A78,'HB TB'!H:H)</f>
        <v/>
      </c>
      <c r="U78" s="60">
        <f>-SUMIF('HB TB'!$T:$T,'HB P&amp;L'!$A78,'HB TB'!I:I)</f>
        <v/>
      </c>
      <c r="V78" s="60">
        <f>-SUMIF('HB TB'!$T:$T,'HB P&amp;L'!$A78,'HB TB'!J:J)</f>
        <v/>
      </c>
      <c r="W78" s="60">
        <f>-SUMIF('HB TB'!$T:$T,'HB P&amp;L'!$A78,'HB TB'!K:K)</f>
        <v/>
      </c>
      <c r="X78" s="60">
        <f>-SUMIF('HB TB'!$T:$T,'HB P&amp;L'!$A78,'HB TB'!L:L)</f>
        <v/>
      </c>
      <c r="Y78" s="60">
        <f>-SUMIF('HB TB'!$T:$T,'HB P&amp;L'!$A78,'HB TB'!M:M)</f>
        <v/>
      </c>
      <c r="Z78" s="60">
        <f>-SUMIF('HB TB'!$T:$T,'HB P&amp;L'!$A78,'HB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148" t="n">
        <v>0</v>
      </c>
      <c r="AJ78" s="148" t="n">
        <v>0</v>
      </c>
      <c r="AK78" s="148" t="n">
        <v>0</v>
      </c>
      <c r="AL78" s="148" t="n">
        <v>0</v>
      </c>
      <c r="AM78" s="148" t="n">
        <v>0</v>
      </c>
      <c r="AN78" s="148" t="n">
        <v>0</v>
      </c>
      <c r="AO78" s="149">
        <f>SUM(AC78:AH78)+SUM(AI78:AN78)</f>
        <v/>
      </c>
      <c r="AP78" s="145">
        <f>IF(AB78&lt;&gt;0,(AO78-AB78)/ABS(AB78),0)</f>
        <v/>
      </c>
    </row>
    <row r="79">
      <c r="A79" s="60" t="inlineStr">
        <is>
          <t>In-Direct - Overheads</t>
        </is>
      </c>
      <c r="B79" s="18" t="n">
        <v>-225.38</v>
      </c>
      <c r="C79" s="18" t="n">
        <v>-210.16</v>
      </c>
      <c r="D79" s="18" t="n">
        <v>-316.74</v>
      </c>
      <c r="E79" s="18" t="n">
        <v>-328.73</v>
      </c>
      <c r="F79" s="18" t="n">
        <v>-552.26</v>
      </c>
      <c r="G79" s="18" t="n">
        <v>-516.27</v>
      </c>
      <c r="H79" s="18" t="n">
        <v>-310.49</v>
      </c>
      <c r="I79" s="18" t="n">
        <v>-384.38</v>
      </c>
      <c r="J79" s="18" t="n">
        <v>-273.78</v>
      </c>
      <c r="K79" s="18" t="n"/>
      <c r="L79" s="18" t="n"/>
      <c r="M79" s="18" t="n"/>
      <c r="N79" s="8" t="n"/>
      <c r="O79" s="60">
        <f>-SUMIF('HB TB'!$T:$T,'HB P&amp;L'!$A79,'HB TB'!C:C)</f>
        <v/>
      </c>
      <c r="P79" s="60">
        <f>-SUMIF('HB TB'!$T:$T,'HB P&amp;L'!$A79,'HB TB'!D:D)</f>
        <v/>
      </c>
      <c r="Q79" s="60">
        <f>-SUMIF('HB TB'!$T:$T,'HB P&amp;L'!$A79,'HB TB'!E:E)</f>
        <v/>
      </c>
      <c r="R79" s="60">
        <f>-SUMIF('HB TB'!$T:$T,'HB P&amp;L'!$A79,'HB TB'!F:F)</f>
        <v/>
      </c>
      <c r="S79" s="60">
        <f>-SUMIF('HB TB'!$T:$T,'HB P&amp;L'!$A79,'HB TB'!G:G)</f>
        <v/>
      </c>
      <c r="T79" s="60">
        <f>-SUMIF('HB TB'!$T:$T,'HB P&amp;L'!$A79,'HB TB'!H:H)</f>
        <v/>
      </c>
      <c r="U79" s="60">
        <f>-SUMIF('HB TB'!$T:$T,'HB P&amp;L'!$A79,'HB TB'!I:I)</f>
        <v/>
      </c>
      <c r="V79" s="60">
        <f>-SUMIF('HB TB'!$T:$T,'HB P&amp;L'!$A79,'HB TB'!J:J)</f>
        <v/>
      </c>
      <c r="W79" s="60">
        <f>-SUMIF('HB TB'!$T:$T,'HB P&amp;L'!$A79,'HB TB'!K:K)</f>
        <v/>
      </c>
      <c r="X79" s="60">
        <f>-SUMIF('HB TB'!$T:$T,'HB P&amp;L'!$A79,'HB TB'!L:L)</f>
        <v/>
      </c>
      <c r="Y79" s="60">
        <f>-SUMIF('HB TB'!$T:$T,'HB P&amp;L'!$A79,'HB TB'!M:M)</f>
        <v/>
      </c>
      <c r="Z79" s="60">
        <f>-SUMIF('HB TB'!$T:$T,'HB P&amp;L'!$A79,'HB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148" t="n">
        <v>0</v>
      </c>
      <c r="AJ79" s="148" t="n">
        <v>0</v>
      </c>
      <c r="AK79" s="148" t="n">
        <v>0</v>
      </c>
      <c r="AL79" s="148" t="n">
        <v>0</v>
      </c>
      <c r="AM79" s="148" t="n">
        <v>0</v>
      </c>
      <c r="AN79" s="148" t="n">
        <v>0</v>
      </c>
      <c r="AO79" s="149">
        <f>SUM(AC79:AH79)+SUM(AI79:AN79)</f>
        <v/>
      </c>
      <c r="AP79" s="145">
        <f>IF(AB79&lt;&gt;0,(AO79-AB79)/ABS(AB79),0)</f>
        <v/>
      </c>
    </row>
    <row r="80" ht="15.75" customHeight="1">
      <c r="A80" s="8" t="n"/>
      <c r="B80" s="67" t="n">
        <v>19840.16</v>
      </c>
      <c r="C80" s="67" t="n">
        <v>11919.9</v>
      </c>
      <c r="D80" s="67" t="n">
        <v>23564.37</v>
      </c>
      <c r="E80" s="67" t="n">
        <v>21728.25</v>
      </c>
      <c r="F80" s="67" t="n">
        <v>13489.69</v>
      </c>
      <c r="G80" s="67" t="n">
        <v>11385.88</v>
      </c>
      <c r="H80" s="67" t="n">
        <v>46817.39000000001</v>
      </c>
      <c r="I80" s="67" t="n">
        <v>5746.480000000002</v>
      </c>
      <c r="J80" s="67" t="n">
        <v>3400.479999999997</v>
      </c>
      <c r="K80" s="67" t="n"/>
      <c r="L80" s="67" t="n"/>
      <c r="M80" s="67" t="n"/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134" t="n">
        <v>0</v>
      </c>
      <c r="AJ80" s="153" t="n">
        <v>0</v>
      </c>
      <c r="AK80" s="153" t="n">
        <v>0</v>
      </c>
      <c r="AL80" s="153" t="n">
        <v>0</v>
      </c>
      <c r="AM80" s="153" t="n">
        <v>0</v>
      </c>
      <c r="AN80" s="153" t="n">
        <v>0</v>
      </c>
      <c r="AO80" s="154">
        <f>SUM(AC80:AH80)+SUM(AI80:AN80)</f>
        <v/>
      </c>
      <c r="AP80" s="155">
        <f>IF(AB80&lt;&gt;0,(AO80-AB80)/ABS(AB80),0)</f>
        <v/>
      </c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5.456968210637569e-12</v>
      </c>
      <c r="K81" s="18" t="n"/>
      <c r="L81" s="18" t="n"/>
      <c r="M81" s="18" t="n"/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0</v>
      </c>
      <c r="G83" s="18" t="n">
        <v>0</v>
      </c>
      <c r="H83" s="18" t="n">
        <v>0</v>
      </c>
      <c r="I83" s="18" t="n">
        <v>9.094947017729282e-12</v>
      </c>
      <c r="J83" s="18" t="n">
        <v>-5.456968210637569e-12</v>
      </c>
      <c r="K83" s="18" t="n"/>
      <c r="L83" s="18" t="n"/>
      <c r="M83" s="18" t="n"/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48" t="n">
        <v>0</v>
      </c>
      <c r="AJ83" s="148" t="n">
        <v>0</v>
      </c>
      <c r="AK83" s="148" t="n">
        <v>0</v>
      </c>
      <c r="AL83" s="148" t="n">
        <v>0</v>
      </c>
      <c r="AM83" s="148" t="n">
        <v>0</v>
      </c>
      <c r="AN83" s="148" t="n">
        <v>0</v>
      </c>
      <c r="AO83" s="149">
        <f>SUM(AC83:AH83)+SUM(AI83:AN83)</f>
        <v/>
      </c>
      <c r="AP83" s="145">
        <f>IF(AB83&lt;&gt;0,(AO83-AB83)/ABS(AB83),0)</f>
        <v/>
      </c>
    </row>
    <row r="84">
      <c r="A84" s="8" t="n"/>
      <c r="B84" s="18" t="n">
        <v>-19840.15999999999</v>
      </c>
      <c r="C84" s="18" t="n">
        <v>-11919.9</v>
      </c>
      <c r="D84" s="18" t="n">
        <v>-23564.37</v>
      </c>
      <c r="E84" s="18" t="n">
        <v>-21728.25</v>
      </c>
      <c r="F84" s="18" t="n">
        <v>-13489.68999999999</v>
      </c>
      <c r="G84" s="18" t="n">
        <v>-11385.88</v>
      </c>
      <c r="H84" s="18" t="n">
        <v>-46817.38999999999</v>
      </c>
      <c r="I84" s="18" t="n">
        <v>-5746.479999999993</v>
      </c>
      <c r="J84" s="18" t="n">
        <v>-3400.480000000002</v>
      </c>
      <c r="K84" s="18" t="n"/>
      <c r="L84" s="18" t="n"/>
      <c r="M84" s="18" t="n"/>
      <c r="N84" s="8" t="n"/>
      <c r="O84" s="60">
        <f>SUM('HB TB'!C2:C43)</f>
        <v/>
      </c>
      <c r="P84" s="60">
        <f>SUM('HB TB'!D2:D43)</f>
        <v/>
      </c>
      <c r="Q84" s="60">
        <f>SUM('HB TB'!E2:E43)</f>
        <v/>
      </c>
      <c r="R84" s="60">
        <f>SUM('HB TB'!F2:F43)</f>
        <v/>
      </c>
      <c r="S84" s="60">
        <f>SUM('HB TB'!G2:G43)</f>
        <v/>
      </c>
      <c r="T84" s="60">
        <f>SUM('HB TB'!H2:H43)</f>
        <v/>
      </c>
      <c r="U84" s="60">
        <f>SUM('HB TB'!I2:I43)</f>
        <v/>
      </c>
      <c r="V84" s="60">
        <f>SUM('HB TB'!J2:J43)</f>
        <v/>
      </c>
      <c r="W84" s="60">
        <f>SUM('HB TB'!K2:K43)</f>
        <v/>
      </c>
      <c r="X84" s="60">
        <f>SUM('HB TB'!L2:L43)</f>
        <v/>
      </c>
      <c r="Y84" s="60">
        <f>SUM('HB TB'!M2:M43)</f>
        <v/>
      </c>
      <c r="Z84" s="60">
        <f>SUM('HB TB'!N2:N43)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48" t="n">
        <v>0</v>
      </c>
      <c r="AJ84" s="148" t="n">
        <v>0</v>
      </c>
      <c r="AK84" s="148" t="n">
        <v>0</v>
      </c>
      <c r="AL84" s="148" t="n">
        <v>0</v>
      </c>
      <c r="AM84" s="148" t="n">
        <v>0</v>
      </c>
      <c r="AN84" s="148" t="n">
        <v>0</v>
      </c>
      <c r="AO84" s="149">
        <f>SUM(AC84:AH84)+SUM(AI84:AN84)</f>
        <v/>
      </c>
      <c r="AP84" s="145">
        <f>IF(AB84&lt;&gt;0,(AO84-AB84)/ABS(AB84),0)</f>
        <v/>
      </c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mergeCells count="1">
    <mergeCell ref="AI1:AQ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Our Den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1523.64</v>
      </c>
      <c r="K8" s="35" t="n">
        <v>993.6600000000001</v>
      </c>
      <c r="L8" s="35" t="n">
        <v>851.8</v>
      </c>
      <c r="M8" s="35" t="n">
        <v>1363.66</v>
      </c>
      <c r="N8" s="36">
        <f>SUM(B8:M8)</f>
        <v/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37" t="n">
        <v>0</v>
      </c>
      <c r="U8" s="37" t="n">
        <v>0</v>
      </c>
      <c r="V8" s="38" t="n">
        <v>0</v>
      </c>
      <c r="W8" s="38" t="n">
        <v>2465</v>
      </c>
      <c r="X8" s="38" t="n">
        <v>3423</v>
      </c>
      <c r="Y8" s="38" t="n">
        <v>4356</v>
      </c>
      <c r="Z8" s="38" t="n">
        <v>2857</v>
      </c>
      <c r="AA8" s="36">
        <f>SUM(O8:U8)</f>
        <v/>
      </c>
      <c r="AB8" s="36">
        <f>SUM(O8:Z8)</f>
        <v/>
      </c>
      <c r="AC8" s="38" t="n">
        <v>29839.75</v>
      </c>
      <c r="AD8" s="38" t="n">
        <v>21836.64</v>
      </c>
      <c r="AE8" s="38" t="n">
        <v>28707.94</v>
      </c>
      <c r="AF8" s="38" t="n">
        <v>22423.44</v>
      </c>
      <c r="AG8" s="38" t="n">
        <v>29115.52</v>
      </c>
      <c r="AH8" s="38" t="n">
        <v>27182.25</v>
      </c>
      <c r="AI8" s="117" t="n">
        <v>27182.25</v>
      </c>
      <c r="AJ8" s="118" t="n">
        <v>27182.25</v>
      </c>
      <c r="AK8" s="118" t="n">
        <v>27182.25</v>
      </c>
      <c r="AL8" s="118" t="n">
        <v>27182.25</v>
      </c>
      <c r="AM8" s="119" t="n">
        <v>27182.25</v>
      </c>
      <c r="AN8" s="117" t="n">
        <v>27182.25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6791.83</v>
      </c>
      <c r="M9" s="35" t="n">
        <v>6791.83</v>
      </c>
      <c r="N9" s="36">
        <f>SUM(B9:M9)</f>
        <v/>
      </c>
      <c r="O9" s="37" t="n">
        <v>0</v>
      </c>
      <c r="P9" s="37" t="n">
        <v>0</v>
      </c>
      <c r="Q9" s="37" t="n">
        <v>0</v>
      </c>
      <c r="R9" s="37" t="n">
        <v>0</v>
      </c>
      <c r="S9" s="37" t="n">
        <v>0</v>
      </c>
      <c r="T9" s="37" t="n">
        <v>0</v>
      </c>
      <c r="U9" s="37" t="n">
        <v>0</v>
      </c>
      <c r="V9" s="38" t="n">
        <v>0</v>
      </c>
      <c r="W9" s="38" t="n">
        <v>20848</v>
      </c>
      <c r="X9" s="38" t="n">
        <v>20843</v>
      </c>
      <c r="Y9" s="38" t="n">
        <v>25973</v>
      </c>
      <c r="Z9" s="38" t="n">
        <v>17232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 t="n">
        <v>0</v>
      </c>
      <c r="P10" s="37" t="n">
        <v>0</v>
      </c>
      <c r="Q10" s="37" t="n">
        <v>0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1523.64</v>
      </c>
      <c r="K11" s="42" t="n">
        <v>993.6600000000001</v>
      </c>
      <c r="L11" s="42" t="n">
        <v>7643.63</v>
      </c>
      <c r="M11" s="42" t="n">
        <v>8155.49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 t="n"/>
      <c r="F13" s="47" t="n"/>
      <c r="G13" s="47" t="n"/>
      <c r="H13" s="47" t="n"/>
      <c r="I13" s="47" t="n"/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6448.15</v>
      </c>
      <c r="K16" s="35" t="n">
        <v>6689.36</v>
      </c>
      <c r="L16" s="35" t="n">
        <v>6765.64</v>
      </c>
      <c r="M16" s="35" t="n">
        <v>6815.95</v>
      </c>
      <c r="N16" s="36">
        <f>SUM(B16:M16)</f>
        <v/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8" t="n">
        <v>9114</v>
      </c>
      <c r="W16" s="38" t="n">
        <v>9114</v>
      </c>
      <c r="X16" s="38" t="n">
        <v>9114</v>
      </c>
      <c r="Y16" s="38" t="n">
        <v>9114</v>
      </c>
      <c r="Z16" s="38" t="n">
        <v>9114</v>
      </c>
      <c r="AA16" s="36">
        <f>SUM(O16:U16)</f>
        <v/>
      </c>
      <c r="AB16" s="36">
        <f>SUM(O16:Z16)</f>
        <v/>
      </c>
      <c r="AC16" s="38" t="n">
        <v>9114</v>
      </c>
      <c r="AD16" s="38" t="n">
        <v>9114</v>
      </c>
      <c r="AE16" s="38" t="n">
        <v>9114</v>
      </c>
      <c r="AF16" s="38" t="n">
        <v>9114</v>
      </c>
      <c r="AG16" s="38" t="n">
        <v>9114</v>
      </c>
      <c r="AH16" s="38" t="n">
        <v>9114</v>
      </c>
      <c r="AI16" s="117" t="n">
        <v>9114</v>
      </c>
      <c r="AJ16" s="118" t="n">
        <v>9114</v>
      </c>
      <c r="AK16" s="118" t="n">
        <v>9114</v>
      </c>
      <c r="AL16" s="118" t="n">
        <v>9114</v>
      </c>
      <c r="AM16" s="119" t="n">
        <v>9114</v>
      </c>
      <c r="AN16" s="117" t="n">
        <v>9114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654.47</v>
      </c>
      <c r="K17" s="35" t="n">
        <v>753.2</v>
      </c>
      <c r="L17" s="35" t="n">
        <v>764.64</v>
      </c>
      <c r="M17" s="35" t="n">
        <v>772.1800000000001</v>
      </c>
      <c r="N17" s="36">
        <f>SUM(B17:M17)</f>
        <v/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37" t="n">
        <v>0</v>
      </c>
      <c r="U17" s="37" t="n">
        <v>0</v>
      </c>
      <c r="V17" s="38" t="n">
        <v>871</v>
      </c>
      <c r="W17" s="38" t="n">
        <v>871</v>
      </c>
      <c r="X17" s="38" t="n">
        <v>871</v>
      </c>
      <c r="Y17" s="38" t="n">
        <v>871</v>
      </c>
      <c r="Z17" s="38" t="n">
        <v>871</v>
      </c>
      <c r="AA17" s="36">
        <f>SUM(O17:U17)</f>
        <v/>
      </c>
      <c r="AB17" s="36">
        <f>SUM(O17:Z17)</f>
        <v/>
      </c>
      <c r="AC17" s="38" t="n">
        <v>871</v>
      </c>
      <c r="AD17" s="38" t="n">
        <v>871</v>
      </c>
      <c r="AE17" s="38" t="n">
        <v>871</v>
      </c>
      <c r="AF17" s="38" t="n">
        <v>871</v>
      </c>
      <c r="AG17" s="38" t="n">
        <v>871</v>
      </c>
      <c r="AH17" s="38" t="n">
        <v>871</v>
      </c>
      <c r="AI17" s="117" t="n">
        <v>871</v>
      </c>
      <c r="AJ17" s="118" t="n">
        <v>871</v>
      </c>
      <c r="AK17" s="118" t="n">
        <v>871</v>
      </c>
      <c r="AL17" s="118" t="n">
        <v>871</v>
      </c>
      <c r="AM17" s="119" t="n">
        <v>871</v>
      </c>
      <c r="AN17" s="117" t="n">
        <v>871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140.54</v>
      </c>
      <c r="M18" s="35" t="n">
        <v>142.06</v>
      </c>
      <c r="N18" s="36">
        <f>SUM(B18:M18)</f>
        <v/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37" t="n">
        <v>0</v>
      </c>
      <c r="U18" s="37" t="n">
        <v>0</v>
      </c>
      <c r="V18" s="38" t="n">
        <v>143.99</v>
      </c>
      <c r="W18" s="38" t="n">
        <v>143.99</v>
      </c>
      <c r="X18" s="38" t="n">
        <v>143.99</v>
      </c>
      <c r="Y18" s="38" t="n">
        <v>143.99</v>
      </c>
      <c r="Z18" s="38" t="n">
        <v>143.99</v>
      </c>
      <c r="AA18" s="36">
        <f>SUM(O18:U18)</f>
        <v/>
      </c>
      <c r="AB18" s="36">
        <f>SUM(O18:Z18)</f>
        <v/>
      </c>
      <c r="AC18" s="38" t="n">
        <v>143.99</v>
      </c>
      <c r="AD18" s="38" t="n">
        <v>143.99</v>
      </c>
      <c r="AE18" s="38" t="n">
        <v>143.99</v>
      </c>
      <c r="AF18" s="38" t="n">
        <v>143.99</v>
      </c>
      <c r="AG18" s="38" t="n">
        <v>143.99</v>
      </c>
      <c r="AH18" s="38" t="n">
        <v>143.99</v>
      </c>
      <c r="AI18" s="117" t="n">
        <v>143.99</v>
      </c>
      <c r="AJ18" s="118" t="n">
        <v>143.99</v>
      </c>
      <c r="AK18" s="118" t="n">
        <v>143.99</v>
      </c>
      <c r="AL18" s="118" t="n">
        <v>143.99</v>
      </c>
      <c r="AM18" s="119" t="n">
        <v>143.99</v>
      </c>
      <c r="AN18" s="117" t="n">
        <v>143.99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0</v>
      </c>
      <c r="U19" s="37" t="n">
        <v>0</v>
      </c>
      <c r="V19" s="38" t="n">
        <v>20</v>
      </c>
      <c r="W19" s="38" t="n">
        <v>20</v>
      </c>
      <c r="X19" s="38" t="n">
        <v>20</v>
      </c>
      <c r="Y19" s="38" t="n">
        <v>20</v>
      </c>
      <c r="Z19" s="38" t="n">
        <v>20</v>
      </c>
      <c r="AA19" s="36">
        <f>SUM(O19:U19)</f>
        <v/>
      </c>
      <c r="AB19" s="36">
        <f>SUM(O19:Z19)</f>
        <v/>
      </c>
      <c r="AC19" s="38" t="n">
        <v>20</v>
      </c>
      <c r="AD19" s="38" t="n">
        <v>20</v>
      </c>
      <c r="AE19" s="38" t="n">
        <v>20</v>
      </c>
      <c r="AF19" s="38" t="n">
        <v>20</v>
      </c>
      <c r="AG19" s="38" t="n">
        <v>20</v>
      </c>
      <c r="AH19" s="38" t="n">
        <v>20</v>
      </c>
      <c r="AI19" s="117" t="n">
        <v>20</v>
      </c>
      <c r="AJ19" s="118" t="n">
        <v>20</v>
      </c>
      <c r="AK19" s="118" t="n">
        <v>20</v>
      </c>
      <c r="AL19" s="118" t="n">
        <v>20</v>
      </c>
      <c r="AM19" s="119" t="n">
        <v>20</v>
      </c>
      <c r="AN19" s="117" t="n">
        <v>20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0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114</v>
      </c>
      <c r="M20" s="35" t="n">
        <v>0</v>
      </c>
      <c r="N20" s="36">
        <f>SUM(B20:M20)</f>
        <v/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7" t="n">
        <v>0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7" t="n">
        <v>100</v>
      </c>
      <c r="AJ20" s="118" t="n">
        <v>100</v>
      </c>
      <c r="AK20" s="118" t="n">
        <v>100</v>
      </c>
      <c r="AL20" s="118" t="n">
        <v>100</v>
      </c>
      <c r="AM20" s="119" t="n">
        <v>100</v>
      </c>
      <c r="AN20" s="117" t="n">
        <v>100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25.03</v>
      </c>
      <c r="K21" s="35" t="n">
        <v>25.27</v>
      </c>
      <c r="L21" s="35" t="n">
        <v>11.27</v>
      </c>
      <c r="M21" s="35" t="n">
        <v>0</v>
      </c>
      <c r="N21" s="36">
        <f>SUM(B21:M21)</f>
        <v/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37" t="n">
        <v>0</v>
      </c>
      <c r="U21" s="37" t="n">
        <v>0</v>
      </c>
      <c r="V21" s="38" t="n">
        <v>40</v>
      </c>
      <c r="W21" s="38" t="n">
        <v>40</v>
      </c>
      <c r="X21" s="38" t="n">
        <v>40</v>
      </c>
      <c r="Y21" s="38" t="n">
        <v>40</v>
      </c>
      <c r="Z21" s="38" t="n">
        <v>40</v>
      </c>
      <c r="AA21" s="36">
        <f>SUM(O21:U21)</f>
        <v/>
      </c>
      <c r="AB21" s="36">
        <f>SUM(O21:Z21)</f>
        <v/>
      </c>
      <c r="AC21" s="38" t="n">
        <v>40</v>
      </c>
      <c r="AD21" s="38" t="n">
        <v>40</v>
      </c>
      <c r="AE21" s="38" t="n">
        <v>40</v>
      </c>
      <c r="AF21" s="38" t="n">
        <v>40</v>
      </c>
      <c r="AG21" s="38" t="n">
        <v>40</v>
      </c>
      <c r="AH21" s="38" t="n">
        <v>40</v>
      </c>
      <c r="AI21" s="117" t="n">
        <v>40</v>
      </c>
      <c r="AJ21" s="118" t="n">
        <v>40</v>
      </c>
      <c r="AK21" s="118" t="n">
        <v>40</v>
      </c>
      <c r="AL21" s="118" t="n">
        <v>40</v>
      </c>
      <c r="AM21" s="119" t="n">
        <v>40</v>
      </c>
      <c r="AN21" s="117" t="n">
        <v>40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8" t="n">
        <v>17</v>
      </c>
      <c r="W23" s="38" t="n">
        <v>17</v>
      </c>
      <c r="X23" s="38" t="n">
        <v>17</v>
      </c>
      <c r="Y23" s="38" t="n">
        <v>17</v>
      </c>
      <c r="Z23" s="38" t="n">
        <v>17</v>
      </c>
      <c r="AA23" s="36">
        <f>SUM(O23:U23)</f>
        <v/>
      </c>
      <c r="AB23" s="36">
        <f>SUM(O23:Z23)</f>
        <v/>
      </c>
      <c r="AC23" s="38" t="n">
        <v>17</v>
      </c>
      <c r="AD23" s="38" t="n">
        <v>17</v>
      </c>
      <c r="AE23" s="38" t="n">
        <v>17</v>
      </c>
      <c r="AF23" s="38" t="n">
        <v>17</v>
      </c>
      <c r="AG23" s="38" t="n">
        <v>17</v>
      </c>
      <c r="AH23" s="38" t="n">
        <v>17</v>
      </c>
      <c r="AI23" s="117" t="n">
        <v>17</v>
      </c>
      <c r="AJ23" s="118" t="n">
        <v>17</v>
      </c>
      <c r="AK23" s="118" t="n">
        <v>17</v>
      </c>
      <c r="AL23" s="118" t="n">
        <v>17</v>
      </c>
      <c r="AM23" s="119" t="n">
        <v>17</v>
      </c>
      <c r="AN23" s="117" t="n">
        <v>17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 t="n">
        <v>0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7" t="n">
        <v>0</v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0</v>
      </c>
      <c r="C25" s="42" t="n">
        <v>0</v>
      </c>
      <c r="D25" s="42" t="n">
        <v>0</v>
      </c>
      <c r="E25" s="42" t="n">
        <v>0</v>
      </c>
      <c r="F25" s="42" t="n">
        <v>0</v>
      </c>
      <c r="G25" s="42" t="n">
        <v>0</v>
      </c>
      <c r="H25" s="42" t="n">
        <v>0</v>
      </c>
      <c r="I25" s="42" t="n">
        <v>0</v>
      </c>
      <c r="J25" s="42" t="n">
        <v>7127.65</v>
      </c>
      <c r="K25" s="42" t="n">
        <v>7467.83</v>
      </c>
      <c r="L25" s="42" t="n">
        <v>7796.090000000001</v>
      </c>
      <c r="M25" s="42" t="n">
        <v>7730.190000000001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5" t="n">
        <v>0</v>
      </c>
      <c r="I27" s="35" t="n">
        <v>0</v>
      </c>
      <c r="J27" s="35" t="n">
        <v>125.31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 t="n">
        <v>0</v>
      </c>
      <c r="P27" s="37" t="n">
        <v>0</v>
      </c>
      <c r="Q27" s="37" t="n">
        <v>0</v>
      </c>
      <c r="R27" s="37" t="n">
        <v>0</v>
      </c>
      <c r="S27" s="37" t="n">
        <v>0</v>
      </c>
      <c r="T27" s="37" t="n">
        <v>0</v>
      </c>
      <c r="U27" s="37" t="n">
        <v>0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3627.11</v>
      </c>
      <c r="K28" s="35" t="n">
        <v>38.69</v>
      </c>
      <c r="L28" s="35" t="n">
        <v>19.59</v>
      </c>
      <c r="M28" s="35" t="n">
        <v>0</v>
      </c>
      <c r="N28" s="36">
        <f>SUM(B28:M28)</f>
        <v/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117" t="n">
        <v>58</v>
      </c>
      <c r="AJ28" s="118" t="n">
        <v>58</v>
      </c>
      <c r="AK28" s="118" t="n">
        <v>58</v>
      </c>
      <c r="AL28" s="118" t="n">
        <v>58</v>
      </c>
      <c r="AM28" s="119" t="n">
        <v>58</v>
      </c>
      <c r="AN28" s="117" t="n">
        <v>58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141.54</v>
      </c>
      <c r="K29" s="35" t="n">
        <v>0</v>
      </c>
      <c r="L29" s="35" t="n">
        <v>118.68</v>
      </c>
      <c r="M29" s="35" t="n">
        <v>0</v>
      </c>
      <c r="N29" s="36">
        <f>SUM(B29:M29)</f>
        <v/>
      </c>
      <c r="O29" s="37" t="n">
        <v>0</v>
      </c>
      <c r="P29" s="37" t="n">
        <v>0</v>
      </c>
      <c r="Q29" s="37" t="n">
        <v>0</v>
      </c>
      <c r="R29" s="37" t="n">
        <v>0</v>
      </c>
      <c r="S29" s="37" t="n">
        <v>0</v>
      </c>
      <c r="T29" s="37" t="n">
        <v>0</v>
      </c>
      <c r="U29" s="37" t="n">
        <v>0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 t="n">
        <v>0</v>
      </c>
      <c r="P30" s="37" t="n">
        <v>0</v>
      </c>
      <c r="Q30" s="37" t="n">
        <v>0</v>
      </c>
      <c r="R30" s="37" t="n">
        <v>0</v>
      </c>
      <c r="S30" s="37" t="n">
        <v>0</v>
      </c>
      <c r="T30" s="37" t="n">
        <v>0</v>
      </c>
      <c r="U30" s="37" t="n">
        <v>0</v>
      </c>
      <c r="V30" s="38" t="n">
        <v>50</v>
      </c>
      <c r="W30" s="38" t="n">
        <v>50</v>
      </c>
      <c r="X30" s="38" t="n">
        <v>50</v>
      </c>
      <c r="Y30" s="38" t="n">
        <v>50</v>
      </c>
      <c r="Z30" s="38" t="n">
        <v>50</v>
      </c>
      <c r="AA30" s="36">
        <f>SUM(O30:U30)</f>
        <v/>
      </c>
      <c r="AB30" s="36">
        <f>SUM(O30:Z30)</f>
        <v/>
      </c>
      <c r="AC30" s="38" t="n">
        <v>50</v>
      </c>
      <c r="AD30" s="38" t="n">
        <v>50</v>
      </c>
      <c r="AE30" s="38" t="n">
        <v>50</v>
      </c>
      <c r="AF30" s="38" t="n">
        <v>50</v>
      </c>
      <c r="AG30" s="38" t="n">
        <v>50</v>
      </c>
      <c r="AH30" s="38" t="n">
        <v>50</v>
      </c>
      <c r="AI30" s="117" t="n">
        <v>50</v>
      </c>
      <c r="AJ30" s="118" t="n">
        <v>50</v>
      </c>
      <c r="AK30" s="118" t="n">
        <v>50</v>
      </c>
      <c r="AL30" s="118" t="n">
        <v>50</v>
      </c>
      <c r="AM30" s="119" t="n">
        <v>50</v>
      </c>
      <c r="AN30" s="117" t="n">
        <v>50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224.96</v>
      </c>
      <c r="J31" s="35" t="n">
        <v>196.03</v>
      </c>
      <c r="K31" s="35" t="n">
        <v>85.5</v>
      </c>
      <c r="L31" s="35" t="n">
        <v>39.63</v>
      </c>
      <c r="M31" s="35" t="n">
        <v>0</v>
      </c>
      <c r="N31" s="36">
        <f>SUM(B31:M31)</f>
        <v/>
      </c>
      <c r="O31" s="37" t="n">
        <v>0</v>
      </c>
      <c r="P31" s="37" t="n">
        <v>0</v>
      </c>
      <c r="Q31" s="37" t="n">
        <v>0</v>
      </c>
      <c r="R31" s="37" t="n">
        <v>0</v>
      </c>
      <c r="S31" s="37" t="n">
        <v>0</v>
      </c>
      <c r="T31" s="37" t="n">
        <v>0</v>
      </c>
      <c r="U31" s="37" t="n">
        <v>0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7" t="n">
        <v>50</v>
      </c>
      <c r="AJ31" s="118" t="n">
        <v>50</v>
      </c>
      <c r="AK31" s="118" t="n">
        <v>50</v>
      </c>
      <c r="AL31" s="118" t="n">
        <v>50</v>
      </c>
      <c r="AM31" s="119" t="n">
        <v>50</v>
      </c>
      <c r="AN31" s="117" t="n">
        <v>50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9.300000000000001</v>
      </c>
      <c r="I32" s="35" t="n">
        <v>5.65</v>
      </c>
      <c r="J32" s="35" t="n">
        <v>15.98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 t="n">
        <v>0</v>
      </c>
      <c r="P32" s="37" t="n">
        <v>0</v>
      </c>
      <c r="Q32" s="37" t="n">
        <v>0</v>
      </c>
      <c r="R32" s="37" t="n">
        <v>0</v>
      </c>
      <c r="S32" s="37" t="n">
        <v>0</v>
      </c>
      <c r="T32" s="37" t="n">
        <v>0</v>
      </c>
      <c r="U32" s="37" t="n">
        <v>0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SUMIF('YBHN HS TB'!$R:$R,'HS P&amp;L'!$A33,'YBHN HS TB'!C:C)</f>
        <v/>
      </c>
      <c r="P33" s="37">
        <f>SUMIF('YBHN HS TB'!$R:$R,'HS P&amp;L'!$A33,'YBHN HS TB'!D:D)</f>
        <v/>
      </c>
      <c r="Q33" s="37">
        <f>SUMIF('YBHN HS TB'!$R:$R,'HS P&amp;L'!$A33,'YBHN HS TB'!E:E)</f>
        <v/>
      </c>
      <c r="R33" s="37">
        <f>SUMIF('YBHN HS TB'!$R:$R,'HS P&amp;L'!$A33,'YBHN HS TB'!F:F)</f>
        <v/>
      </c>
      <c r="S33" s="37">
        <f>SUMIF('YBHN HS TB'!$R:$R,'HS P&amp;L'!$A33,'YBHN HS TB'!G:G)</f>
        <v/>
      </c>
      <c r="T33" s="37">
        <f>SUMIF('YBHN HS TB'!$R:$R,'HS P&amp;L'!$A33,'YBHN HS TB'!H:H)</f>
        <v/>
      </c>
      <c r="U33" s="37">
        <f>SUMIF('YBHN HS TB'!$R:$R,'HS P&amp;L'!$A33,'YBHN HS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117" t="n">
        <v>8</v>
      </c>
      <c r="AJ33" s="118" t="n">
        <v>8</v>
      </c>
      <c r="AK33" s="118" t="n">
        <v>8</v>
      </c>
      <c r="AL33" s="118" t="n">
        <v>8</v>
      </c>
      <c r="AM33" s="119" t="n">
        <v>8</v>
      </c>
      <c r="AN33" s="117" t="n">
        <v>8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0</v>
      </c>
      <c r="C34" s="42" t="n">
        <v>0</v>
      </c>
      <c r="D34" s="42" t="n">
        <v>0</v>
      </c>
      <c r="E34" s="42" t="n">
        <v>0</v>
      </c>
      <c r="F34" s="42" t="n">
        <v>0</v>
      </c>
      <c r="G34" s="42" t="n">
        <v>0</v>
      </c>
      <c r="H34" s="42" t="n">
        <v>9.300000000000001</v>
      </c>
      <c r="I34" s="42" t="n">
        <v>230.61</v>
      </c>
      <c r="J34" s="42" t="n">
        <v>4105.969999999999</v>
      </c>
      <c r="K34" s="42" t="n">
        <v>124.19</v>
      </c>
      <c r="L34" s="42" t="n">
        <v>177.9</v>
      </c>
      <c r="M34" s="42" t="n">
        <v>0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352.17</v>
      </c>
      <c r="C36" s="35" t="n">
        <v>352.17</v>
      </c>
      <c r="D36" s="35" t="n">
        <v>352.17</v>
      </c>
      <c r="E36" s="35" t="n">
        <v>352.17</v>
      </c>
      <c r="F36" s="35" t="n">
        <v>352.16</v>
      </c>
      <c r="G36" s="35" t="n">
        <v>352.17</v>
      </c>
      <c r="H36" s="35" t="n">
        <v>352.17</v>
      </c>
      <c r="I36" s="35" t="n">
        <v>352.17</v>
      </c>
      <c r="J36" s="35" t="n">
        <v>352.16</v>
      </c>
      <c r="K36" s="35" t="n">
        <v>352.17</v>
      </c>
      <c r="L36" s="35" t="n">
        <v>352.17</v>
      </c>
      <c r="M36" s="35" t="n">
        <v>352.17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>
        <v>0</v>
      </c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336.83</v>
      </c>
      <c r="C37" s="35" t="n">
        <v>336.83</v>
      </c>
      <c r="D37" s="35" t="n">
        <v>336.83</v>
      </c>
      <c r="E37" s="35" t="n">
        <v>336.83</v>
      </c>
      <c r="F37" s="35" t="n">
        <v>336.82</v>
      </c>
      <c r="G37" s="35" t="n">
        <v>336.83</v>
      </c>
      <c r="H37" s="35" t="n">
        <v>336.83</v>
      </c>
      <c r="I37" s="35" t="n">
        <v>336.83</v>
      </c>
      <c r="J37" s="35" t="n">
        <v>336.83</v>
      </c>
      <c r="K37" s="35" t="n">
        <v>336.83</v>
      </c>
      <c r="L37" s="35" t="n">
        <v>336.83</v>
      </c>
      <c r="M37" s="35" t="n">
        <v>336.83</v>
      </c>
      <c r="N37" s="36">
        <f>SUM(B37:M37)</f>
        <v/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8" t="n">
        <v>459</v>
      </c>
      <c r="W37" s="38" t="n">
        <v>459</v>
      </c>
      <c r="X37" s="38" t="n">
        <v>459</v>
      </c>
      <c r="Y37" s="38" t="n">
        <v>459</v>
      </c>
      <c r="Z37" s="38" t="n">
        <v>459</v>
      </c>
      <c r="AA37" s="36">
        <f>SUM(O37:U37)</f>
        <v/>
      </c>
      <c r="AB37" s="36">
        <f>SUM(O37:Z37)</f>
        <v/>
      </c>
      <c r="AC37" s="38" t="n">
        <v>459</v>
      </c>
      <c r="AD37" s="38" t="n">
        <v>459</v>
      </c>
      <c r="AE37" s="38" t="n">
        <v>459</v>
      </c>
      <c r="AF37" s="38" t="n">
        <v>459</v>
      </c>
      <c r="AG37" s="38" t="n">
        <v>459</v>
      </c>
      <c r="AH37" s="38" t="n">
        <v>459</v>
      </c>
      <c r="AI37" s="117" t="n">
        <v>459</v>
      </c>
      <c r="AJ37" s="118" t="n">
        <v>459</v>
      </c>
      <c r="AK37" s="118" t="n">
        <v>459</v>
      </c>
      <c r="AL37" s="118" t="n">
        <v>459</v>
      </c>
      <c r="AM37" s="119" t="n">
        <v>459</v>
      </c>
      <c r="AN37" s="117" t="n">
        <v>459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33.48</v>
      </c>
      <c r="C38" s="35" t="n">
        <v>-23.92999999999999</v>
      </c>
      <c r="D38" s="35" t="n">
        <v>0</v>
      </c>
      <c r="E38" s="35" t="n">
        <v>0</v>
      </c>
      <c r="F38" s="35" t="n">
        <v>-219.14</v>
      </c>
      <c r="G38" s="35" t="n">
        <v>27.29</v>
      </c>
      <c r="H38" s="35" t="n">
        <v>26.41</v>
      </c>
      <c r="I38" s="35" t="n">
        <v>27.29</v>
      </c>
      <c r="J38" s="35" t="n">
        <v>26.05</v>
      </c>
      <c r="K38" s="35" t="n">
        <v>213.56</v>
      </c>
      <c r="L38" s="35" t="n">
        <v>334.75</v>
      </c>
      <c r="M38" s="35" t="n">
        <v>-109.84</v>
      </c>
      <c r="N38" s="36">
        <f>SUM(B38:M38)</f>
        <v/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8" t="n">
        <v>260</v>
      </c>
      <c r="W38" s="38" t="n">
        <v>260</v>
      </c>
      <c r="X38" s="38" t="n">
        <v>260</v>
      </c>
      <c r="Y38" s="38" t="n">
        <v>260</v>
      </c>
      <c r="Z38" s="38" t="n">
        <v>260</v>
      </c>
      <c r="AA38" s="36">
        <f>SUM(O38:U38)</f>
        <v/>
      </c>
      <c r="AB38" s="36">
        <f>SUM(O38:Z38)</f>
        <v/>
      </c>
      <c r="AC38" s="38" t="n">
        <v>260</v>
      </c>
      <c r="AD38" s="38" t="n">
        <v>260</v>
      </c>
      <c r="AE38" s="38" t="n">
        <v>260</v>
      </c>
      <c r="AF38" s="38" t="n">
        <v>260</v>
      </c>
      <c r="AG38" s="38" t="n">
        <v>260</v>
      </c>
      <c r="AH38" s="38" t="n">
        <v>260</v>
      </c>
      <c r="AI38" s="117" t="n">
        <v>260</v>
      </c>
      <c r="AJ38" s="118" t="n">
        <v>260</v>
      </c>
      <c r="AK38" s="118" t="n">
        <v>260</v>
      </c>
      <c r="AL38" s="118" t="n">
        <v>260</v>
      </c>
      <c r="AM38" s="119" t="n">
        <v>260</v>
      </c>
      <c r="AN38" s="117" t="n">
        <v>260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0</v>
      </c>
      <c r="C39" s="35" t="n">
        <v>0</v>
      </c>
      <c r="D39" s="35" t="n">
        <v>0</v>
      </c>
      <c r="E39" s="35" t="n">
        <v>0</v>
      </c>
      <c r="F39" s="35" t="n">
        <v>0</v>
      </c>
      <c r="G39" s="35" t="n">
        <v>8439.74</v>
      </c>
      <c r="H39" s="35" t="n">
        <v>3019.400000000001</v>
      </c>
      <c r="I39" s="35" t="n">
        <v>850.47</v>
      </c>
      <c r="J39" s="35" t="n">
        <v>185.01</v>
      </c>
      <c r="K39" s="35" t="n">
        <v>0</v>
      </c>
      <c r="L39" s="35" t="n">
        <v>0</v>
      </c>
      <c r="M39" s="35" t="n">
        <v>108</v>
      </c>
      <c r="N39" s="36">
        <f>SUM(B39:M39)</f>
        <v/>
      </c>
      <c r="O39" s="37" t="n">
        <v>0</v>
      </c>
      <c r="P39" s="37" t="n">
        <v>0</v>
      </c>
      <c r="Q39" s="37" t="n">
        <v>0</v>
      </c>
      <c r="R39" s="37" t="n">
        <v>0</v>
      </c>
      <c r="S39" s="37" t="n">
        <v>0</v>
      </c>
      <c r="T39" s="37" t="n">
        <v>0</v>
      </c>
      <c r="U39" s="37" t="n">
        <v>0</v>
      </c>
      <c r="V39" s="38" t="n">
        <v>500</v>
      </c>
      <c r="W39" s="38" t="n">
        <v>500</v>
      </c>
      <c r="X39" s="38" t="n">
        <v>500</v>
      </c>
      <c r="Y39" s="38" t="n">
        <v>500</v>
      </c>
      <c r="Z39" s="38" t="n">
        <v>500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157.02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8" t="n">
        <v>160</v>
      </c>
      <c r="W40" s="38" t="n">
        <v>160</v>
      </c>
      <c r="X40" s="38" t="n">
        <v>160</v>
      </c>
      <c r="Y40" s="38" t="n">
        <v>160</v>
      </c>
      <c r="Z40" s="38" t="n">
        <v>160</v>
      </c>
      <c r="AA40" s="36">
        <f>SUM(O40:U40)</f>
        <v/>
      </c>
      <c r="AB40" s="36">
        <f>SUM(O40:Z40)</f>
        <v/>
      </c>
      <c r="AC40" s="38" t="n">
        <v>160</v>
      </c>
      <c r="AD40" s="38" t="n">
        <v>160</v>
      </c>
      <c r="AE40" s="38" t="n">
        <v>160</v>
      </c>
      <c r="AF40" s="38" t="n">
        <v>160</v>
      </c>
      <c r="AG40" s="38" t="n">
        <v>160</v>
      </c>
      <c r="AH40" s="38" t="n">
        <v>160</v>
      </c>
      <c r="AI40" s="117" t="n">
        <v>160</v>
      </c>
      <c r="AJ40" s="118" t="n">
        <v>160</v>
      </c>
      <c r="AK40" s="118" t="n">
        <v>160</v>
      </c>
      <c r="AL40" s="118" t="n">
        <v>160</v>
      </c>
      <c r="AM40" s="119" t="n">
        <v>160</v>
      </c>
      <c r="AN40" s="117" t="n">
        <v>160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0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469.6</v>
      </c>
      <c r="K41" s="35" t="n">
        <v>129.62</v>
      </c>
      <c r="L41" s="35" t="n">
        <v>323.75</v>
      </c>
      <c r="M41" s="35" t="n">
        <v>335.15</v>
      </c>
      <c r="N41" s="36">
        <f>SUM(B41:M41)</f>
        <v/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8" t="n">
        <v>200</v>
      </c>
      <c r="W41" s="38" t="n">
        <v>200</v>
      </c>
      <c r="X41" s="38" t="n">
        <v>200</v>
      </c>
      <c r="Y41" s="38" t="n">
        <v>200</v>
      </c>
      <c r="Z41" s="38" t="n">
        <v>200</v>
      </c>
      <c r="AA41" s="36">
        <f>SUM(O41:U41)</f>
        <v/>
      </c>
      <c r="AB41" s="36">
        <f>SUM(O41:Z41)</f>
        <v/>
      </c>
      <c r="AC41" s="38" t="n">
        <v>200</v>
      </c>
      <c r="AD41" s="38" t="n">
        <v>200</v>
      </c>
      <c r="AE41" s="38" t="n">
        <v>200</v>
      </c>
      <c r="AF41" s="38" t="n">
        <v>200</v>
      </c>
      <c r="AG41" s="38" t="n">
        <v>200</v>
      </c>
      <c r="AH41" s="38" t="n">
        <v>200</v>
      </c>
      <c r="AI41" s="117" t="n">
        <v>200</v>
      </c>
      <c r="AJ41" s="118" t="n">
        <v>200</v>
      </c>
      <c r="AK41" s="118" t="n">
        <v>200</v>
      </c>
      <c r="AL41" s="118" t="n">
        <v>200</v>
      </c>
      <c r="AM41" s="119" t="n">
        <v>200</v>
      </c>
      <c r="AN41" s="117" t="n">
        <v>200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0</v>
      </c>
      <c r="D42" s="35" t="n">
        <v>0</v>
      </c>
      <c r="E42" s="35" t="n">
        <v>0</v>
      </c>
      <c r="F42" s="35" t="n">
        <v>0</v>
      </c>
      <c r="G42" s="35" t="n">
        <v>0</v>
      </c>
      <c r="H42" s="35" t="n">
        <v>0</v>
      </c>
      <c r="I42" s="35" t="n">
        <v>227.2</v>
      </c>
      <c r="J42" s="35" t="n">
        <v>131.95</v>
      </c>
      <c r="K42" s="35" t="n">
        <v>0</v>
      </c>
      <c r="L42" s="35" t="n">
        <v>19.19</v>
      </c>
      <c r="M42" s="35" t="n">
        <v>0</v>
      </c>
      <c r="N42" s="36">
        <f>SUM(B42:M42)</f>
        <v/>
      </c>
      <c r="O42" s="37" t="n">
        <v>0</v>
      </c>
      <c r="P42" s="37" t="n">
        <v>0</v>
      </c>
      <c r="Q42" s="37" t="n">
        <v>0</v>
      </c>
      <c r="R42" s="37" t="n">
        <v>0</v>
      </c>
      <c r="S42" s="37" t="n">
        <v>0</v>
      </c>
      <c r="T42" s="37" t="n">
        <v>0</v>
      </c>
      <c r="U42" s="37" t="n">
        <v>0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10</v>
      </c>
      <c r="L43" s="35" t="n">
        <v>10</v>
      </c>
      <c r="M43" s="35" t="n">
        <v>10</v>
      </c>
      <c r="N43" s="36">
        <f>SUM(B43:M43)</f>
        <v/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8" t="n">
        <v>10</v>
      </c>
      <c r="W43" s="38" t="n">
        <v>10</v>
      </c>
      <c r="X43" s="38" t="n">
        <v>10</v>
      </c>
      <c r="Y43" s="38" t="n">
        <v>10</v>
      </c>
      <c r="Z43" s="38" t="n">
        <v>10</v>
      </c>
      <c r="AA43" s="36">
        <f>SUM(O43:U43)</f>
        <v/>
      </c>
      <c r="AB43" s="36">
        <f>SUM(O43:Z43)</f>
        <v/>
      </c>
      <c r="AC43" s="38" t="n">
        <v>10</v>
      </c>
      <c r="AD43" s="38" t="n">
        <v>10</v>
      </c>
      <c r="AE43" s="38" t="n">
        <v>10</v>
      </c>
      <c r="AF43" s="38" t="n">
        <v>10</v>
      </c>
      <c r="AG43" s="38" t="n">
        <v>10</v>
      </c>
      <c r="AH43" s="38" t="n">
        <v>10</v>
      </c>
      <c r="AI43" s="117" t="n">
        <v>10</v>
      </c>
      <c r="AJ43" s="118" t="n">
        <v>10</v>
      </c>
      <c r="AK43" s="118" t="n">
        <v>10</v>
      </c>
      <c r="AL43" s="118" t="n">
        <v>10</v>
      </c>
      <c r="AM43" s="119" t="n">
        <v>10</v>
      </c>
      <c r="AN43" s="117" t="n">
        <v>10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SUMIF('YBHN HS TB'!$R:$R,'HS P&amp;L'!$A44,'YBHN HS TB'!C:C)</f>
        <v/>
      </c>
      <c r="P44" s="37">
        <f>SUMIF('YBHN HS TB'!$R:$R,'HS P&amp;L'!$A44,'YBHN HS TB'!D:D)</f>
        <v/>
      </c>
      <c r="Q44" s="37">
        <f>SUMIF('YBHN HS TB'!$R:$R,'HS P&amp;L'!$A44,'YBHN HS TB'!E:E)</f>
        <v/>
      </c>
      <c r="R44" s="37">
        <f>SUMIF('YBHN HS TB'!$R:$R,'HS P&amp;L'!$A44,'YBHN HS TB'!F:F)</f>
        <v/>
      </c>
      <c r="S44" s="37">
        <f>SUMIF('YBHN HS TB'!$R:$R,'HS P&amp;L'!$A44,'YBHN HS TB'!G:G)</f>
        <v/>
      </c>
      <c r="T44" s="37">
        <f>SUMIF('YBHN HS TB'!$R:$R,'HS P&amp;L'!$A44,'YBHN HS TB'!H:H)</f>
        <v/>
      </c>
      <c r="U44" s="37">
        <f>SUMIF('YBHN HS TB'!$R:$R,'HS P&amp;L'!$A44,'YBHN HS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348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0</v>
      </c>
      <c r="P45" s="37" t="n">
        <v>0</v>
      </c>
      <c r="Q45" s="37" t="n">
        <v>0</v>
      </c>
      <c r="R45" s="37" t="n">
        <v>0</v>
      </c>
      <c r="S45" s="37" t="n">
        <v>0</v>
      </c>
      <c r="T45" s="37" t="n">
        <v>0</v>
      </c>
      <c r="U45" s="37" t="n">
        <v>0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7" t="n">
        <v>100</v>
      </c>
      <c r="AJ45" s="118" t="n">
        <v>100</v>
      </c>
      <c r="AK45" s="118" t="n">
        <v>100</v>
      </c>
      <c r="AL45" s="118" t="n">
        <v>100</v>
      </c>
      <c r="AM45" s="119" t="n">
        <v>100</v>
      </c>
      <c r="AN45" s="117" t="n">
        <v>100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SUMIF('YBHN HS TB'!$R:$R,'HS P&amp;L'!$A46,'YBHN HS TB'!C:C)</f>
        <v/>
      </c>
      <c r="P46" s="37">
        <f>SUMIF('YBHN HS TB'!$R:$R,'HS P&amp;L'!$A46,'YBHN HS TB'!D:D)</f>
        <v/>
      </c>
      <c r="Q46" s="37">
        <f>SUMIF('YBHN HS TB'!$R:$R,'HS P&amp;L'!$A46,'YBHN HS TB'!E:E)</f>
        <v/>
      </c>
      <c r="R46" s="37">
        <f>SUMIF('YBHN HS TB'!$R:$R,'HS P&amp;L'!$A46,'YBHN HS TB'!F:F)</f>
        <v/>
      </c>
      <c r="S46" s="37">
        <f>SUMIF('YBHN HS TB'!$R:$R,'HS P&amp;L'!$A46,'YBHN HS TB'!G:G)</f>
        <v/>
      </c>
      <c r="T46" s="37">
        <f>SUMIF('YBHN HS TB'!$R:$R,'HS P&amp;L'!$A46,'YBHN HS TB'!H:H)</f>
        <v/>
      </c>
      <c r="U46" s="37">
        <f>SUMIF('YBHN HS TB'!$R:$R,'HS P&amp;L'!$A46,'YBHN HS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722.48</v>
      </c>
      <c r="C47" s="42" t="n">
        <v>665.0700000000001</v>
      </c>
      <c r="D47" s="42" t="n">
        <v>689</v>
      </c>
      <c r="E47" s="42" t="n">
        <v>689</v>
      </c>
      <c r="F47" s="42" t="n">
        <v>469.84</v>
      </c>
      <c r="G47" s="42" t="n">
        <v>9156.029999999999</v>
      </c>
      <c r="H47" s="42" t="n">
        <v>3734.81</v>
      </c>
      <c r="I47" s="42" t="n">
        <v>2141.96</v>
      </c>
      <c r="J47" s="42" t="n">
        <v>1658.62</v>
      </c>
      <c r="K47" s="42" t="n">
        <v>1042.18</v>
      </c>
      <c r="L47" s="42" t="n">
        <v>1376.69</v>
      </c>
      <c r="M47" s="42" t="n">
        <v>1032.31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722.48</v>
      </c>
      <c r="C48" s="23" t="n">
        <v>665.0700000000001</v>
      </c>
      <c r="D48" s="23" t="n">
        <v>689</v>
      </c>
      <c r="E48" s="23" t="n">
        <v>689</v>
      </c>
      <c r="F48" s="23" t="n">
        <v>469.84</v>
      </c>
      <c r="G48" s="23" t="n">
        <v>9156.029999999999</v>
      </c>
      <c r="H48" s="23" t="n">
        <v>3744.110000000001</v>
      </c>
      <c r="I48" s="23" t="n">
        <v>2372.57</v>
      </c>
      <c r="J48" s="23" t="n">
        <v>12892.24</v>
      </c>
      <c r="K48" s="23" t="n">
        <v>8634.199999999999</v>
      </c>
      <c r="L48" s="23" t="n">
        <v>9350.68</v>
      </c>
      <c r="M48" s="23" t="n">
        <v>8762.5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-722.48</v>
      </c>
      <c r="C50" s="55" t="n">
        <v>-665.0700000000001</v>
      </c>
      <c r="D50" s="55" t="n">
        <v>-689</v>
      </c>
      <c r="E50" s="55" t="n">
        <v>-689</v>
      </c>
      <c r="F50" s="55" t="n">
        <v>-469.84</v>
      </c>
      <c r="G50" s="55" t="n">
        <v>-9156.029999999999</v>
      </c>
      <c r="H50" s="55" t="n">
        <v>-3744.110000000001</v>
      </c>
      <c r="I50" s="55" t="n">
        <v>-2372.57</v>
      </c>
      <c r="J50" s="55" t="n">
        <v>-11368.6</v>
      </c>
      <c r="K50" s="55" t="n">
        <v>-7640.539999999999</v>
      </c>
      <c r="L50" s="55" t="n">
        <v>-1707.05</v>
      </c>
      <c r="M50" s="55" t="n">
        <v>-607.0100000000002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SUMIF('YBHN HS TB'!$R:$R,'HS P&amp;L'!$A53,'YBHN HS TB'!C:C)</f>
        <v/>
      </c>
      <c r="P53" s="37">
        <f>SUMIF('YBHN HS TB'!$R:$R,'HS P&amp;L'!$A53,'YBHN HS TB'!D:D)</f>
        <v/>
      </c>
      <c r="Q53" s="37">
        <f>SUMIF('YBHN HS TB'!$R:$R,'HS P&amp;L'!$A53,'YBHN HS TB'!E:E)</f>
        <v/>
      </c>
      <c r="R53" s="37">
        <f>SUMIF('YBHN HS TB'!$R:$R,'HS P&amp;L'!$A53,'YBHN HS TB'!F:F)</f>
        <v/>
      </c>
      <c r="S53" s="37">
        <f>SUMIF('YBHN HS TB'!$R:$R,'HS P&amp;L'!$A53,'YBHN HS TB'!G:G)</f>
        <v/>
      </c>
      <c r="T53" s="37">
        <f>SUMIF('YBHN HS TB'!$R:$R,'HS P&amp;L'!$A53,'YBHN HS TB'!H:H)</f>
        <v/>
      </c>
      <c r="U53" s="37">
        <f>SUMIF('YBHN HS TB'!$R:$R,'HS P&amp;L'!$A53,'YBHN HS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SUMIF('YBHN HS TB'!$R:$R,'HS P&amp;L'!$A54,'YBHN HS TB'!C:C)</f>
        <v/>
      </c>
      <c r="P54" s="37">
        <f>SUMIF('YBHN HS TB'!$R:$R,'HS P&amp;L'!$A54,'YBHN HS TB'!D:D)</f>
        <v/>
      </c>
      <c r="Q54" s="37">
        <f>SUMIF('YBHN HS TB'!$R:$R,'HS P&amp;L'!$A54,'YBHN HS TB'!E:E)</f>
        <v/>
      </c>
      <c r="R54" s="37">
        <f>SUMIF('YBHN HS TB'!$R:$R,'HS P&amp;L'!$A54,'YBHN HS TB'!F:F)</f>
        <v/>
      </c>
      <c r="S54" s="37">
        <f>SUMIF('YBHN HS TB'!$R:$R,'HS P&amp;L'!$A54,'YBHN HS TB'!G:G)</f>
        <v/>
      </c>
      <c r="T54" s="37">
        <f>SUMIF('YBHN HS TB'!$R:$R,'HS P&amp;L'!$A54,'YBHN HS TB'!H:H)</f>
        <v/>
      </c>
      <c r="U54" s="37">
        <f>SUMIF('YBHN HS TB'!$R:$R,'HS P&amp;L'!$A54,'YBHN HS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SUMIF('YBHN HS TB'!$R:$R,'HS P&amp;L'!$A55,'YBHN HS TB'!C:C)</f>
        <v/>
      </c>
      <c r="P55" s="37">
        <f>SUMIF('YBHN HS TB'!$R:$R,'HS P&amp;L'!$A55,'YBHN HS TB'!D:D)</f>
        <v/>
      </c>
      <c r="Q55" s="37">
        <f>SUMIF('YBHN HS TB'!$R:$R,'HS P&amp;L'!$A55,'YBHN HS TB'!E:E)</f>
        <v/>
      </c>
      <c r="R55" s="37">
        <f>SUMIF('YBHN HS TB'!$R:$R,'HS P&amp;L'!$A55,'YBHN HS TB'!F:F)</f>
        <v/>
      </c>
      <c r="S55" s="37">
        <f>SUMIF('YBHN HS TB'!$R:$R,'HS P&amp;L'!$A55,'YBHN HS TB'!G:G)</f>
        <v/>
      </c>
      <c r="T55" s="37">
        <f>SUMIF('YBHN HS TB'!$R:$R,'HS P&amp;L'!$A55,'YBHN HS TB'!H:H)</f>
        <v/>
      </c>
      <c r="U55" s="37">
        <f>SUMIF('YBHN HS TB'!$R:$R,'HS P&amp;L'!$A55,'YBHN HS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SUMIF('YBHN HS TB'!$R:$R,'HS P&amp;L'!$A56,'YBHN HS TB'!C:C)</f>
        <v/>
      </c>
      <c r="P56" s="37">
        <f>SUMIF('YBHN HS TB'!$R:$R,'HS P&amp;L'!$A56,'YBHN HS TB'!D:D)</f>
        <v/>
      </c>
      <c r="Q56" s="37">
        <f>SUMIF('YBHN HS TB'!$R:$R,'HS P&amp;L'!$A56,'YBHN HS TB'!E:E)</f>
        <v/>
      </c>
      <c r="R56" s="37">
        <f>SUMIF('YBHN HS TB'!$R:$R,'HS P&amp;L'!$A56,'YBHN HS TB'!F:F)</f>
        <v/>
      </c>
      <c r="S56" s="37">
        <f>SUMIF('YBHN HS TB'!$R:$R,'HS P&amp;L'!$A56,'YBHN HS TB'!G:G)</f>
        <v/>
      </c>
      <c r="T56" s="37">
        <f>SUMIF('YBHN HS TB'!$R:$R,'HS P&amp;L'!$A56,'YBHN HS TB'!H:H)</f>
        <v/>
      </c>
      <c r="U56" s="37">
        <f>SUMIF('YBHN HS TB'!$R:$R,'HS P&amp;L'!$A56,'YBHN HS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149.14</v>
      </c>
      <c r="N57" s="36">
        <f>SUM(B57:M57)</f>
        <v/>
      </c>
      <c r="O57" s="37">
        <f>SUMIF('YBHN HS TB'!$R:$R,'HS P&amp;L'!$A57,'YBHN HS TB'!C:C)</f>
        <v/>
      </c>
      <c r="P57" s="37">
        <f>SUMIF('YBHN HS TB'!$R:$R,'HS P&amp;L'!$A57,'YBHN HS TB'!D:D)</f>
        <v/>
      </c>
      <c r="Q57" s="37">
        <f>SUMIF('YBHN HS TB'!$R:$R,'HS P&amp;L'!$A57,'YBHN HS TB'!E:E)</f>
        <v/>
      </c>
      <c r="R57" s="37">
        <f>SUMIF('YBHN HS TB'!$R:$R,'HS P&amp;L'!$A57,'YBHN HS TB'!F:F)</f>
        <v/>
      </c>
      <c r="S57" s="37">
        <f>SUMIF('YBHN HS TB'!$R:$R,'HS P&amp;L'!$A57,'YBHN HS TB'!G:G)</f>
        <v/>
      </c>
      <c r="T57" s="37">
        <f>SUMIF('YBHN HS TB'!$R:$R,'HS P&amp;L'!$A57,'YBHN HS TB'!H:H)</f>
        <v/>
      </c>
      <c r="U57" s="37">
        <f>SUMIF('YBHN HS TB'!$R:$R,'HS P&amp;L'!$A57,'YBHN HS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SUMIF('YBHN HS TB'!$R:$R,'HS P&amp;L'!$A58,'YBHN HS TB'!C:C)</f>
        <v/>
      </c>
      <c r="P58" s="37">
        <f>SUMIF('YBHN HS TB'!$R:$R,'HS P&amp;L'!$A58,'YBHN HS TB'!D:D)</f>
        <v/>
      </c>
      <c r="Q58" s="37">
        <f>SUMIF('YBHN HS TB'!$R:$R,'HS P&amp;L'!$A58,'YBHN HS TB'!E:E)</f>
        <v/>
      </c>
      <c r="R58" s="37">
        <f>SUMIF('YBHN HS TB'!$R:$R,'HS P&amp;L'!$A58,'YBHN HS TB'!F:F)</f>
        <v/>
      </c>
      <c r="S58" s="37">
        <f>SUMIF('YBHN HS TB'!$R:$R,'HS P&amp;L'!$A58,'YBHN HS TB'!G:G)</f>
        <v/>
      </c>
      <c r="T58" s="37">
        <f>SUMIF('YBHN HS TB'!$R:$R,'HS P&amp;L'!$A58,'YBHN HS TB'!H:H)</f>
        <v/>
      </c>
      <c r="U58" s="37">
        <f>SUMIF('YBHN HS TB'!$R:$R,'HS P&amp;L'!$A58,'YBHN HS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214.8</v>
      </c>
      <c r="H59" s="35" t="n">
        <v>214.8</v>
      </c>
      <c r="I59" s="35" t="n">
        <v>214.8</v>
      </c>
      <c r="J59" s="35" t="n">
        <v>214.8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SUMIF('YBHN HS TB'!$R:$R,'HS P&amp;L'!$A59,'YBHN HS TB'!C:C)</f>
        <v/>
      </c>
      <c r="P59" s="37">
        <f>SUMIF('YBHN HS TB'!$R:$R,'HS P&amp;L'!$A59,'YBHN HS TB'!D:D)</f>
        <v/>
      </c>
      <c r="Q59" s="37">
        <f>SUMIF('YBHN HS TB'!$R:$R,'HS P&amp;L'!$A59,'YBHN HS TB'!E:E)</f>
        <v/>
      </c>
      <c r="R59" s="37">
        <f>SUMIF('YBHN HS TB'!$R:$R,'HS P&amp;L'!$A59,'YBHN HS TB'!F:F)</f>
        <v/>
      </c>
      <c r="S59" s="37">
        <f>SUMIF('YBHN HS TB'!$R:$R,'HS P&amp;L'!$A59,'YBHN HS TB'!G:G)</f>
        <v/>
      </c>
      <c r="T59" s="37">
        <f>SUMIF('YBHN HS TB'!$R:$R,'HS P&amp;L'!$A59,'YBHN HS TB'!H:H)</f>
        <v/>
      </c>
      <c r="U59" s="37">
        <f>SUMIF('YBHN HS TB'!$R:$R,'HS P&amp;L'!$A59,'YBHN HS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0</v>
      </c>
      <c r="C60" s="35" t="n">
        <v>0</v>
      </c>
      <c r="D60" s="35" t="n">
        <v>135.22</v>
      </c>
      <c r="E60" s="35" t="n">
        <v>0</v>
      </c>
      <c r="F60" s="35" t="n">
        <v>0</v>
      </c>
      <c r="G60" s="35" t="n">
        <v>45</v>
      </c>
      <c r="H60" s="35" t="n">
        <v>0</v>
      </c>
      <c r="I60" s="35" t="n">
        <v>0</v>
      </c>
      <c r="J60" s="35" t="n">
        <v>8.799999999999999</v>
      </c>
      <c r="K60" s="35" t="n">
        <v>68.8</v>
      </c>
      <c r="L60" s="35" t="n">
        <v>1.2</v>
      </c>
      <c r="M60" s="35" t="n">
        <v>1.2</v>
      </c>
      <c r="N60" s="36">
        <f>SUM(B60:M60)</f>
        <v/>
      </c>
      <c r="O60" s="37">
        <f>SUMIF('YBHN HS TB'!$R:$R,'HS P&amp;L'!$A60,'YBHN HS TB'!C:C)</f>
        <v/>
      </c>
      <c r="P60" s="37">
        <f>SUMIF('YBHN HS TB'!$R:$R,'HS P&amp;L'!$A60,'YBHN HS TB'!D:D)</f>
        <v/>
      </c>
      <c r="Q60" s="37">
        <f>SUMIF('YBHN HS TB'!$R:$R,'HS P&amp;L'!$A60,'YBHN HS TB'!E:E)</f>
        <v/>
      </c>
      <c r="R60" s="37">
        <f>SUMIF('YBHN HS TB'!$R:$R,'HS P&amp;L'!$A60,'YBHN HS TB'!F:F)</f>
        <v/>
      </c>
      <c r="S60" s="37">
        <f>SUMIF('YBHN HS TB'!$R:$R,'HS P&amp;L'!$A60,'YBHN HS TB'!G:G)</f>
        <v/>
      </c>
      <c r="T60" s="37">
        <f>SUMIF('YBHN HS TB'!$R:$R,'HS P&amp;L'!$A60,'YBHN HS TB'!H:H)</f>
        <v/>
      </c>
      <c r="U60" s="37">
        <f>SUMIF('YBHN HS TB'!$R:$R,'HS P&amp;L'!$A60,'YBHN HS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0</v>
      </c>
      <c r="I61" s="35" t="n">
        <v>0</v>
      </c>
      <c r="J61" s="35" t="n">
        <v>0</v>
      </c>
      <c r="K61" s="35" t="n">
        <v>0</v>
      </c>
      <c r="L61" s="35" t="n">
        <v>59.25</v>
      </c>
      <c r="M61" s="35" t="n">
        <v>29.98</v>
      </c>
      <c r="N61" s="36">
        <f>SUM(B61:M61)</f>
        <v/>
      </c>
      <c r="O61" s="37">
        <f>SUMIF('YBHN HS TB'!$R:$R,'HS P&amp;L'!$A61,'YBHN HS TB'!C:C)</f>
        <v/>
      </c>
      <c r="P61" s="37">
        <f>SUMIF('YBHN HS TB'!$R:$R,'HS P&amp;L'!$A61,'YBHN HS TB'!D:D)</f>
        <v/>
      </c>
      <c r="Q61" s="37">
        <f>SUMIF('YBHN HS TB'!$R:$R,'HS P&amp;L'!$A61,'YBHN HS TB'!E:E)</f>
        <v/>
      </c>
      <c r="R61" s="37">
        <f>SUMIF('YBHN HS TB'!$R:$R,'HS P&amp;L'!$A61,'YBHN HS TB'!F:F)</f>
        <v/>
      </c>
      <c r="S61" s="37">
        <f>SUMIF('YBHN HS TB'!$R:$R,'HS P&amp;L'!$A61,'YBHN HS TB'!G:G)</f>
        <v/>
      </c>
      <c r="T61" s="37">
        <f>SUMIF('YBHN HS TB'!$R:$R,'HS P&amp;L'!$A61,'YBHN HS TB'!H:H)</f>
        <v/>
      </c>
      <c r="U61" s="37">
        <f>SUMIF('YBHN HS TB'!$R:$R,'HS P&amp;L'!$A61,'YBHN HS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SUMIF('YBHN HS TB'!$R:$R,'HS P&amp;L'!$A62,'YBHN HS TB'!C:C)</f>
        <v/>
      </c>
      <c r="P62" s="37">
        <f>SUMIF('YBHN HS TB'!$R:$R,'HS P&amp;L'!$A62,'YBHN HS TB'!D:D)</f>
        <v/>
      </c>
      <c r="Q62" s="37">
        <f>SUMIF('YBHN HS TB'!$R:$R,'HS P&amp;L'!$A62,'YBHN HS TB'!E:E)</f>
        <v/>
      </c>
      <c r="R62" s="37">
        <f>SUMIF('YBHN HS TB'!$R:$R,'HS P&amp;L'!$A62,'YBHN HS TB'!F:F)</f>
        <v/>
      </c>
      <c r="S62" s="37">
        <f>SUMIF('YBHN HS TB'!$R:$R,'HS P&amp;L'!$A62,'YBHN HS TB'!G:G)</f>
        <v/>
      </c>
      <c r="T62" s="37">
        <f>SUMIF('YBHN HS TB'!$R:$R,'HS P&amp;L'!$A62,'YBHN HS TB'!H:H)</f>
        <v/>
      </c>
      <c r="U62" s="37">
        <f>SUMIF('YBHN HS TB'!$R:$R,'HS P&amp;L'!$A62,'YBHN HS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SUMIF('YBHN HS TB'!$R:$R,'HS P&amp;L'!$A63,'YBHN HS TB'!C:C)</f>
        <v/>
      </c>
      <c r="P63" s="37">
        <f>SUMIF('YBHN HS TB'!$R:$R,'HS P&amp;L'!$A63,'YBHN HS TB'!D:D)</f>
        <v/>
      </c>
      <c r="Q63" s="37">
        <f>SUMIF('YBHN HS TB'!$R:$R,'HS P&amp;L'!$A63,'YBHN HS TB'!E:E)</f>
        <v/>
      </c>
      <c r="R63" s="37">
        <f>SUMIF('YBHN HS TB'!$R:$R,'HS P&amp;L'!$A63,'YBHN HS TB'!F:F)</f>
        <v/>
      </c>
      <c r="S63" s="37">
        <f>SUMIF('YBHN HS TB'!$R:$R,'HS P&amp;L'!$A63,'YBHN HS TB'!G:G)</f>
        <v/>
      </c>
      <c r="T63" s="37">
        <f>SUMIF('YBHN HS TB'!$R:$R,'HS P&amp;L'!$A63,'YBHN HS TB'!H:H)</f>
        <v/>
      </c>
      <c r="U63" s="37">
        <f>SUMIF('YBHN HS TB'!$R:$R,'HS P&amp;L'!$A63,'YBHN HS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SUMIF('YBHN HS TB'!$R:$R,'HS P&amp;L'!$A64,'YBHN HS TB'!C:C)</f>
        <v/>
      </c>
      <c r="P64" s="37">
        <f>SUMIF('YBHN HS TB'!$R:$R,'HS P&amp;L'!$A64,'YBHN HS TB'!D:D)</f>
        <v/>
      </c>
      <c r="Q64" s="37">
        <f>SUMIF('YBHN HS TB'!$R:$R,'HS P&amp;L'!$A64,'YBHN HS TB'!E:E)</f>
        <v/>
      </c>
      <c r="R64" s="37">
        <f>SUMIF('YBHN HS TB'!$R:$R,'HS P&amp;L'!$A64,'YBHN HS TB'!F:F)</f>
        <v/>
      </c>
      <c r="S64" s="37">
        <f>SUMIF('YBHN HS TB'!$R:$R,'HS P&amp;L'!$A64,'YBHN HS TB'!G:G)</f>
        <v/>
      </c>
      <c r="T64" s="37">
        <f>SUMIF('YBHN HS TB'!$R:$R,'HS P&amp;L'!$A64,'YBHN HS TB'!H:H)</f>
        <v/>
      </c>
      <c r="U64" s="37">
        <f>SUMIF('YBHN HS TB'!$R:$R,'HS P&amp;L'!$A64,'YBHN HS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SUMIF('YBHN HS TB'!$R:$R,'HS P&amp;L'!$A65,'YBHN HS TB'!C:C)</f>
        <v/>
      </c>
      <c r="P65" s="37">
        <f>SUMIF('YBHN HS TB'!$R:$R,'HS P&amp;L'!$A65,'YBHN HS TB'!D:D)</f>
        <v/>
      </c>
      <c r="Q65" s="37">
        <f>SUMIF('YBHN HS TB'!$R:$R,'HS P&amp;L'!$A65,'YBHN HS TB'!E:E)</f>
        <v/>
      </c>
      <c r="R65" s="37">
        <f>SUMIF('YBHN HS TB'!$R:$R,'HS P&amp;L'!$A65,'YBHN HS TB'!F:F)</f>
        <v/>
      </c>
      <c r="S65" s="37">
        <f>SUMIF('YBHN HS TB'!$R:$R,'HS P&amp;L'!$A65,'YBHN HS TB'!G:G)</f>
        <v/>
      </c>
      <c r="T65" s="37">
        <f>SUMIF('YBHN HS TB'!$R:$R,'HS P&amp;L'!$A65,'YBHN HS TB'!H:H)</f>
        <v/>
      </c>
      <c r="U65" s="37">
        <f>SUMIF('YBHN HS TB'!$R:$R,'HS P&amp;L'!$A65,'YBHN HS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SUMIF('YBHN HS TB'!$R:$R,'HS P&amp;L'!$A66,'YBHN HS TB'!C:C)</f>
        <v/>
      </c>
      <c r="P66" s="37">
        <f>SUMIF('YBHN HS TB'!$R:$R,'HS P&amp;L'!$A66,'YBHN HS TB'!D:D)</f>
        <v/>
      </c>
      <c r="Q66" s="37">
        <f>SUMIF('YBHN HS TB'!$R:$R,'HS P&amp;L'!$A66,'YBHN HS TB'!E:E)</f>
        <v/>
      </c>
      <c r="R66" s="37">
        <f>SUMIF('YBHN HS TB'!$R:$R,'HS P&amp;L'!$A66,'YBHN HS TB'!F:F)</f>
        <v/>
      </c>
      <c r="S66" s="37">
        <f>SUMIF('YBHN HS TB'!$R:$R,'HS P&amp;L'!$A66,'YBHN HS TB'!G:G)</f>
        <v/>
      </c>
      <c r="T66" s="37">
        <f>SUMIF('YBHN HS TB'!$R:$R,'HS P&amp;L'!$A66,'YBHN HS TB'!H:H)</f>
        <v/>
      </c>
      <c r="U66" s="37">
        <f>SUMIF('YBHN HS TB'!$R:$R,'HS P&amp;L'!$A66,'YBHN HS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SUMIF('YBHN HS TB'!$R:$R,'HS P&amp;L'!$A67,'YBHN HS TB'!C:C)</f>
        <v/>
      </c>
      <c r="P67" s="37">
        <f>SUMIF('YBHN HS TB'!$R:$R,'HS P&amp;L'!$A67,'YBHN HS TB'!D:D)</f>
        <v/>
      </c>
      <c r="Q67" s="37">
        <f>SUMIF('YBHN HS TB'!$R:$R,'HS P&amp;L'!$A67,'YBHN HS TB'!E:E)</f>
        <v/>
      </c>
      <c r="R67" s="37">
        <f>SUMIF('YBHN HS TB'!$R:$R,'HS P&amp;L'!$A67,'YBHN HS TB'!F:F)</f>
        <v/>
      </c>
      <c r="S67" s="37">
        <f>SUMIF('YBHN HS TB'!$R:$R,'HS P&amp;L'!$A67,'YBHN HS TB'!G:G)</f>
        <v/>
      </c>
      <c r="T67" s="37">
        <f>SUMIF('YBHN HS TB'!$R:$R,'HS P&amp;L'!$A67,'YBHN HS TB'!H:H)</f>
        <v/>
      </c>
      <c r="U67" s="37">
        <f>SUMIF('YBHN HS TB'!$R:$R,'HS P&amp;L'!$A67,'YBHN HS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SUMIF('YBHN HS TB'!$R:$R,'HS P&amp;L'!$A68,'YBHN HS TB'!C:C)</f>
        <v/>
      </c>
      <c r="P68" s="37">
        <f>SUMIF('YBHN HS TB'!$R:$R,'HS P&amp;L'!$A68,'YBHN HS TB'!D:D)</f>
        <v/>
      </c>
      <c r="Q68" s="37">
        <f>SUMIF('YBHN HS TB'!$R:$R,'HS P&amp;L'!$A68,'YBHN HS TB'!E:E)</f>
        <v/>
      </c>
      <c r="R68" s="37">
        <f>SUMIF('YBHN HS TB'!$R:$R,'HS P&amp;L'!$A68,'YBHN HS TB'!F:F)</f>
        <v/>
      </c>
      <c r="S68" s="37">
        <f>SUMIF('YBHN HS TB'!$R:$R,'HS P&amp;L'!$A68,'YBHN HS TB'!G:G)</f>
        <v/>
      </c>
      <c r="T68" s="37">
        <f>SUMIF('YBHN HS TB'!$R:$R,'HS P&amp;L'!$A68,'YBHN HS TB'!H:H)</f>
        <v/>
      </c>
      <c r="U68" s="37">
        <f>SUMIF('YBHN HS TB'!$R:$R,'HS P&amp;L'!$A68,'YBHN HS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0</v>
      </c>
      <c r="C69" s="42" t="n">
        <v>0</v>
      </c>
      <c r="D69" s="42" t="n">
        <v>135.22</v>
      </c>
      <c r="E69" s="42" t="n">
        <v>0</v>
      </c>
      <c r="F69" s="42" t="n">
        <v>0</v>
      </c>
      <c r="G69" s="42" t="n">
        <v>259.8</v>
      </c>
      <c r="H69" s="42" t="n">
        <v>214.8</v>
      </c>
      <c r="I69" s="42" t="n">
        <v>214.8</v>
      </c>
      <c r="J69" s="42" t="n">
        <v>223.6</v>
      </c>
      <c r="K69" s="42" t="n">
        <v>283.6</v>
      </c>
      <c r="L69" s="42" t="n">
        <v>275.25</v>
      </c>
      <c r="M69" s="42" t="n">
        <v>395.12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-722.48</v>
      </c>
      <c r="C70" s="55" t="n">
        <v>-665.0700000000001</v>
      </c>
      <c r="D70" s="55" t="n">
        <v>-824.22</v>
      </c>
      <c r="E70" s="55" t="n">
        <v>-689</v>
      </c>
      <c r="F70" s="55" t="n">
        <v>-469.84</v>
      </c>
      <c r="G70" s="55" t="n">
        <v>-9415.829999999998</v>
      </c>
      <c r="H70" s="55" t="n">
        <v>-3958.910000000001</v>
      </c>
      <c r="I70" s="55" t="n">
        <v>-2587.37</v>
      </c>
      <c r="J70" s="55" t="n">
        <v>-11592.2</v>
      </c>
      <c r="K70" s="55" t="n">
        <v>-7924.139999999999</v>
      </c>
      <c r="L70" s="55" t="n">
        <v>-1982.3</v>
      </c>
      <c r="M70" s="55" t="n">
        <v>-1002.13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148" t="n">
        <v>0</v>
      </c>
      <c r="AJ72" s="148" t="n">
        <v>0</v>
      </c>
      <c r="AK72" s="148" t="n">
        <v>0</v>
      </c>
      <c r="AL72" s="148" t="n">
        <v>0</v>
      </c>
      <c r="AM72" s="148" t="n">
        <v>0</v>
      </c>
      <c r="AN72" s="148" t="n">
        <v>0</v>
      </c>
      <c r="AO72" s="149">
        <f>SUM(AC72:AH72)+SUM(AI72:AN72)</f>
        <v/>
      </c>
      <c r="AP72" s="145">
        <f>IF(AB72&lt;&gt;0,(AO72-AB72)/ABS(AB72),0)</f>
        <v/>
      </c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148" t="n">
        <v>0</v>
      </c>
      <c r="AJ73" s="148" t="n">
        <v>0</v>
      </c>
      <c r="AK73" s="148" t="n">
        <v>0</v>
      </c>
      <c r="AL73" s="148" t="n">
        <v>0</v>
      </c>
      <c r="AM73" s="148" t="n">
        <v>0</v>
      </c>
      <c r="AN73" s="148" t="n">
        <v>0</v>
      </c>
      <c r="AO73" s="149">
        <f>SUM(AC73:AH73)+SUM(AI73:AN73)</f>
        <v/>
      </c>
      <c r="AP73" s="145">
        <f>IF(AB73&lt;&gt;0,(AO73-AB73)/ABS(AB73),0)</f>
        <v/>
      </c>
    </row>
    <row r="74">
      <c r="A74" s="60" t="inlineStr">
        <is>
          <t>Direct - Sales</t>
        </is>
      </c>
      <c r="B74" s="60" t="n">
        <v>0</v>
      </c>
      <c r="C74" s="60" t="n">
        <v>0</v>
      </c>
      <c r="D74" s="60" t="n">
        <v>0</v>
      </c>
      <c r="E74" s="60" t="n">
        <v>0</v>
      </c>
      <c r="F74" s="60" t="n">
        <v>0</v>
      </c>
      <c r="G74" s="60" t="n">
        <v>0</v>
      </c>
      <c r="H74" s="60" t="n">
        <v>0</v>
      </c>
      <c r="I74" s="60" t="n">
        <v>0</v>
      </c>
      <c r="J74" s="60" t="n">
        <v>1523.64</v>
      </c>
      <c r="K74" s="60" t="n">
        <v>993.6600000000001</v>
      </c>
      <c r="L74" s="60" t="n">
        <v>7643.63</v>
      </c>
      <c r="M74" s="8" t="n"/>
      <c r="N74" s="8" t="n"/>
      <c r="O74" s="60">
        <f>-SUMIF('YBHN HS TB'!$T:$T,'HS P&amp;L'!$A74,'YBHN HS TB'!C:C)</f>
        <v/>
      </c>
      <c r="P74" s="60">
        <f>-SUMIF('YBHN HS TB'!$T:$T,'HS P&amp;L'!$A74,'YBHN HS TB'!D:D)</f>
        <v/>
      </c>
      <c r="Q74" s="60">
        <f>-SUMIF('YBHN HS TB'!$T:$T,'HS P&amp;L'!$A74,'YBHN HS TB'!E:E)</f>
        <v/>
      </c>
      <c r="R74" s="60">
        <f>-SUMIF('YBHN HS TB'!$T:$T,'HS P&amp;L'!$A74,'YBHN HS TB'!F:F)</f>
        <v/>
      </c>
      <c r="S74" s="60">
        <f>-SUMIF('YBHN HS TB'!$T:$T,'HS P&amp;L'!$A74,'YBHN HS TB'!G:G)</f>
        <v/>
      </c>
      <c r="T74" s="60">
        <f>-SUMIF('YBHN HS TB'!$T:$T,'HS P&amp;L'!$A74,'YBHN HS TB'!H:H)</f>
        <v/>
      </c>
      <c r="U74" s="60">
        <f>-SUMIF('YBHN HS TB'!$T:$T,'HS P&amp;L'!$A74,'YBHN HS TB'!I:I)</f>
        <v/>
      </c>
      <c r="V74" s="60">
        <f>-SUMIF('YBHN HS TB'!$T:$T,'HS P&amp;L'!$A74,'YBHN HS TB'!J:J)</f>
        <v/>
      </c>
      <c r="W74" s="60">
        <f>-SUMIF('YBHN HS TB'!$T:$T,'HS P&amp;L'!$A74,'YBHN HS TB'!K:K)</f>
        <v/>
      </c>
      <c r="X74" s="60">
        <f>-SUMIF('YBHN HS TB'!$T:$T,'HS P&amp;L'!$A74,'YBHN HS TB'!L:L)</f>
        <v/>
      </c>
      <c r="Y74" s="60">
        <f>-SUMIF('YBHN HS TB'!$T:$T,'HS P&amp;L'!$A74,'YBHN HS TB'!M:M)</f>
        <v/>
      </c>
      <c r="Z74" s="60">
        <f>-SUMIF('YBHN HS TB'!$T:$T,'HS P&amp;L'!$A74,'YBHN HS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148" t="n">
        <v>0</v>
      </c>
      <c r="AJ74" s="148" t="n">
        <v>0</v>
      </c>
      <c r="AK74" s="148" t="n">
        <v>0</v>
      </c>
      <c r="AL74" s="148" t="n">
        <v>0</v>
      </c>
      <c r="AM74" s="148" t="n">
        <v>0</v>
      </c>
      <c r="AN74" s="148" t="n">
        <v>0</v>
      </c>
      <c r="AO74" s="149">
        <f>SUM(AC74:AH74)+SUM(AI74:AN74)</f>
        <v/>
      </c>
      <c r="AP74" s="145">
        <f>IF(AB74&lt;&gt;0,(AO74-AB74)/ABS(AB74),0)</f>
        <v/>
      </c>
    </row>
    <row r="75">
      <c r="A75" s="34" t="inlineStr">
        <is>
          <t>Direct - Staff Cost</t>
        </is>
      </c>
      <c r="B75" s="18" t="n">
        <v>0</v>
      </c>
      <c r="C75" s="18" t="n">
        <v>0</v>
      </c>
      <c r="D75" s="18" t="n">
        <v>0</v>
      </c>
      <c r="E75" s="18" t="n">
        <v>0</v>
      </c>
      <c r="F75" s="18" t="n">
        <v>0</v>
      </c>
      <c r="G75" s="18" t="n">
        <v>0</v>
      </c>
      <c r="H75" s="18" t="n">
        <v>0</v>
      </c>
      <c r="I75" s="18" t="n">
        <v>0</v>
      </c>
      <c r="J75" s="18" t="n">
        <v>-7127.65</v>
      </c>
      <c r="K75" s="18" t="n">
        <v>-7467.83</v>
      </c>
      <c r="L75" s="18" t="n">
        <v>-7796.090000000001</v>
      </c>
      <c r="M75" s="18" t="n"/>
      <c r="N75" s="8" t="n"/>
      <c r="O75" s="60">
        <f>-SUMIF('YBHN HS TB'!$T:$T,'HS P&amp;L'!$A75,'YBHN HS TB'!C:C)</f>
        <v/>
      </c>
      <c r="P75" s="60">
        <f>-SUMIF('YBHN HS TB'!$T:$T,'HS P&amp;L'!$A75,'YBHN HS TB'!D:D)</f>
        <v/>
      </c>
      <c r="Q75" s="60">
        <f>-SUMIF('YBHN HS TB'!$T:$T,'HS P&amp;L'!$A75,'YBHN HS TB'!E:E)</f>
        <v/>
      </c>
      <c r="R75" s="60">
        <f>-SUMIF('YBHN HS TB'!$T:$T,'HS P&amp;L'!$A75,'YBHN HS TB'!F:F)</f>
        <v/>
      </c>
      <c r="S75" s="60">
        <f>-SUMIF('YBHN HS TB'!$T:$T,'HS P&amp;L'!$A75,'YBHN HS TB'!G:G)</f>
        <v/>
      </c>
      <c r="T75" s="60">
        <f>-SUMIF('YBHN HS TB'!$T:$T,'HS P&amp;L'!$A75,'YBHN HS TB'!H:H)</f>
        <v/>
      </c>
      <c r="U75" s="60">
        <f>-SUMIF('YBHN HS TB'!$T:$T,'HS P&amp;L'!$A75,'YBHN HS TB'!I:I)</f>
        <v/>
      </c>
      <c r="V75" s="60">
        <f>-SUMIF('YBHN HS TB'!$T:$T,'HS P&amp;L'!$A75,'YBHN HS TB'!J:J)</f>
        <v/>
      </c>
      <c r="W75" s="60">
        <f>-SUMIF('YBHN HS TB'!$T:$T,'HS P&amp;L'!$A75,'YBHN HS TB'!K:K)</f>
        <v/>
      </c>
      <c r="X75" s="60">
        <f>-SUMIF('YBHN HS TB'!$T:$T,'HS P&amp;L'!$A75,'YBHN HS TB'!L:L)</f>
        <v/>
      </c>
      <c r="Y75" s="60">
        <f>-SUMIF('YBHN HS TB'!$T:$T,'HS P&amp;L'!$A75,'YBHN HS TB'!M:M)</f>
        <v/>
      </c>
      <c r="Z75" s="60">
        <f>-SUMIF('YBHN HS TB'!$T:$T,'HS P&amp;L'!$A75,'YBHN HS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148" t="n">
        <v>0</v>
      </c>
      <c r="AJ75" s="148" t="n">
        <v>0</v>
      </c>
      <c r="AK75" s="148" t="n">
        <v>0</v>
      </c>
      <c r="AL75" s="148" t="n">
        <v>0</v>
      </c>
      <c r="AM75" s="148" t="n">
        <v>0</v>
      </c>
      <c r="AN75" s="148" t="n">
        <v>0</v>
      </c>
      <c r="AO75" s="149">
        <f>SUM(AC75:AH75)+SUM(AI75:AN75)</f>
        <v/>
      </c>
      <c r="AP75" s="145">
        <f>IF(AB75&lt;&gt;0,(AO75-AB75)/ABS(AB75),0)</f>
        <v/>
      </c>
    </row>
    <row r="76">
      <c r="A76" s="60" t="inlineStr">
        <is>
          <t>Direct - Childcare Cost</t>
        </is>
      </c>
      <c r="B76" s="18" t="n">
        <v>0</v>
      </c>
      <c r="C76" s="18" t="n">
        <v>0</v>
      </c>
      <c r="D76" s="18" t="n">
        <v>0</v>
      </c>
      <c r="E76" s="18" t="n">
        <v>0</v>
      </c>
      <c r="F76" s="18" t="n">
        <v>0</v>
      </c>
      <c r="G76" s="18" t="n">
        <v>0</v>
      </c>
      <c r="H76" s="18" t="n">
        <v>-9.300000000000001</v>
      </c>
      <c r="I76" s="18" t="n">
        <v>-230.61</v>
      </c>
      <c r="J76" s="18" t="n">
        <v>-4105.969999999999</v>
      </c>
      <c r="K76" s="18" t="n">
        <v>-124.19</v>
      </c>
      <c r="L76" s="18" t="n">
        <v>-177.9</v>
      </c>
      <c r="M76" s="18" t="n">
        <v>0</v>
      </c>
      <c r="N76" s="8" t="n"/>
      <c r="O76" s="60">
        <f>-SUMIF('YBHN HS TB'!$T:$T,'HS P&amp;L'!$A76,'YBHN HS TB'!C:C)</f>
        <v/>
      </c>
      <c r="P76" s="60">
        <f>-SUMIF('YBHN HS TB'!$T:$T,'HS P&amp;L'!$A76,'YBHN HS TB'!D:D)</f>
        <v/>
      </c>
      <c r="Q76" s="60">
        <f>-SUMIF('YBHN HS TB'!$T:$T,'HS P&amp;L'!$A76,'YBHN HS TB'!E:E)</f>
        <v/>
      </c>
      <c r="R76" s="60">
        <f>-SUMIF('YBHN HS TB'!$T:$T,'HS P&amp;L'!$A76,'YBHN HS TB'!F:F)</f>
        <v/>
      </c>
      <c r="S76" s="60">
        <f>-SUMIF('YBHN HS TB'!$T:$T,'HS P&amp;L'!$A76,'YBHN HS TB'!G:G)</f>
        <v/>
      </c>
      <c r="T76" s="60">
        <f>-SUMIF('YBHN HS TB'!$T:$T,'HS P&amp;L'!$A76,'YBHN HS TB'!H:H)</f>
        <v/>
      </c>
      <c r="U76" s="60">
        <f>-SUMIF('YBHN HS TB'!$T:$T,'HS P&amp;L'!$A76,'YBHN HS TB'!I:I)</f>
        <v/>
      </c>
      <c r="V76" s="60">
        <f>-SUMIF('YBHN HS TB'!$T:$T,'HS P&amp;L'!$A76,'YBHN HS TB'!J:J)</f>
        <v/>
      </c>
      <c r="W76" s="60">
        <f>-SUMIF('YBHN HS TB'!$T:$T,'HS P&amp;L'!$A76,'YBHN HS TB'!K:K)</f>
        <v/>
      </c>
      <c r="X76" s="60">
        <f>-SUMIF('YBHN HS TB'!$T:$T,'HS P&amp;L'!$A76,'YBHN HS TB'!L:L)</f>
        <v/>
      </c>
      <c r="Y76" s="60">
        <f>-SUMIF('YBHN HS TB'!$T:$T,'HS P&amp;L'!$A76,'YBHN HS TB'!M:M)</f>
        <v/>
      </c>
      <c r="Z76" s="60">
        <f>-SUMIF('YBHN HS TB'!$T:$T,'HS P&amp;L'!$A76,'YBHN HS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148" t="n">
        <v>0</v>
      </c>
      <c r="AJ76" s="148" t="n">
        <v>0</v>
      </c>
      <c r="AK76" s="148" t="n">
        <v>0</v>
      </c>
      <c r="AL76" s="148" t="n">
        <v>0</v>
      </c>
      <c r="AM76" s="148" t="n">
        <v>0</v>
      </c>
      <c r="AN76" s="148" t="n">
        <v>0</v>
      </c>
      <c r="AO76" s="149">
        <f>SUM(AC76:AH76)+SUM(AI76:AN76)</f>
        <v/>
      </c>
      <c r="AP76" s="145">
        <f>IF(AB76&lt;&gt;0,(AO76-AB76)/ABS(AB76),0)</f>
        <v/>
      </c>
    </row>
    <row r="77">
      <c r="A77" s="60" t="inlineStr">
        <is>
          <t>Direct - Premises &amp; Admin</t>
        </is>
      </c>
      <c r="B77" s="18" t="n">
        <v>-722.48</v>
      </c>
      <c r="C77" s="18" t="n">
        <v>-665.0700000000001</v>
      </c>
      <c r="D77" s="18" t="n">
        <v>-689</v>
      </c>
      <c r="E77" s="18" t="n">
        <v>-689</v>
      </c>
      <c r="F77" s="18" t="n">
        <v>-469.84</v>
      </c>
      <c r="G77" s="18" t="n">
        <v>-9156.029999999999</v>
      </c>
      <c r="H77" s="18" t="n">
        <v>-3734.81</v>
      </c>
      <c r="I77" s="18" t="n">
        <v>-2141.96</v>
      </c>
      <c r="J77" s="18" t="n">
        <v>-1658.62</v>
      </c>
      <c r="K77" s="18" t="n">
        <v>-1042.18</v>
      </c>
      <c r="L77" s="18" t="n">
        <v>-1376.69</v>
      </c>
      <c r="M77" s="18" t="n">
        <v>-1032.31</v>
      </c>
      <c r="N77" s="8" t="n"/>
      <c r="O77" s="60">
        <f>-SUMIF('YBHN HS TB'!$T:$T,'HS P&amp;L'!$A77,'YBHN HS TB'!C:C)</f>
        <v/>
      </c>
      <c r="P77" s="60">
        <f>-SUMIF('YBHN HS TB'!$T:$T,'HS P&amp;L'!$A77,'YBHN HS TB'!D:D)</f>
        <v/>
      </c>
      <c r="Q77" s="60">
        <f>-SUMIF('YBHN HS TB'!$T:$T,'HS P&amp;L'!$A77,'YBHN HS TB'!E:E)</f>
        <v/>
      </c>
      <c r="R77" s="60">
        <f>-SUMIF('YBHN HS TB'!$T:$T,'HS P&amp;L'!$A77,'YBHN HS TB'!F:F)</f>
        <v/>
      </c>
      <c r="S77" s="60">
        <f>-SUMIF('YBHN HS TB'!$T:$T,'HS P&amp;L'!$A77,'YBHN HS TB'!G:G)</f>
        <v/>
      </c>
      <c r="T77" s="60">
        <f>-SUMIF('YBHN HS TB'!$T:$T,'HS P&amp;L'!$A77,'YBHN HS TB'!H:H)</f>
        <v/>
      </c>
      <c r="U77" s="60">
        <f>-SUMIF('YBHN HS TB'!$T:$T,'HS P&amp;L'!$A77,'YBHN HS TB'!I:I)</f>
        <v/>
      </c>
      <c r="V77" s="60">
        <f>-SUMIF('YBHN HS TB'!$T:$T,'HS P&amp;L'!$A77,'YBHN HS TB'!J:J)</f>
        <v/>
      </c>
      <c r="W77" s="60">
        <f>-SUMIF('YBHN HS TB'!$T:$T,'HS P&amp;L'!$A77,'YBHN HS TB'!K:K)</f>
        <v/>
      </c>
      <c r="X77" s="60">
        <f>-SUMIF('YBHN HS TB'!$T:$T,'HS P&amp;L'!$A77,'YBHN HS TB'!L:L)</f>
        <v/>
      </c>
      <c r="Y77" s="60">
        <f>-SUMIF('YBHN HS TB'!$T:$T,'HS P&amp;L'!$A77,'YBHN HS TB'!M:M)</f>
        <v/>
      </c>
      <c r="Z77" s="60">
        <f>-SUMIF('YBHN HS TB'!$T:$T,'HS P&amp;L'!$A77,'YBHN HS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148" t="n">
        <v>0</v>
      </c>
      <c r="AJ77" s="148" t="n">
        <v>0</v>
      </c>
      <c r="AK77" s="148" t="n">
        <v>0</v>
      </c>
      <c r="AL77" s="148" t="n">
        <v>0</v>
      </c>
      <c r="AM77" s="148" t="n">
        <v>0</v>
      </c>
      <c r="AN77" s="148" t="n">
        <v>0</v>
      </c>
      <c r="AO77" s="149">
        <f>SUM(AC77:AH77)+SUM(AI77:AN77)</f>
        <v/>
      </c>
      <c r="AP77" s="145">
        <f>IF(AB77&lt;&gt;0,(AO77-AB77)/ABS(AB77),0)</f>
        <v/>
      </c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-SUMIF('YBHN HS TB'!$T:$T,'HS P&amp;L'!$A78,'YBHN HS TB'!C:C)</f>
        <v/>
      </c>
      <c r="P78" s="60">
        <f>-SUMIF('YBHN HS TB'!$T:$T,'HS P&amp;L'!$A78,'YBHN HS TB'!D:D)</f>
        <v/>
      </c>
      <c r="Q78" s="60">
        <f>-SUMIF('YBHN HS TB'!$T:$T,'HS P&amp;L'!$A78,'YBHN HS TB'!E:E)</f>
        <v/>
      </c>
      <c r="R78" s="60">
        <f>-SUMIF('YBHN HS TB'!$T:$T,'HS P&amp;L'!$A78,'YBHN HS TB'!F:F)</f>
        <v/>
      </c>
      <c r="S78" s="60">
        <f>-SUMIF('YBHN HS TB'!$T:$T,'HS P&amp;L'!$A78,'YBHN HS TB'!G:G)</f>
        <v/>
      </c>
      <c r="T78" s="60">
        <f>-SUMIF('YBHN HS TB'!$T:$T,'HS P&amp;L'!$A78,'YBHN HS TB'!H:H)</f>
        <v/>
      </c>
      <c r="U78" s="60">
        <f>-SUMIF('YBHN HS TB'!$T:$T,'HS P&amp;L'!$A78,'YBHN HS TB'!I:I)</f>
        <v/>
      </c>
      <c r="V78" s="60">
        <f>-SUMIF('YBHN HS TB'!$T:$T,'HS P&amp;L'!$A78,'YBHN HS TB'!J:J)</f>
        <v/>
      </c>
      <c r="W78" s="60">
        <f>-SUMIF('YBHN HS TB'!$T:$T,'HS P&amp;L'!$A78,'YBHN HS TB'!K:K)</f>
        <v/>
      </c>
      <c r="X78" s="60">
        <f>-SUMIF('YBHN HS TB'!$T:$T,'HS P&amp;L'!$A78,'YBHN HS TB'!L:L)</f>
        <v/>
      </c>
      <c r="Y78" s="60">
        <f>-SUMIF('YBHN HS TB'!$T:$T,'HS P&amp;L'!$A78,'YBHN HS TB'!M:M)</f>
        <v/>
      </c>
      <c r="Z78" s="60">
        <f>-SUMIF('YBHN HS TB'!$T:$T,'HS P&amp;L'!$A78,'YBHN HS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148" t="n">
        <v>0</v>
      </c>
      <c r="AJ78" s="148" t="n">
        <v>0</v>
      </c>
      <c r="AK78" s="148" t="n">
        <v>0</v>
      </c>
      <c r="AL78" s="148" t="n">
        <v>0</v>
      </c>
      <c r="AM78" s="148" t="n">
        <v>0</v>
      </c>
      <c r="AN78" s="148" t="n">
        <v>0</v>
      </c>
      <c r="AO78" s="149">
        <f>SUM(AC78:AH78)+SUM(AI78:AN78)</f>
        <v/>
      </c>
      <c r="AP78" s="145">
        <f>IF(AB78&lt;&gt;0,(AO78-AB78)/ABS(AB78),0)</f>
        <v/>
      </c>
    </row>
    <row r="79">
      <c r="A79" s="60" t="inlineStr">
        <is>
          <t>In-Direct - Overheads</t>
        </is>
      </c>
      <c r="B79" s="18" t="n">
        <v>0</v>
      </c>
      <c r="C79" s="18" t="n">
        <v>0</v>
      </c>
      <c r="D79" s="18" t="n">
        <v>-135.22</v>
      </c>
      <c r="E79" s="18" t="n">
        <v>0</v>
      </c>
      <c r="F79" s="18" t="n">
        <v>0</v>
      </c>
      <c r="G79" s="18" t="n">
        <v>-259.8</v>
      </c>
      <c r="H79" s="18" t="n">
        <v>-214.8</v>
      </c>
      <c r="I79" s="18" t="n">
        <v>-214.8</v>
      </c>
      <c r="J79" s="18" t="n">
        <v>-223.6</v>
      </c>
      <c r="K79" s="18" t="n">
        <v>-283.6</v>
      </c>
      <c r="L79" s="18" t="n">
        <v>-275.25</v>
      </c>
      <c r="M79" s="18" t="n">
        <v>-395.12</v>
      </c>
      <c r="N79" s="8" t="n"/>
      <c r="O79" s="60">
        <f>-SUMIF('YBHN HS TB'!$T:$T,'HS P&amp;L'!$A79,'YBHN HS TB'!C:C)</f>
        <v/>
      </c>
      <c r="P79" s="60">
        <f>-SUMIF('YBHN HS TB'!$T:$T,'HS P&amp;L'!$A79,'YBHN HS TB'!D:D)</f>
        <v/>
      </c>
      <c r="Q79" s="60">
        <f>-SUMIF('YBHN HS TB'!$T:$T,'HS P&amp;L'!$A79,'YBHN HS TB'!E:E)</f>
        <v/>
      </c>
      <c r="R79" s="60">
        <f>-SUMIF('YBHN HS TB'!$T:$T,'HS P&amp;L'!$A79,'YBHN HS TB'!F:F)</f>
        <v/>
      </c>
      <c r="S79" s="60">
        <f>-SUMIF('YBHN HS TB'!$T:$T,'HS P&amp;L'!$A79,'YBHN HS TB'!G:G)</f>
        <v/>
      </c>
      <c r="T79" s="60">
        <f>-SUMIF('YBHN HS TB'!$T:$T,'HS P&amp;L'!$A79,'YBHN HS TB'!H:H)</f>
        <v/>
      </c>
      <c r="U79" s="60">
        <f>-SUMIF('YBHN HS TB'!$T:$T,'HS P&amp;L'!$A79,'YBHN HS TB'!I:I)</f>
        <v/>
      </c>
      <c r="V79" s="60">
        <f>-SUMIF('YBHN HS TB'!$T:$T,'HS P&amp;L'!$A79,'YBHN HS TB'!J:J)</f>
        <v/>
      </c>
      <c r="W79" s="60">
        <f>-SUMIF('YBHN HS TB'!$T:$T,'HS P&amp;L'!$A79,'YBHN HS TB'!K:K)</f>
        <v/>
      </c>
      <c r="X79" s="60">
        <f>-SUMIF('YBHN HS TB'!$T:$T,'HS P&amp;L'!$A79,'YBHN HS TB'!L:L)</f>
        <v/>
      </c>
      <c r="Y79" s="60">
        <f>-SUMIF('YBHN HS TB'!$T:$T,'HS P&amp;L'!$A79,'YBHN HS TB'!M:M)</f>
        <v/>
      </c>
      <c r="Z79" s="60">
        <f>-SUMIF('YBHN HS TB'!$T:$T,'HS P&amp;L'!$A79,'YBHN HS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148" t="n">
        <v>0</v>
      </c>
      <c r="AJ79" s="148" t="n">
        <v>0</v>
      </c>
      <c r="AK79" s="148" t="n">
        <v>0</v>
      </c>
      <c r="AL79" s="148" t="n">
        <v>0</v>
      </c>
      <c r="AM79" s="148" t="n">
        <v>0</v>
      </c>
      <c r="AN79" s="148" t="n">
        <v>0</v>
      </c>
      <c r="AO79" s="149">
        <f>SUM(AC79:AH79)+SUM(AI79:AN79)</f>
        <v/>
      </c>
      <c r="AP79" s="145">
        <f>IF(AB79&lt;&gt;0,(AO79-AB79)/ABS(AB79),0)</f>
        <v/>
      </c>
    </row>
    <row r="80" ht="15.75" customHeight="1">
      <c r="A80" s="8" t="n"/>
      <c r="B80" s="67" t="n">
        <v>-722.48</v>
      </c>
      <c r="C80" s="67" t="n">
        <v>-665.0700000000001</v>
      </c>
      <c r="D80" s="67" t="n">
        <v>-824.22</v>
      </c>
      <c r="E80" s="67" t="n">
        <v>-689</v>
      </c>
      <c r="F80" s="67" t="n">
        <v>-469.84</v>
      </c>
      <c r="G80" s="67" t="n">
        <v>-9415.829999999998</v>
      </c>
      <c r="H80" s="67" t="n">
        <v>-3958.910000000001</v>
      </c>
      <c r="I80" s="67" t="n">
        <v>-2587.37</v>
      </c>
      <c r="J80" s="67" t="n">
        <v>-11592.2</v>
      </c>
      <c r="K80" s="67" t="n">
        <v>-7924.139999999999</v>
      </c>
      <c r="L80" s="67" t="n">
        <v>-1982.300000000001</v>
      </c>
      <c r="M80" s="67" t="n">
        <v>-1427.43</v>
      </c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134" t="n">
        <v>0</v>
      </c>
      <c r="AJ80" s="153" t="n">
        <v>0</v>
      </c>
      <c r="AK80" s="153" t="n">
        <v>0</v>
      </c>
      <c r="AL80" s="153" t="n">
        <v>0</v>
      </c>
      <c r="AM80" s="153" t="n">
        <v>0</v>
      </c>
      <c r="AN80" s="153" t="n">
        <v>0</v>
      </c>
      <c r="AO80" s="154">
        <f>SUM(AC80:AH80)+SUM(AI80:AN80)</f>
        <v/>
      </c>
      <c r="AP80" s="155">
        <f>IF(AB80&lt;&gt;0,(AO80-AB80)/ABS(AB80),0)</f>
        <v/>
      </c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0</v>
      </c>
      <c r="K81" s="18" t="n">
        <v>0</v>
      </c>
      <c r="L81" s="18" t="n">
        <v>0</v>
      </c>
      <c r="M81" s="18" t="n">
        <v>425.2999999999996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-135.22</v>
      </c>
      <c r="E83" s="18" t="n">
        <v>0</v>
      </c>
      <c r="F83" s="18" t="n">
        <v>0</v>
      </c>
      <c r="G83" s="18" t="n">
        <v>-259.7999999999993</v>
      </c>
      <c r="H83" s="18" t="n">
        <v>-214.8000000000006</v>
      </c>
      <c r="I83" s="18" t="n">
        <v>-562.8000000000004</v>
      </c>
      <c r="J83" s="18" t="n">
        <v>-223.5999999999985</v>
      </c>
      <c r="K83" s="18" t="n">
        <v>-293.5999999999995</v>
      </c>
      <c r="L83" s="18" t="n">
        <v>-285.2500000000009</v>
      </c>
      <c r="M83" s="18" t="n">
        <v>-681.2799999999997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48" t="n">
        <v>0</v>
      </c>
      <c r="AJ83" s="148" t="n">
        <v>0</v>
      </c>
      <c r="AK83" s="148" t="n">
        <v>0</v>
      </c>
      <c r="AL83" s="148" t="n">
        <v>0</v>
      </c>
      <c r="AM83" s="148" t="n">
        <v>0</v>
      </c>
      <c r="AN83" s="148" t="n">
        <v>0</v>
      </c>
      <c r="AO83" s="149">
        <f>SUM(AC83:AH83)+SUM(AI83:AN83)</f>
        <v/>
      </c>
      <c r="AP83" s="145">
        <f>IF(AB83&lt;&gt;0,(AO83-AB83)/ABS(AB83),0)</f>
        <v/>
      </c>
    </row>
    <row r="84">
      <c r="A84" s="8" t="n"/>
      <c r="B84" s="18" t="n">
        <v>722.48</v>
      </c>
      <c r="C84" s="18" t="n">
        <v>665.0700000000001</v>
      </c>
      <c r="D84" s="18" t="n">
        <v>689</v>
      </c>
      <c r="E84" s="18" t="n">
        <v>689</v>
      </c>
      <c r="F84" s="18" t="n">
        <v>469.84</v>
      </c>
      <c r="G84" s="18" t="n">
        <v>9156.029999999999</v>
      </c>
      <c r="H84" s="18" t="n">
        <v>3744.11</v>
      </c>
      <c r="I84" s="18" t="n">
        <v>2024.57</v>
      </c>
      <c r="J84" s="18" t="n">
        <v>11368.6</v>
      </c>
      <c r="K84" s="18" t="n">
        <v>7630.54</v>
      </c>
      <c r="L84" s="18" t="n">
        <v>1697.05</v>
      </c>
      <c r="M84" s="18" t="n">
        <v>746.1500000000001</v>
      </c>
      <c r="N84" s="8" t="n"/>
      <c r="O84" s="60">
        <f>SUM('YBHN HS TB'!C2:C23)</f>
        <v/>
      </c>
      <c r="P84" s="60">
        <f>SUM('YBHN HS TB'!D2:D23)</f>
        <v/>
      </c>
      <c r="Q84" s="60">
        <f>SUM('YBHN HS TB'!E2:E23)</f>
        <v/>
      </c>
      <c r="R84" s="60">
        <f>SUM('YBHN HS TB'!F2:F23)</f>
        <v/>
      </c>
      <c r="S84" s="60">
        <f>SUM('YBHN HS TB'!G2:G23)</f>
        <v/>
      </c>
      <c r="T84" s="60">
        <f>SUM('YBHN HS TB'!H2:H23)</f>
        <v/>
      </c>
      <c r="U84" s="60">
        <f>SUM('YBHN HS TB'!I2:I23)</f>
        <v/>
      </c>
      <c r="V84" s="60">
        <f>SUM('YBHN HS TB'!J2:J23)</f>
        <v/>
      </c>
      <c r="W84" s="60">
        <f>SUM('YBHN HS TB'!K2:K23)</f>
        <v/>
      </c>
      <c r="X84" s="60">
        <f>SUM('YBHN HS TB'!L2:L23)</f>
        <v/>
      </c>
      <c r="Y84" s="60">
        <f>SUM('YBHN HS TB'!M2:M23)</f>
        <v/>
      </c>
      <c r="Z84" s="60">
        <f>SUM('YBHN HS TB'!N2:N23)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48" t="n">
        <v>0</v>
      </c>
      <c r="AJ84" s="148" t="n">
        <v>0</v>
      </c>
      <c r="AK84" s="148" t="n">
        <v>0</v>
      </c>
      <c r="AL84" s="148" t="n">
        <v>0</v>
      </c>
      <c r="AM84" s="148" t="n">
        <v>0</v>
      </c>
      <c r="AN84" s="148" t="n">
        <v>0</v>
      </c>
      <c r="AO84" s="149">
        <f>SUM(AC84:AH84)+SUM(AI84:AN84)</f>
        <v/>
      </c>
      <c r="AP84" s="145">
        <f>IF(AB84&lt;&gt;0,(AO84-AB84)/ABS(AB84),0)</f>
        <v/>
      </c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mergeCells count="1">
    <mergeCell ref="AI1:AQ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Happitots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45921.31</v>
      </c>
      <c r="C8" s="35" t="n">
        <v>38098.84</v>
      </c>
      <c r="D8" s="35" t="n">
        <v>46565.41</v>
      </c>
      <c r="E8" s="35" t="n">
        <v>57238.21</v>
      </c>
      <c r="F8" s="35" t="n">
        <v>49192.7</v>
      </c>
      <c r="G8" s="35" t="n">
        <v>46788.82</v>
      </c>
      <c r="H8" s="35" t="n">
        <v>62639.28</v>
      </c>
      <c r="I8" s="35" t="n">
        <v>56769.19</v>
      </c>
      <c r="J8" s="35" t="n">
        <v>40329.92</v>
      </c>
      <c r="K8" s="35" t="n">
        <v>40153.78</v>
      </c>
      <c r="L8" s="35" t="n">
        <v>34561.24</v>
      </c>
      <c r="M8" s="35" t="n">
        <v>45835.67</v>
      </c>
      <c r="N8" s="36">
        <f>SUM(B8:M8)</f>
        <v/>
      </c>
      <c r="O8" s="37" t="n">
        <v>34024.2</v>
      </c>
      <c r="P8" s="37" t="n">
        <v>34520.9</v>
      </c>
      <c r="Q8" s="37" t="n">
        <v>44678.8</v>
      </c>
      <c r="R8" s="37" t="n">
        <v>46928.2</v>
      </c>
      <c r="S8" s="37" t="n">
        <v>40486.3</v>
      </c>
      <c r="T8" s="37" t="n">
        <v>45145.1</v>
      </c>
      <c r="U8" s="37" t="n">
        <v>56928.34000000002</v>
      </c>
      <c r="V8" s="38" t="n">
        <v>49094.17</v>
      </c>
      <c r="W8" s="38" t="n">
        <v>34298.95</v>
      </c>
      <c r="X8" s="38" t="n">
        <v>33860.51</v>
      </c>
      <c r="Y8" s="38" t="n">
        <v>34027.45</v>
      </c>
      <c r="Z8" s="38" t="n">
        <v>46313.78</v>
      </c>
      <c r="AA8" s="36">
        <f>SUM(O8:U8)</f>
        <v/>
      </c>
      <c r="AB8" s="36">
        <f>SUM(O8:Z8)</f>
        <v/>
      </c>
      <c r="AC8" s="38" t="n">
        <v>63267.18</v>
      </c>
      <c r="AD8" s="38" t="n">
        <v>60274.57</v>
      </c>
      <c r="AE8" s="38" t="n">
        <v>75362.87</v>
      </c>
      <c r="AF8" s="38" t="n">
        <v>69288.22</v>
      </c>
      <c r="AG8" s="38" t="n">
        <v>72843.58</v>
      </c>
      <c r="AH8" s="38" t="n">
        <v>75234.78999999999</v>
      </c>
      <c r="AI8" s="117" t="n">
        <v>75234.78999999999</v>
      </c>
      <c r="AJ8" s="118" t="n">
        <v>75234.78999999999</v>
      </c>
      <c r="AK8" s="118" t="n">
        <v>75234.78999999999</v>
      </c>
      <c r="AL8" s="118" t="n">
        <v>75234.78999999999</v>
      </c>
      <c r="AM8" s="119" t="n">
        <v>75234.78999999999</v>
      </c>
      <c r="AN8" s="117" t="n">
        <v>75234.78999999999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14880.4</v>
      </c>
      <c r="C9" s="35" t="n">
        <v>14880.4</v>
      </c>
      <c r="D9" s="35" t="n">
        <v>22868.72</v>
      </c>
      <c r="E9" s="35" t="n">
        <v>11910.48</v>
      </c>
      <c r="F9" s="35" t="n">
        <v>11910.4</v>
      </c>
      <c r="G9" s="35" t="n">
        <v>11910.48</v>
      </c>
      <c r="H9" s="35" t="n">
        <v>28251.59</v>
      </c>
      <c r="I9" s="35" t="n">
        <v>0</v>
      </c>
      <c r="J9" s="35" t="n">
        <v>12726.08</v>
      </c>
      <c r="K9" s="35" t="n">
        <v>12726.08</v>
      </c>
      <c r="L9" s="35" t="n">
        <v>28161.67</v>
      </c>
      <c r="M9" s="35" t="n">
        <v>28507.8</v>
      </c>
      <c r="N9" s="36">
        <f>SUM(B9:M9)</f>
        <v/>
      </c>
      <c r="O9" s="37" t="n">
        <v>20522.7</v>
      </c>
      <c r="P9" s="37" t="n">
        <v>20522.7</v>
      </c>
      <c r="Q9" s="37" t="n">
        <v>21690.4</v>
      </c>
      <c r="R9" s="37" t="n">
        <v>22674.8</v>
      </c>
      <c r="S9" s="37" t="n">
        <v>22674.7</v>
      </c>
      <c r="T9" s="37" t="n">
        <v>24039.4</v>
      </c>
      <c r="U9" s="37" t="n">
        <v>23129.63</v>
      </c>
      <c r="V9" s="38" t="n">
        <v>0</v>
      </c>
      <c r="W9" s="38" t="n">
        <v>19443.72</v>
      </c>
      <c r="X9" s="38" t="n">
        <v>24019.56</v>
      </c>
      <c r="Y9" s="38" t="n">
        <v>23214.36</v>
      </c>
      <c r="Z9" s="38" t="n">
        <v>9933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200</v>
      </c>
      <c r="C10" s="35" t="n">
        <v>200</v>
      </c>
      <c r="D10" s="35" t="n">
        <v>300</v>
      </c>
      <c r="E10" s="35" t="n">
        <v>300</v>
      </c>
      <c r="F10" s="35" t="n">
        <v>300</v>
      </c>
      <c r="G10" s="35" t="n">
        <v>360</v>
      </c>
      <c r="H10" s="35" t="n">
        <v>300</v>
      </c>
      <c r="I10" s="35" t="n">
        <v>3279.07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 t="n">
        <v>0</v>
      </c>
      <c r="P10" s="37" t="n">
        <v>0</v>
      </c>
      <c r="Q10" s="37" t="n">
        <v>339.3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61001.71</v>
      </c>
      <c r="C11" s="42" t="n">
        <v>53179.24</v>
      </c>
      <c r="D11" s="42" t="n">
        <v>69734.13</v>
      </c>
      <c r="E11" s="42" t="n">
        <v>69448.69</v>
      </c>
      <c r="F11" s="42" t="n">
        <v>61403.1</v>
      </c>
      <c r="G11" s="42" t="n">
        <v>59059.3</v>
      </c>
      <c r="H11" s="42" t="n">
        <v>91190.87</v>
      </c>
      <c r="I11" s="42" t="n">
        <v>60048.26</v>
      </c>
      <c r="J11" s="42" t="n">
        <v>53056</v>
      </c>
      <c r="K11" s="42" t="n">
        <v>52879.86</v>
      </c>
      <c r="L11" s="42" t="n">
        <v>62722.91</v>
      </c>
      <c r="M11" s="42" t="n">
        <v>74343.47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27199.35</v>
      </c>
      <c r="C16" s="35" t="n">
        <v>26969.3</v>
      </c>
      <c r="D16" s="35" t="n">
        <v>28313.5</v>
      </c>
      <c r="E16" s="35" t="n">
        <v>31211.69</v>
      </c>
      <c r="F16" s="35" t="n">
        <v>29845.91</v>
      </c>
      <c r="G16" s="35" t="n">
        <v>29990.87</v>
      </c>
      <c r="H16" s="35" t="n">
        <v>35763.1</v>
      </c>
      <c r="I16" s="35" t="n">
        <v>33092</v>
      </c>
      <c r="J16" s="35" t="n">
        <v>32840.54</v>
      </c>
      <c r="K16" s="35" t="n">
        <v>36158.05</v>
      </c>
      <c r="L16" s="35" t="n">
        <v>35650.18</v>
      </c>
      <c r="M16" s="35" t="n">
        <v>36557.18</v>
      </c>
      <c r="N16" s="36">
        <f>SUM(B16:M16)</f>
        <v/>
      </c>
      <c r="O16" s="37" t="n">
        <v>38698.39</v>
      </c>
      <c r="P16" s="37" t="n">
        <v>34009.54</v>
      </c>
      <c r="Q16" s="37" t="n">
        <v>40961.75</v>
      </c>
      <c r="R16" s="37" t="n">
        <v>37699.5</v>
      </c>
      <c r="S16" s="37" t="n">
        <v>34150.91</v>
      </c>
      <c r="T16" s="37" t="n">
        <v>33439.28</v>
      </c>
      <c r="U16" s="37" t="n">
        <v>33483.36</v>
      </c>
      <c r="V16" s="38" t="n">
        <v>33483.36</v>
      </c>
      <c r="W16" s="38" t="n">
        <v>33483.36</v>
      </c>
      <c r="X16" s="38" t="n">
        <v>33483.36</v>
      </c>
      <c r="Y16" s="38" t="n">
        <v>33483.36</v>
      </c>
      <c r="Z16" s="38" t="n">
        <v>33483.36</v>
      </c>
      <c r="AA16" s="36">
        <f>SUM(O16:U16)</f>
        <v/>
      </c>
      <c r="AB16" s="36">
        <f>SUM(O16:Z16)</f>
        <v/>
      </c>
      <c r="AC16" s="38" t="n">
        <v>33483.36</v>
      </c>
      <c r="AD16" s="38" t="n">
        <v>33483.36</v>
      </c>
      <c r="AE16" s="38" t="n">
        <v>33483.36</v>
      </c>
      <c r="AF16" s="38" t="n">
        <v>33483.36</v>
      </c>
      <c r="AG16" s="38" t="n">
        <v>33483.36</v>
      </c>
      <c r="AH16" s="38" t="n">
        <v>33483.36</v>
      </c>
      <c r="AI16" s="117" t="n">
        <v>33483.36</v>
      </c>
      <c r="AJ16" s="118" t="n">
        <v>33483.36</v>
      </c>
      <c r="AK16" s="118" t="n">
        <v>33483.36</v>
      </c>
      <c r="AL16" s="118" t="n">
        <v>33483.36</v>
      </c>
      <c r="AM16" s="119" t="n">
        <v>33483.36</v>
      </c>
      <c r="AN16" s="117" t="n">
        <v>33483.36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2322.12</v>
      </c>
      <c r="C17" s="35" t="n">
        <v>2227.41</v>
      </c>
      <c r="D17" s="35" t="n">
        <v>2346.82</v>
      </c>
      <c r="E17" s="35" t="n">
        <v>3631.01</v>
      </c>
      <c r="F17" s="35" t="n">
        <v>3444.09</v>
      </c>
      <c r="G17" s="35" t="n">
        <v>3284.69</v>
      </c>
      <c r="H17" s="35" t="n">
        <v>4309.29</v>
      </c>
      <c r="I17" s="35" t="n">
        <v>3776.98</v>
      </c>
      <c r="J17" s="35" t="n">
        <v>3745.07</v>
      </c>
      <c r="K17" s="35" t="n">
        <v>4183.86</v>
      </c>
      <c r="L17" s="35" t="n">
        <v>4085.43</v>
      </c>
      <c r="M17" s="35" t="n">
        <v>4232.64</v>
      </c>
      <c r="N17" s="36">
        <f>SUM(B17:M17)</f>
        <v/>
      </c>
      <c r="O17" s="37" t="n">
        <v>4242.54</v>
      </c>
      <c r="P17" s="37" t="n">
        <v>3578.41</v>
      </c>
      <c r="Q17" s="37" t="n">
        <v>4366.65</v>
      </c>
      <c r="R17" s="37" t="n">
        <v>4174.09</v>
      </c>
      <c r="S17" s="37" t="n">
        <v>3821.87</v>
      </c>
      <c r="T17" s="37" t="n">
        <v>3932.6</v>
      </c>
      <c r="U17" s="37" t="n">
        <v>3939.99</v>
      </c>
      <c r="V17" s="38" t="n">
        <v>3939.99</v>
      </c>
      <c r="W17" s="38" t="n">
        <v>3939.99</v>
      </c>
      <c r="X17" s="38" t="n">
        <v>3939.99</v>
      </c>
      <c r="Y17" s="38" t="n">
        <v>3939.99</v>
      </c>
      <c r="Z17" s="38" t="n">
        <v>3939.99</v>
      </c>
      <c r="AA17" s="36">
        <f>SUM(O17:U17)</f>
        <v/>
      </c>
      <c r="AB17" s="36">
        <f>SUM(O17:Z17)</f>
        <v/>
      </c>
      <c r="AC17" s="38" t="n">
        <v>3939.99</v>
      </c>
      <c r="AD17" s="38" t="n">
        <v>3939.99</v>
      </c>
      <c r="AE17" s="38" t="n">
        <v>3939.99</v>
      </c>
      <c r="AF17" s="38" t="n">
        <v>3939.99</v>
      </c>
      <c r="AG17" s="38" t="n">
        <v>3939.99</v>
      </c>
      <c r="AH17" s="38" t="n">
        <v>3939.99</v>
      </c>
      <c r="AI17" s="117" t="n">
        <v>3939.99</v>
      </c>
      <c r="AJ17" s="118" t="n">
        <v>3939.99</v>
      </c>
      <c r="AK17" s="118" t="n">
        <v>3939.99</v>
      </c>
      <c r="AL17" s="118" t="n">
        <v>3939.99</v>
      </c>
      <c r="AM17" s="119" t="n">
        <v>3939.99</v>
      </c>
      <c r="AN17" s="117" t="n">
        <v>3939.99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590.4400000000001</v>
      </c>
      <c r="C18" s="35" t="n">
        <v>569.1900000000001</v>
      </c>
      <c r="D18" s="35" t="n">
        <v>575.7</v>
      </c>
      <c r="E18" s="35" t="n">
        <v>603.08</v>
      </c>
      <c r="F18" s="35" t="n">
        <v>604.72</v>
      </c>
      <c r="G18" s="35" t="n">
        <v>616.71</v>
      </c>
      <c r="H18" s="35" t="n">
        <v>779.6900000000001</v>
      </c>
      <c r="I18" s="35" t="n">
        <v>683.8</v>
      </c>
      <c r="J18" s="35" t="n">
        <v>705.6799999999999</v>
      </c>
      <c r="K18" s="35" t="n">
        <v>790.33</v>
      </c>
      <c r="L18" s="35" t="n">
        <v>770.66</v>
      </c>
      <c r="M18" s="35" t="n">
        <v>799.9299999999999</v>
      </c>
      <c r="N18" s="36">
        <f>SUM(B18:M18)</f>
        <v/>
      </c>
      <c r="O18" s="37" t="n">
        <v>804.22</v>
      </c>
      <c r="P18" s="37" t="n">
        <v>675.46</v>
      </c>
      <c r="Q18" s="37" t="n">
        <v>775.88</v>
      </c>
      <c r="R18" s="37" t="n">
        <v>737.62</v>
      </c>
      <c r="S18" s="37" t="n">
        <v>724.15</v>
      </c>
      <c r="T18" s="37" t="n">
        <v>746.3099999999999</v>
      </c>
      <c r="U18" s="37" t="n">
        <v>747.79</v>
      </c>
      <c r="V18" s="38" t="n">
        <v>747.79</v>
      </c>
      <c r="W18" s="38" t="n">
        <v>747.79</v>
      </c>
      <c r="X18" s="38" t="n">
        <v>747.79</v>
      </c>
      <c r="Y18" s="38" t="n">
        <v>747.79</v>
      </c>
      <c r="Z18" s="38" t="n">
        <v>747.79</v>
      </c>
      <c r="AA18" s="36">
        <f>SUM(O18:U18)</f>
        <v/>
      </c>
      <c r="AB18" s="36">
        <f>SUM(O18:Z18)</f>
        <v/>
      </c>
      <c r="AC18" s="38" t="n">
        <v>747.79</v>
      </c>
      <c r="AD18" s="38" t="n">
        <v>747.79</v>
      </c>
      <c r="AE18" s="38" t="n">
        <v>747.79</v>
      </c>
      <c r="AF18" s="38" t="n">
        <v>747.79</v>
      </c>
      <c r="AG18" s="38" t="n">
        <v>747.79</v>
      </c>
      <c r="AH18" s="38" t="n">
        <v>747.79</v>
      </c>
      <c r="AI18" s="117" t="n">
        <v>747.79</v>
      </c>
      <c r="AJ18" s="118" t="n">
        <v>747.79</v>
      </c>
      <c r="AK18" s="118" t="n">
        <v>747.79</v>
      </c>
      <c r="AL18" s="118" t="n">
        <v>747.79</v>
      </c>
      <c r="AM18" s="119" t="n">
        <v>747.79</v>
      </c>
      <c r="AN18" s="117" t="n">
        <v>747.79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286.7</v>
      </c>
      <c r="D19" s="35" t="n">
        <v>5.99</v>
      </c>
      <c r="E19" s="35" t="n">
        <v>251.62</v>
      </c>
      <c r="F19" s="35" t="n">
        <v>91.02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163.98</v>
      </c>
      <c r="L19" s="35" t="n">
        <v>0</v>
      </c>
      <c r="M19" s="35" t="n">
        <v>0</v>
      </c>
      <c r="N19" s="36">
        <f>SUM(B19:M19)</f>
        <v/>
      </c>
      <c r="O19" s="37" t="n">
        <v>186.09</v>
      </c>
      <c r="P19" s="37" t="n">
        <v>0</v>
      </c>
      <c r="Q19" s="37" t="n">
        <v>0</v>
      </c>
      <c r="R19" s="37" t="n">
        <v>0</v>
      </c>
      <c r="S19" s="37" t="n">
        <v>207.84</v>
      </c>
      <c r="T19" s="37" t="n">
        <v>0</v>
      </c>
      <c r="U19" s="37" t="n">
        <v>0</v>
      </c>
      <c r="V19" s="38" t="n">
        <v>83</v>
      </c>
      <c r="W19" s="38" t="n">
        <v>83</v>
      </c>
      <c r="X19" s="38" t="n">
        <v>83</v>
      </c>
      <c r="Y19" s="38" t="n">
        <v>83</v>
      </c>
      <c r="Z19" s="38" t="n">
        <v>83</v>
      </c>
      <c r="AA19" s="36">
        <f>SUM(O19:U19)</f>
        <v/>
      </c>
      <c r="AB19" s="36">
        <f>SUM(O19:Z19)</f>
        <v/>
      </c>
      <c r="AC19" s="38" t="n">
        <v>83</v>
      </c>
      <c r="AD19" s="38" t="n">
        <v>83</v>
      </c>
      <c r="AE19" s="38" t="n">
        <v>83</v>
      </c>
      <c r="AF19" s="38" t="n">
        <v>83</v>
      </c>
      <c r="AG19" s="38" t="n">
        <v>83</v>
      </c>
      <c r="AH19" s="38" t="n">
        <v>83</v>
      </c>
      <c r="AI19" s="117" t="n">
        <v>83</v>
      </c>
      <c r="AJ19" s="118" t="n">
        <v>83</v>
      </c>
      <c r="AK19" s="118" t="n">
        <v>83</v>
      </c>
      <c r="AL19" s="118" t="n">
        <v>83</v>
      </c>
      <c r="AM19" s="119" t="n">
        <v>83</v>
      </c>
      <c r="AN19" s="117" t="n">
        <v>83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48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54</v>
      </c>
      <c r="H20" s="35" t="n">
        <v>24</v>
      </c>
      <c r="I20" s="35" t="n">
        <v>0</v>
      </c>
      <c r="J20" s="35" t="n">
        <v>102</v>
      </c>
      <c r="K20" s="35" t="n">
        <v>0</v>
      </c>
      <c r="L20" s="35" t="n">
        <v>37.2</v>
      </c>
      <c r="M20" s="35" t="n">
        <v>0</v>
      </c>
      <c r="N20" s="36">
        <f>SUM(B20:M20)</f>
        <v/>
      </c>
      <c r="O20" s="37" t="n">
        <v>0</v>
      </c>
      <c r="P20" s="37" t="n">
        <v>720</v>
      </c>
      <c r="Q20" s="37" t="n">
        <v>0</v>
      </c>
      <c r="R20" s="37" t="n">
        <v>335</v>
      </c>
      <c r="S20" s="37" t="n">
        <v>0</v>
      </c>
      <c r="T20" s="37" t="n">
        <v>0</v>
      </c>
      <c r="U20" s="37" t="n">
        <v>37.2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7" t="n">
        <v>100</v>
      </c>
      <c r="AJ20" s="118" t="n">
        <v>100</v>
      </c>
      <c r="AK20" s="118" t="n">
        <v>100</v>
      </c>
      <c r="AL20" s="118" t="n">
        <v>100</v>
      </c>
      <c r="AM20" s="119" t="n">
        <v>100</v>
      </c>
      <c r="AN20" s="117" t="n">
        <v>100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220.6000000000001</v>
      </c>
      <c r="C21" s="35" t="n">
        <v>225.71</v>
      </c>
      <c r="D21" s="35" t="n">
        <v>115.95</v>
      </c>
      <c r="E21" s="35" t="n">
        <v>324.7900000000001</v>
      </c>
      <c r="F21" s="35" t="n">
        <v>102.62</v>
      </c>
      <c r="G21" s="35" t="n">
        <v>41.39</v>
      </c>
      <c r="H21" s="35" t="n">
        <v>456.77</v>
      </c>
      <c r="I21" s="35" t="n">
        <v>117.13</v>
      </c>
      <c r="J21" s="35" t="n">
        <v>158.17</v>
      </c>
      <c r="K21" s="35" t="n">
        <v>329.93</v>
      </c>
      <c r="L21" s="35" t="n">
        <v>60.13</v>
      </c>
      <c r="M21" s="35" t="n">
        <v>69.8</v>
      </c>
      <c r="N21" s="36">
        <f>SUM(B21:M21)</f>
        <v/>
      </c>
      <c r="O21" s="37" t="n">
        <v>200.05</v>
      </c>
      <c r="P21" s="37" t="n">
        <v>80.63</v>
      </c>
      <c r="Q21" s="37" t="n">
        <v>225.8</v>
      </c>
      <c r="R21" s="37" t="n">
        <v>44.26</v>
      </c>
      <c r="S21" s="37" t="n">
        <v>190.63</v>
      </c>
      <c r="T21" s="37" t="n">
        <v>243.97</v>
      </c>
      <c r="U21" s="37" t="n">
        <v>169.85</v>
      </c>
      <c r="V21" s="38" t="n">
        <v>170</v>
      </c>
      <c r="W21" s="38" t="n">
        <v>170</v>
      </c>
      <c r="X21" s="38" t="n">
        <v>170</v>
      </c>
      <c r="Y21" s="38" t="n">
        <v>170</v>
      </c>
      <c r="Z21" s="38" t="n">
        <v>170</v>
      </c>
      <c r="AA21" s="36">
        <f>SUM(O21:U21)</f>
        <v/>
      </c>
      <c r="AB21" s="36">
        <f>SUM(O21:Z21)</f>
        <v/>
      </c>
      <c r="AC21" s="38" t="n">
        <v>170</v>
      </c>
      <c r="AD21" s="38" t="n">
        <v>170</v>
      </c>
      <c r="AE21" s="38" t="n">
        <v>170</v>
      </c>
      <c r="AF21" s="38" t="n">
        <v>170</v>
      </c>
      <c r="AG21" s="38" t="n">
        <v>170</v>
      </c>
      <c r="AH21" s="38" t="n">
        <v>170</v>
      </c>
      <c r="AI21" s="117" t="n">
        <v>170</v>
      </c>
      <c r="AJ21" s="118" t="n">
        <v>170</v>
      </c>
      <c r="AK21" s="118" t="n">
        <v>170</v>
      </c>
      <c r="AL21" s="118" t="n">
        <v>170</v>
      </c>
      <c r="AM21" s="119" t="n">
        <v>170</v>
      </c>
      <c r="AN21" s="117" t="n">
        <v>170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SUMIF('XHDN TB'!$R:$R,'HDN P&amp;L'!$A22,'XHDN TB'!C:C)</f>
        <v/>
      </c>
      <c r="P22" s="37">
        <f>SUMIF('XHDN TB'!$R:$R,'HDN P&amp;L'!$A22,'XHDN TB'!D:D)</f>
        <v/>
      </c>
      <c r="Q22" s="37">
        <f>SUMIF('XHDN TB'!$R:$R,'HDN P&amp;L'!$A22,'XHDN TB'!E:E)</f>
        <v/>
      </c>
      <c r="R22" s="37">
        <f>SUMIF('XHDN TB'!$R:$R,'HDN P&amp;L'!$A22,'XHDN TB'!F:F)</f>
        <v/>
      </c>
      <c r="S22" s="37">
        <f>SUMIF('XHDN TB'!$R:$R,'HDN P&amp;L'!$A22,'XHDN TB'!G:G)</f>
        <v/>
      </c>
      <c r="T22" s="37">
        <f>SUMIF('XHDN TB'!$R:$R,'HDN P&amp;L'!$A22,'XHDN TB'!H:H)</f>
        <v/>
      </c>
      <c r="U22" s="37">
        <f>SUMIF('HDN TB'!$R:$R,'HDN P&amp;L'!$A22,'HDN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48.47</v>
      </c>
      <c r="I23" s="35" t="n">
        <v>27.5</v>
      </c>
      <c r="J23" s="35" t="n">
        <v>73.47</v>
      </c>
      <c r="K23" s="35" t="n">
        <v>0</v>
      </c>
      <c r="L23" s="35" t="n">
        <v>35.97</v>
      </c>
      <c r="M23" s="35" t="n">
        <v>7.99</v>
      </c>
      <c r="N23" s="36">
        <f>SUM(B23:M23)</f>
        <v/>
      </c>
      <c r="O23" s="37" t="n">
        <v>13.98</v>
      </c>
      <c r="P23" s="37" t="n">
        <v>18.97</v>
      </c>
      <c r="Q23" s="37" t="n">
        <v>11.99</v>
      </c>
      <c r="R23" s="37" t="n">
        <v>0</v>
      </c>
      <c r="S23" s="37" t="n">
        <v>29.98</v>
      </c>
      <c r="T23" s="37" t="n">
        <v>0</v>
      </c>
      <c r="U23" s="37" t="n">
        <v>43.8</v>
      </c>
      <c r="V23" s="38" t="n">
        <v>71</v>
      </c>
      <c r="W23" s="38" t="n">
        <v>71</v>
      </c>
      <c r="X23" s="38" t="n">
        <v>71</v>
      </c>
      <c r="Y23" s="38" t="n">
        <v>71</v>
      </c>
      <c r="Z23" s="38" t="n">
        <v>71</v>
      </c>
      <c r="AA23" s="36">
        <f>SUM(O23:U23)</f>
        <v/>
      </c>
      <c r="AB23" s="36">
        <f>SUM(O23:Z23)</f>
        <v/>
      </c>
      <c r="AC23" s="38" t="n">
        <v>71</v>
      </c>
      <c r="AD23" s="38" t="n">
        <v>71</v>
      </c>
      <c r="AE23" s="38" t="n">
        <v>71</v>
      </c>
      <c r="AF23" s="38" t="n">
        <v>71</v>
      </c>
      <c r="AG23" s="38" t="n">
        <v>71</v>
      </c>
      <c r="AH23" s="38" t="n">
        <v>71</v>
      </c>
      <c r="AI23" s="117" t="n">
        <v>71</v>
      </c>
      <c r="AJ23" s="118" t="n">
        <v>71</v>
      </c>
      <c r="AK23" s="118" t="n">
        <v>71</v>
      </c>
      <c r="AL23" s="118" t="n">
        <v>71</v>
      </c>
      <c r="AM23" s="119" t="n">
        <v>71</v>
      </c>
      <c r="AN23" s="117" t="n">
        <v>71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217.33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SUMIF('XHDN TB'!$R:$R,'HDN P&amp;L'!$A24,'XHDN TB'!C:C)</f>
        <v/>
      </c>
      <c r="P24" s="37">
        <f>SUMIF('XHDN TB'!$R:$R,'HDN P&amp;L'!$A24,'XHDN TB'!D:D)</f>
        <v/>
      </c>
      <c r="Q24" s="37">
        <f>SUMIF('XHDN TB'!$R:$R,'HDN P&amp;L'!$A24,'XHDN TB'!E:E)</f>
        <v/>
      </c>
      <c r="R24" s="37">
        <f>SUMIF('XHDN TB'!$R:$R,'HDN P&amp;L'!$A24,'XHDN TB'!F:F)</f>
        <v/>
      </c>
      <c r="S24" s="37">
        <f>SUMIF('XHDN TB'!$R:$R,'HDN P&amp;L'!$A24,'XHDN TB'!G:G)</f>
        <v/>
      </c>
      <c r="T24" s="37">
        <f>SUMIF('XHDN TB'!$R:$R,'HDN P&amp;L'!$A24,'XHDN TB'!H:H)</f>
        <v/>
      </c>
      <c r="U24" s="37">
        <f>SUMIF('HDN TB'!$R:$R,'HDN P&amp;L'!$A24,'HDN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30380.50999999999</v>
      </c>
      <c r="C25" s="42" t="n">
        <v>30495.64</v>
      </c>
      <c r="D25" s="42" t="n">
        <v>31357.96</v>
      </c>
      <c r="E25" s="42" t="n">
        <v>36022.19</v>
      </c>
      <c r="F25" s="42" t="n">
        <v>34088.36</v>
      </c>
      <c r="G25" s="42" t="n">
        <v>33987.66</v>
      </c>
      <c r="H25" s="42" t="n">
        <v>41381.32</v>
      </c>
      <c r="I25" s="42" t="n">
        <v>37697.41</v>
      </c>
      <c r="J25" s="42" t="n">
        <v>37624.93</v>
      </c>
      <c r="K25" s="42" t="n">
        <v>41626.15000000001</v>
      </c>
      <c r="L25" s="42" t="n">
        <v>40639.57</v>
      </c>
      <c r="M25" s="42" t="n">
        <v>41667.54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981.28</v>
      </c>
      <c r="C27" s="35" t="n">
        <v>1316.38</v>
      </c>
      <c r="D27" s="35" t="n">
        <v>1227.96</v>
      </c>
      <c r="E27" s="35" t="n">
        <v>1090.82</v>
      </c>
      <c r="F27" s="35" t="n">
        <v>1841.11</v>
      </c>
      <c r="G27" s="35" t="n">
        <v>1207.3</v>
      </c>
      <c r="H27" s="35" t="n">
        <v>1487.43</v>
      </c>
      <c r="I27" s="35" t="n">
        <v>1375.04</v>
      </c>
      <c r="J27" s="35" t="n">
        <v>921.6600000000001</v>
      </c>
      <c r="K27" s="35" t="n">
        <v>1727.81</v>
      </c>
      <c r="L27" s="35" t="n">
        <v>1328.64</v>
      </c>
      <c r="M27" s="35" t="n">
        <v>1221.21</v>
      </c>
      <c r="N27" s="36">
        <f>SUM(B27:M27)</f>
        <v/>
      </c>
      <c r="O27" s="37" t="n">
        <v>1263.34</v>
      </c>
      <c r="P27" s="37" t="n">
        <v>1271.59</v>
      </c>
      <c r="Q27" s="37" t="n">
        <v>1506.32</v>
      </c>
      <c r="R27" s="37" t="n">
        <v>1840.45</v>
      </c>
      <c r="S27" s="37" t="n">
        <v>1559.5</v>
      </c>
      <c r="T27" s="37" t="n">
        <v>1526.24</v>
      </c>
      <c r="U27" s="37" t="n">
        <v>1904.53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239.5</v>
      </c>
      <c r="C28" s="35" t="n">
        <v>130.44</v>
      </c>
      <c r="D28" s="35" t="n">
        <v>274.74</v>
      </c>
      <c r="E28" s="35" t="n">
        <v>380.74</v>
      </c>
      <c r="F28" s="35" t="n">
        <v>1073</v>
      </c>
      <c r="G28" s="35" t="n">
        <v>48.17</v>
      </c>
      <c r="H28" s="35" t="n">
        <v>581.1899999999999</v>
      </c>
      <c r="I28" s="35" t="n">
        <v>236.38</v>
      </c>
      <c r="J28" s="35" t="n">
        <v>393.6</v>
      </c>
      <c r="K28" s="35" t="n">
        <v>22.42</v>
      </c>
      <c r="L28" s="35" t="n">
        <v>14.95</v>
      </c>
      <c r="M28" s="35" t="n">
        <v>53.27</v>
      </c>
      <c r="N28" s="36">
        <f>SUM(B28:M28)</f>
        <v/>
      </c>
      <c r="O28" s="37" t="n">
        <v>113.98</v>
      </c>
      <c r="P28" s="37" t="n">
        <v>728.66</v>
      </c>
      <c r="Q28" s="37" t="n">
        <v>134.78</v>
      </c>
      <c r="R28" s="37" t="n">
        <v>47.99</v>
      </c>
      <c r="S28" s="37" t="n">
        <v>65.31999999999999</v>
      </c>
      <c r="T28" s="37" t="n">
        <v>23.67</v>
      </c>
      <c r="U28" s="37" t="n">
        <v>111.13</v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117" t="n">
        <v>100</v>
      </c>
      <c r="AJ28" s="118" t="n">
        <v>100</v>
      </c>
      <c r="AK28" s="118" t="n">
        <v>100</v>
      </c>
      <c r="AL28" s="118" t="n">
        <v>100</v>
      </c>
      <c r="AM28" s="119" t="n">
        <v>100</v>
      </c>
      <c r="AN28" s="117" t="n">
        <v>100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13.32</v>
      </c>
      <c r="C29" s="35" t="n">
        <v>60.2</v>
      </c>
      <c r="D29" s="35" t="n">
        <v>60</v>
      </c>
      <c r="E29" s="35" t="n">
        <v>100.89</v>
      </c>
      <c r="F29" s="35" t="n">
        <v>161.81</v>
      </c>
      <c r="G29" s="35" t="n">
        <v>123.86</v>
      </c>
      <c r="H29" s="35" t="n">
        <v>29.36</v>
      </c>
      <c r="I29" s="35" t="n">
        <v>26.93</v>
      </c>
      <c r="J29" s="35" t="n">
        <v>0</v>
      </c>
      <c r="K29" s="35" t="n">
        <v>50.84</v>
      </c>
      <c r="L29" s="35" t="n">
        <v>163.6</v>
      </c>
      <c r="M29" s="35" t="n">
        <v>100.1</v>
      </c>
      <c r="N29" s="36">
        <f>SUM(B29:M29)</f>
        <v/>
      </c>
      <c r="O29" s="37" t="n">
        <v>9.99</v>
      </c>
      <c r="P29" s="37" t="n">
        <v>147.8</v>
      </c>
      <c r="Q29" s="37" t="n">
        <v>26.31</v>
      </c>
      <c r="R29" s="37" t="n">
        <v>70.34</v>
      </c>
      <c r="S29" s="37" t="n">
        <v>0</v>
      </c>
      <c r="T29" s="37" t="n">
        <v>114.28</v>
      </c>
      <c r="U29" s="37" t="n">
        <v>137.9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 t="n">
        <v>0</v>
      </c>
      <c r="P30" s="37" t="n">
        <v>0</v>
      </c>
      <c r="Q30" s="37" t="n">
        <v>0</v>
      </c>
      <c r="R30" s="37" t="n">
        <v>0</v>
      </c>
      <c r="S30" s="37" t="n">
        <v>0</v>
      </c>
      <c r="T30" s="37" t="n">
        <v>0</v>
      </c>
      <c r="U30" s="37" t="n">
        <v>47.19</v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7" t="n">
        <v>100</v>
      </c>
      <c r="AJ30" s="118" t="n">
        <v>100</v>
      </c>
      <c r="AK30" s="118" t="n">
        <v>100</v>
      </c>
      <c r="AL30" s="118" t="n">
        <v>100</v>
      </c>
      <c r="AM30" s="119" t="n">
        <v>100</v>
      </c>
      <c r="AN30" s="117" t="n">
        <v>100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134.61</v>
      </c>
      <c r="C31" s="35" t="n">
        <v>25.96</v>
      </c>
      <c r="D31" s="35" t="n">
        <v>134.14</v>
      </c>
      <c r="E31" s="35" t="n">
        <v>13.99</v>
      </c>
      <c r="F31" s="35" t="n">
        <v>0</v>
      </c>
      <c r="G31" s="35" t="n">
        <v>166.09</v>
      </c>
      <c r="H31" s="35" t="n">
        <v>0</v>
      </c>
      <c r="I31" s="35" t="n">
        <v>0</v>
      </c>
      <c r="J31" s="35" t="n">
        <v>0</v>
      </c>
      <c r="K31" s="35" t="n">
        <v>524.03</v>
      </c>
      <c r="L31" s="35" t="n">
        <v>0</v>
      </c>
      <c r="M31" s="35" t="n">
        <v>12.98</v>
      </c>
      <c r="N31" s="36">
        <f>SUM(B31:M31)</f>
        <v/>
      </c>
      <c r="O31" s="37" t="n">
        <v>59.34</v>
      </c>
      <c r="P31" s="37" t="n">
        <v>29.69</v>
      </c>
      <c r="Q31" s="37" t="n">
        <v>27.81</v>
      </c>
      <c r="R31" s="37" t="n">
        <v>308</v>
      </c>
      <c r="S31" s="37" t="n">
        <v>0</v>
      </c>
      <c r="T31" s="37" t="n">
        <v>219.9</v>
      </c>
      <c r="U31" s="37" t="n">
        <v>0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7" t="n">
        <v>50</v>
      </c>
      <c r="AJ31" s="118" t="n">
        <v>50</v>
      </c>
      <c r="AK31" s="118" t="n">
        <v>50</v>
      </c>
      <c r="AL31" s="118" t="n">
        <v>50</v>
      </c>
      <c r="AM31" s="119" t="n">
        <v>50</v>
      </c>
      <c r="AN31" s="117" t="n">
        <v>50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101.07</v>
      </c>
      <c r="C32" s="35" t="n">
        <v>172.11</v>
      </c>
      <c r="D32" s="35" t="n">
        <v>274.74</v>
      </c>
      <c r="E32" s="35" t="n">
        <v>0</v>
      </c>
      <c r="F32" s="35" t="n">
        <v>0</v>
      </c>
      <c r="G32" s="35" t="n">
        <v>59.28</v>
      </c>
      <c r="H32" s="35" t="n">
        <v>101.58</v>
      </c>
      <c r="I32" s="35" t="n">
        <v>247.33</v>
      </c>
      <c r="J32" s="35" t="n">
        <v>0</v>
      </c>
      <c r="K32" s="35" t="n">
        <v>188.53</v>
      </c>
      <c r="L32" s="35" t="n">
        <v>0</v>
      </c>
      <c r="M32" s="35" t="n">
        <v>136.09</v>
      </c>
      <c r="N32" s="36">
        <f>SUM(B32:M32)</f>
        <v/>
      </c>
      <c r="O32" s="37" t="n">
        <v>110.81</v>
      </c>
      <c r="P32" s="37" t="n">
        <v>287.51</v>
      </c>
      <c r="Q32" s="37" t="n">
        <v>61.94</v>
      </c>
      <c r="R32" s="37" t="n">
        <v>405.44</v>
      </c>
      <c r="S32" s="37" t="n">
        <v>129.82</v>
      </c>
      <c r="T32" s="37" t="n">
        <v>300.5</v>
      </c>
      <c r="U32" s="37" t="n">
        <v>213.47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SUMIF('XHDN TB'!$R:$R,'HDN P&amp;L'!$A33,'XHDN TB'!C:C)</f>
        <v/>
      </c>
      <c r="P33" s="37">
        <f>SUMIF('XHDN TB'!$R:$R,'HDN P&amp;L'!$A33,'XHDN TB'!D:D)</f>
        <v/>
      </c>
      <c r="Q33" s="37">
        <f>SUMIF('XHDN TB'!$R:$R,'HDN P&amp;L'!$A33,'XHDN TB'!E:E)</f>
        <v/>
      </c>
      <c r="R33" s="37">
        <f>SUMIF('XHDN TB'!$R:$R,'HDN P&amp;L'!$A33,'XHDN TB'!F:F)</f>
        <v/>
      </c>
      <c r="S33" s="37">
        <f>SUMIF('XHDN TB'!$R:$R,'HDN P&amp;L'!$A33,'XHDN TB'!G:G)</f>
        <v/>
      </c>
      <c r="T33" s="37">
        <f>SUMIF('XHDN TB'!$R:$R,'HDN P&amp;L'!$A33,'XHDN TB'!H:H)</f>
        <v/>
      </c>
      <c r="U33" s="37">
        <f>SUMIF('HDN TB'!$R:$R,'HDN P&amp;L'!$A33,'HDN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1469.78</v>
      </c>
      <c r="C34" s="42" t="n">
        <v>1705.09</v>
      </c>
      <c r="D34" s="42" t="n">
        <v>1971.58</v>
      </c>
      <c r="E34" s="42" t="n">
        <v>1586.44</v>
      </c>
      <c r="F34" s="42" t="n">
        <v>3075.92</v>
      </c>
      <c r="G34" s="42" t="n">
        <v>1604.7</v>
      </c>
      <c r="H34" s="42" t="n">
        <v>2199.56</v>
      </c>
      <c r="I34" s="42" t="n">
        <v>1885.68</v>
      </c>
      <c r="J34" s="42" t="n">
        <v>1315.26</v>
      </c>
      <c r="K34" s="42" t="n">
        <v>2513.63</v>
      </c>
      <c r="L34" s="42" t="n">
        <v>1507.19</v>
      </c>
      <c r="M34" s="42" t="n">
        <v>1523.65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SUMIF('XHDN TB'!$R:$R,'HDN P&amp;L'!$A36,'XHDN TB'!C:C)</f>
        <v/>
      </c>
      <c r="P36" s="37">
        <f>SUMIF('XHDN TB'!$R:$R,'HDN P&amp;L'!$A36,'XHDN TB'!D:D)</f>
        <v/>
      </c>
      <c r="Q36" s="37">
        <f>SUMIF('XHDN TB'!$R:$R,'HDN P&amp;L'!$A36,'XHDN TB'!E:E)</f>
        <v/>
      </c>
      <c r="R36" s="37">
        <f>SUMIF('XHDN TB'!$R:$R,'HDN P&amp;L'!$A36,'XHDN TB'!F:F)</f>
        <v/>
      </c>
      <c r="S36" s="37">
        <f>SUMIF('XHDN TB'!$R:$R,'HDN P&amp;L'!$A36,'XHDN TB'!G:G)</f>
        <v/>
      </c>
      <c r="T36" s="37">
        <f>SUMIF('XHDN TB'!$R:$R,'HDN P&amp;L'!$A36,'XHDN TB'!H:H)</f>
        <v/>
      </c>
      <c r="U36" s="37">
        <f>SUMIF('HDN TB'!$R:$R,'HDN P&amp;L'!$A36,'HDN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1850.46</v>
      </c>
      <c r="C37" s="35" t="n">
        <v>1850.46</v>
      </c>
      <c r="D37" s="35" t="n">
        <v>1850.46</v>
      </c>
      <c r="E37" s="35" t="n">
        <v>1850.42</v>
      </c>
      <c r="F37" s="35" t="n">
        <v>1850.42</v>
      </c>
      <c r="G37" s="35" t="n">
        <v>1850.42</v>
      </c>
      <c r="H37" s="35" t="n">
        <v>1850.42</v>
      </c>
      <c r="I37" s="35" t="n">
        <v>1850.42</v>
      </c>
      <c r="J37" s="35" t="n">
        <v>1850.42</v>
      </c>
      <c r="K37" s="35" t="n">
        <v>1850.42</v>
      </c>
      <c r="L37" s="35" t="n">
        <v>1850.42</v>
      </c>
      <c r="M37" s="35" t="n">
        <v>1850.42</v>
      </c>
      <c r="N37" s="36">
        <f>SUM(B37:M37)</f>
        <v/>
      </c>
      <c r="O37" s="37" t="n">
        <v>1850.43</v>
      </c>
      <c r="P37" s="37" t="n">
        <v>1850.42</v>
      </c>
      <c r="Q37" s="37" t="n">
        <v>1850.42</v>
      </c>
      <c r="R37" s="37" t="n">
        <v>2128.03</v>
      </c>
      <c r="S37" s="37" t="n">
        <v>2128.03</v>
      </c>
      <c r="T37" s="37" t="n">
        <v>2128.03</v>
      </c>
      <c r="U37" s="37" t="n">
        <v>2128.03</v>
      </c>
      <c r="V37" s="38" t="n">
        <v>2128.03</v>
      </c>
      <c r="W37" s="38" t="n">
        <v>2128.03</v>
      </c>
      <c r="X37" s="38" t="n">
        <v>2128.03</v>
      </c>
      <c r="Y37" s="38" t="n">
        <v>2128.03</v>
      </c>
      <c r="Z37" s="38" t="n">
        <v>2128.03</v>
      </c>
      <c r="AA37" s="36">
        <f>SUM(O37:U37)</f>
        <v/>
      </c>
      <c r="AB37" s="36">
        <f>SUM(O37:Z37)</f>
        <v/>
      </c>
      <c r="AC37" s="38" t="n">
        <v>2128.03</v>
      </c>
      <c r="AD37" s="38" t="n">
        <v>2128.03</v>
      </c>
      <c r="AE37" s="38" t="n">
        <v>2128.03</v>
      </c>
      <c r="AF37" s="38" t="n">
        <v>2128.03</v>
      </c>
      <c r="AG37" s="38" t="n">
        <v>2128.03</v>
      </c>
      <c r="AH37" s="38" t="n">
        <v>2128.03</v>
      </c>
      <c r="AI37" s="117" t="n">
        <v>2128.03</v>
      </c>
      <c r="AJ37" s="118" t="n">
        <v>2128.03</v>
      </c>
      <c r="AK37" s="118" t="n">
        <v>2128.03</v>
      </c>
      <c r="AL37" s="118" t="n">
        <v>2128.03</v>
      </c>
      <c r="AM37" s="119" t="n">
        <v>2128.03</v>
      </c>
      <c r="AN37" s="117" t="n">
        <v>2128.03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2368.8</v>
      </c>
      <c r="C38" s="35" t="n">
        <v>1729.63</v>
      </c>
      <c r="D38" s="35" t="n">
        <v>1859.19</v>
      </c>
      <c r="E38" s="35" t="n">
        <v>2094.4</v>
      </c>
      <c r="F38" s="35" t="n">
        <v>2433.41</v>
      </c>
      <c r="G38" s="35" t="n">
        <v>1489.28</v>
      </c>
      <c r="H38" s="35" t="n">
        <v>704.8299999999999</v>
      </c>
      <c r="I38" s="35" t="n">
        <v>-1889.83</v>
      </c>
      <c r="J38" s="35" t="n">
        <v>2474.2</v>
      </c>
      <c r="K38" s="35" t="n">
        <v>1184.78</v>
      </c>
      <c r="L38" s="35" t="n">
        <v>1550.31</v>
      </c>
      <c r="M38" s="35" t="n">
        <v>1669.51</v>
      </c>
      <c r="N38" s="36">
        <f>SUM(B38:M38)</f>
        <v/>
      </c>
      <c r="O38" s="37" t="n">
        <v>5880.54</v>
      </c>
      <c r="P38" s="37" t="n">
        <v>3499.35</v>
      </c>
      <c r="Q38" s="37" t="n">
        <v>2725.01</v>
      </c>
      <c r="R38" s="37" t="n">
        <v>1670.17</v>
      </c>
      <c r="S38" s="37" t="n">
        <v>1407.25</v>
      </c>
      <c r="T38" s="37" t="n">
        <v>2084.82</v>
      </c>
      <c r="U38" s="37" t="n">
        <v>594.3099999999999</v>
      </c>
      <c r="V38" s="38" t="n">
        <v>1625</v>
      </c>
      <c r="W38" s="38" t="n">
        <v>1625</v>
      </c>
      <c r="X38" s="38" t="n">
        <v>1625</v>
      </c>
      <c r="Y38" s="38" t="n">
        <v>1625</v>
      </c>
      <c r="Z38" s="38" t="n">
        <v>1625</v>
      </c>
      <c r="AA38" s="36">
        <f>SUM(O38:U38)</f>
        <v/>
      </c>
      <c r="AB38" s="36">
        <f>SUM(O38:Z38)</f>
        <v/>
      </c>
      <c r="AC38" s="38" t="n">
        <v>1625</v>
      </c>
      <c r="AD38" s="38" t="n">
        <v>1625</v>
      </c>
      <c r="AE38" s="38" t="n">
        <v>1625</v>
      </c>
      <c r="AF38" s="38" t="n">
        <v>1625</v>
      </c>
      <c r="AG38" s="38" t="n">
        <v>1625</v>
      </c>
      <c r="AH38" s="38" t="n">
        <v>1625</v>
      </c>
      <c r="AI38" s="117" t="n">
        <v>1625</v>
      </c>
      <c r="AJ38" s="118" t="n">
        <v>1625</v>
      </c>
      <c r="AK38" s="118" t="n">
        <v>1625</v>
      </c>
      <c r="AL38" s="118" t="n">
        <v>1625</v>
      </c>
      <c r="AM38" s="119" t="n">
        <v>1625</v>
      </c>
      <c r="AN38" s="117" t="n">
        <v>1625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3031.86</v>
      </c>
      <c r="C39" s="35" t="n">
        <v>98.95</v>
      </c>
      <c r="D39" s="35" t="n">
        <v>578.95</v>
      </c>
      <c r="E39" s="35" t="n">
        <v>430.94</v>
      </c>
      <c r="F39" s="35" t="n">
        <v>435.0199999999997</v>
      </c>
      <c r="G39" s="35" t="n">
        <v>251.22</v>
      </c>
      <c r="H39" s="35" t="n">
        <v>107.95</v>
      </c>
      <c r="I39" s="35" t="n">
        <v>1347.21</v>
      </c>
      <c r="J39" s="35" t="n">
        <v>1756.7</v>
      </c>
      <c r="K39" s="35" t="n">
        <v>943.7199999999999</v>
      </c>
      <c r="L39" s="35" t="n">
        <v>994.7800000000002</v>
      </c>
      <c r="M39" s="35" t="n">
        <v>268.1</v>
      </c>
      <c r="N39" s="36">
        <f>SUM(B39:M39)</f>
        <v/>
      </c>
      <c r="O39" s="37" t="n">
        <v>1554.62</v>
      </c>
      <c r="P39" s="37" t="n">
        <v>72.67</v>
      </c>
      <c r="Q39" s="37" t="n">
        <v>140.01</v>
      </c>
      <c r="R39" s="37" t="n">
        <v>156.47</v>
      </c>
      <c r="S39" s="37" t="n">
        <v>45.49</v>
      </c>
      <c r="T39" s="37" t="n">
        <v>559.77</v>
      </c>
      <c r="U39" s="37" t="n">
        <v>1555.73</v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309.94</v>
      </c>
      <c r="C40" s="35" t="n">
        <v>0</v>
      </c>
      <c r="D40" s="35" t="n">
        <v>277.05</v>
      </c>
      <c r="E40" s="35" t="n">
        <v>362.46</v>
      </c>
      <c r="F40" s="35" t="n">
        <v>318.28</v>
      </c>
      <c r="G40" s="35" t="n">
        <v>106.85</v>
      </c>
      <c r="H40" s="35" t="n">
        <v>241.78</v>
      </c>
      <c r="I40" s="35" t="n">
        <v>110.35</v>
      </c>
      <c r="J40" s="35" t="n">
        <v>265.47</v>
      </c>
      <c r="K40" s="35" t="n">
        <v>161.46</v>
      </c>
      <c r="L40" s="35" t="n">
        <v>302.11</v>
      </c>
      <c r="M40" s="35" t="n">
        <v>146.87</v>
      </c>
      <c r="N40" s="36">
        <f>SUM(B40:M40)</f>
        <v/>
      </c>
      <c r="O40" s="37" t="n">
        <v>136.54</v>
      </c>
      <c r="P40" s="37" t="n">
        <v>125.08</v>
      </c>
      <c r="Q40" s="37" t="n">
        <v>172.92</v>
      </c>
      <c r="R40" s="37" t="n">
        <v>115.14</v>
      </c>
      <c r="S40" s="37" t="n">
        <v>0</v>
      </c>
      <c r="T40" s="37" t="n">
        <v>164.48</v>
      </c>
      <c r="U40" s="37" t="n">
        <v>221.88</v>
      </c>
      <c r="V40" s="38" t="n">
        <v>221</v>
      </c>
      <c r="W40" s="38" t="n">
        <v>221</v>
      </c>
      <c r="X40" s="38" t="n">
        <v>221</v>
      </c>
      <c r="Y40" s="38" t="n">
        <v>221</v>
      </c>
      <c r="Z40" s="38" t="n">
        <v>221</v>
      </c>
      <c r="AA40" s="36">
        <f>SUM(O40:U40)</f>
        <v/>
      </c>
      <c r="AB40" s="36">
        <f>SUM(O40:Z40)</f>
        <v/>
      </c>
      <c r="AC40" s="38" t="n">
        <v>221</v>
      </c>
      <c r="AD40" s="38" t="n">
        <v>221</v>
      </c>
      <c r="AE40" s="38" t="n">
        <v>221</v>
      </c>
      <c r="AF40" s="38" t="n">
        <v>221</v>
      </c>
      <c r="AG40" s="38" t="n">
        <v>221</v>
      </c>
      <c r="AH40" s="38" t="n">
        <v>221</v>
      </c>
      <c r="AI40" s="117" t="n">
        <v>221</v>
      </c>
      <c r="AJ40" s="118" t="n">
        <v>221</v>
      </c>
      <c r="AK40" s="118" t="n">
        <v>221</v>
      </c>
      <c r="AL40" s="118" t="n">
        <v>221</v>
      </c>
      <c r="AM40" s="119" t="n">
        <v>221</v>
      </c>
      <c r="AN40" s="117" t="n">
        <v>221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379.15</v>
      </c>
      <c r="C41" s="35" t="n">
        <v>413.35</v>
      </c>
      <c r="D41" s="35" t="n">
        <v>531.62</v>
      </c>
      <c r="E41" s="35" t="n">
        <v>296.9299999999999</v>
      </c>
      <c r="F41" s="35" t="n">
        <v>430.74</v>
      </c>
      <c r="G41" s="35" t="n">
        <v>394.55</v>
      </c>
      <c r="H41" s="35" t="n">
        <v>313.24</v>
      </c>
      <c r="I41" s="35" t="n">
        <v>298.24</v>
      </c>
      <c r="J41" s="35" t="n">
        <v>444.35</v>
      </c>
      <c r="K41" s="35" t="n">
        <v>307.21</v>
      </c>
      <c r="L41" s="35" t="n">
        <v>426.55</v>
      </c>
      <c r="M41" s="35" t="n">
        <v>379.16</v>
      </c>
      <c r="N41" s="36">
        <f>SUM(B41:M41)</f>
        <v/>
      </c>
      <c r="O41" s="37" t="n">
        <v>348.17</v>
      </c>
      <c r="P41" s="37" t="n">
        <v>426.54</v>
      </c>
      <c r="Q41" s="37" t="n">
        <v>428.49</v>
      </c>
      <c r="R41" s="37" t="n">
        <v>433.79</v>
      </c>
      <c r="S41" s="37" t="n">
        <v>338.45</v>
      </c>
      <c r="T41" s="37" t="n">
        <v>271.95</v>
      </c>
      <c r="U41" s="37" t="n">
        <v>551.62</v>
      </c>
      <c r="V41" s="38" t="n">
        <v>389</v>
      </c>
      <c r="W41" s="38" t="n">
        <v>389</v>
      </c>
      <c r="X41" s="38" t="n">
        <v>389</v>
      </c>
      <c r="Y41" s="38" t="n">
        <v>389</v>
      </c>
      <c r="Z41" s="38" t="n">
        <v>389</v>
      </c>
      <c r="AA41" s="36">
        <f>SUM(O41:U41)</f>
        <v/>
      </c>
      <c r="AB41" s="36">
        <f>SUM(O41:Z41)</f>
        <v/>
      </c>
      <c r="AC41" s="38" t="n">
        <v>389</v>
      </c>
      <c r="AD41" s="38" t="n">
        <v>389</v>
      </c>
      <c r="AE41" s="38" t="n">
        <v>389</v>
      </c>
      <c r="AF41" s="38" t="n">
        <v>389</v>
      </c>
      <c r="AG41" s="38" t="n">
        <v>389</v>
      </c>
      <c r="AH41" s="38" t="n">
        <v>389</v>
      </c>
      <c r="AI41" s="117" t="n">
        <v>389</v>
      </c>
      <c r="AJ41" s="118" t="n">
        <v>389</v>
      </c>
      <c r="AK41" s="118" t="n">
        <v>389</v>
      </c>
      <c r="AL41" s="118" t="n">
        <v>389</v>
      </c>
      <c r="AM41" s="119" t="n">
        <v>389</v>
      </c>
      <c r="AN41" s="117" t="n">
        <v>389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134.31</v>
      </c>
      <c r="C42" s="35" t="n">
        <v>193.15</v>
      </c>
      <c r="D42" s="35" t="n">
        <v>108.59</v>
      </c>
      <c r="E42" s="35" t="n">
        <v>158.57</v>
      </c>
      <c r="F42" s="35" t="n">
        <v>40.91</v>
      </c>
      <c r="G42" s="35" t="n">
        <v>188.02</v>
      </c>
      <c r="H42" s="35" t="n">
        <v>36.03</v>
      </c>
      <c r="I42" s="35" t="n">
        <v>140.04</v>
      </c>
      <c r="J42" s="35" t="n">
        <v>159.8</v>
      </c>
      <c r="K42" s="35" t="n">
        <v>546.86</v>
      </c>
      <c r="L42" s="35" t="n">
        <v>154.65</v>
      </c>
      <c r="M42" s="35" t="n">
        <v>163.62</v>
      </c>
      <c r="N42" s="36">
        <f>SUM(B42:M42)</f>
        <v/>
      </c>
      <c r="O42" s="37" t="n">
        <v>66.11</v>
      </c>
      <c r="P42" s="37" t="n">
        <v>90</v>
      </c>
      <c r="Q42" s="37" t="n">
        <v>78.90000000000001</v>
      </c>
      <c r="R42" s="37" t="n">
        <v>109.06</v>
      </c>
      <c r="S42" s="37" t="n">
        <v>91.40000000000001</v>
      </c>
      <c r="T42" s="37" t="n">
        <v>94.31999999999999</v>
      </c>
      <c r="U42" s="37" t="n">
        <v>19.99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14.2</v>
      </c>
      <c r="P43" s="37" t="n">
        <v>63.62</v>
      </c>
      <c r="Q43" s="37" t="n">
        <v>7.75</v>
      </c>
      <c r="R43" s="37" t="n">
        <v>215.54</v>
      </c>
      <c r="S43" s="37" t="n">
        <v>84.84</v>
      </c>
      <c r="T43" s="37" t="n">
        <v>311.31</v>
      </c>
      <c r="U43" s="37" t="n">
        <v>0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SUMIF('XHDN TB'!$R:$R,'HDN P&amp;L'!$A44,'XHDN TB'!C:C)</f>
        <v/>
      </c>
      <c r="P44" s="37">
        <f>SUMIF('XHDN TB'!$R:$R,'HDN P&amp;L'!$A44,'XHDN TB'!D:D)</f>
        <v/>
      </c>
      <c r="Q44" s="37">
        <f>SUMIF('XHDN TB'!$R:$R,'HDN P&amp;L'!$A44,'XHDN TB'!E:E)</f>
        <v/>
      </c>
      <c r="R44" s="37">
        <f>SUMIF('XHDN TB'!$R:$R,'HDN P&amp;L'!$A44,'XHDN TB'!F:F)</f>
        <v/>
      </c>
      <c r="S44" s="37">
        <f>SUMIF('XHDN TB'!$R:$R,'HDN P&amp;L'!$A44,'XHDN TB'!G:G)</f>
        <v/>
      </c>
      <c r="T44" s="37">
        <f>SUMIF('XHDN TB'!$R:$R,'HDN P&amp;L'!$A44,'XHDN TB'!H:H)</f>
        <v/>
      </c>
      <c r="U44" s="37">
        <f>SUMIF('HDN TB'!$R:$R,'HDN P&amp;L'!$A44,'HDN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29.98</v>
      </c>
      <c r="M45" s="35" t="n">
        <v>0</v>
      </c>
      <c r="N45" s="36">
        <f>SUM(B45:M45)</f>
        <v/>
      </c>
      <c r="O45" s="37">
        <f>SUMIF('XHDN TB'!$R:$R,'HDN P&amp;L'!$A45,'XHDN TB'!C:C)</f>
        <v/>
      </c>
      <c r="P45" s="37">
        <f>SUMIF('XHDN TB'!$R:$R,'HDN P&amp;L'!$A45,'XHDN TB'!D:D)</f>
        <v/>
      </c>
      <c r="Q45" s="37">
        <f>SUMIF('XHDN TB'!$R:$R,'HDN P&amp;L'!$A45,'XHDN TB'!E:E)</f>
        <v/>
      </c>
      <c r="R45" s="37">
        <f>SUMIF('XHDN TB'!$R:$R,'HDN P&amp;L'!$A45,'XHDN TB'!F:F)</f>
        <v/>
      </c>
      <c r="S45" s="37">
        <f>SUMIF('XHDN TB'!$R:$R,'HDN P&amp;L'!$A45,'XHDN TB'!G:G)</f>
        <v/>
      </c>
      <c r="T45" s="37">
        <f>SUMIF('XHDN TB'!$R:$R,'HDN P&amp;L'!$A45,'XHDN TB'!H:H)</f>
        <v/>
      </c>
      <c r="U45" s="37">
        <f>SUMIF('HDN TB'!$R:$R,'HDN P&amp;L'!$A45,'HDN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7" t="n">
        <v>100</v>
      </c>
      <c r="AJ45" s="118" t="n">
        <v>100</v>
      </c>
      <c r="AK45" s="118" t="n">
        <v>100</v>
      </c>
      <c r="AL45" s="118" t="n">
        <v>100</v>
      </c>
      <c r="AM45" s="119" t="n">
        <v>100</v>
      </c>
      <c r="AN45" s="117" t="n">
        <v>100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SUMIF('XHDN TB'!$R:$R,'HDN P&amp;L'!$A46,'XHDN TB'!C:C)</f>
        <v/>
      </c>
      <c r="P46" s="37">
        <f>SUMIF('XHDN TB'!$R:$R,'HDN P&amp;L'!$A46,'XHDN TB'!D:D)</f>
        <v/>
      </c>
      <c r="Q46" s="37">
        <f>SUMIF('XHDN TB'!$R:$R,'HDN P&amp;L'!$A46,'XHDN TB'!E:E)</f>
        <v/>
      </c>
      <c r="R46" s="37">
        <f>SUMIF('XHDN TB'!$R:$R,'HDN P&amp;L'!$A46,'XHDN TB'!F:F)</f>
        <v/>
      </c>
      <c r="S46" s="37">
        <f>SUMIF('XHDN TB'!$R:$R,'HDN P&amp;L'!$A46,'XHDN TB'!G:G)</f>
        <v/>
      </c>
      <c r="T46" s="37">
        <f>SUMIF('XHDN TB'!$R:$R,'HDN P&amp;L'!$A46,'XHDN TB'!H:H)</f>
        <v/>
      </c>
      <c r="U46" s="37">
        <f>SUMIF('HDN TB'!$R:$R,'HDN P&amp;L'!$A46,'HDN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8074.52</v>
      </c>
      <c r="C47" s="42" t="n">
        <v>4285.54</v>
      </c>
      <c r="D47" s="42" t="n">
        <v>5205.860000000001</v>
      </c>
      <c r="E47" s="42" t="n">
        <v>5193.72</v>
      </c>
      <c r="F47" s="42" t="n">
        <v>5508.779999999999</v>
      </c>
      <c r="G47" s="42" t="n">
        <v>4280.34</v>
      </c>
      <c r="H47" s="42" t="n">
        <v>3254.25</v>
      </c>
      <c r="I47" s="42" t="n">
        <v>1856.43</v>
      </c>
      <c r="J47" s="42" t="n">
        <v>6950.940000000001</v>
      </c>
      <c r="K47" s="42" t="n">
        <v>4994.45</v>
      </c>
      <c r="L47" s="42" t="n">
        <v>5308.799999999999</v>
      </c>
      <c r="M47" s="42" t="n">
        <v>4477.679999999999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39924.80999999999</v>
      </c>
      <c r="C48" s="23" t="n">
        <v>36486.27</v>
      </c>
      <c r="D48" s="23" t="n">
        <v>38535.4</v>
      </c>
      <c r="E48" s="23" t="n">
        <v>42802.35000000001</v>
      </c>
      <c r="F48" s="23" t="n">
        <v>42673.06</v>
      </c>
      <c r="G48" s="23" t="n">
        <v>39872.7</v>
      </c>
      <c r="H48" s="23" t="n">
        <v>46835.13</v>
      </c>
      <c r="I48" s="23" t="n">
        <v>41439.52</v>
      </c>
      <c r="J48" s="23" t="n">
        <v>45891.13</v>
      </c>
      <c r="K48" s="23" t="n">
        <v>49134.23</v>
      </c>
      <c r="L48" s="23" t="n">
        <v>47455.56</v>
      </c>
      <c r="M48" s="23" t="n">
        <v>47668.87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21076.90000000001</v>
      </c>
      <c r="C50" s="55" t="n">
        <v>16692.97</v>
      </c>
      <c r="D50" s="55" t="n">
        <v>31198.73</v>
      </c>
      <c r="E50" s="55" t="n">
        <v>26646.34</v>
      </c>
      <c r="F50" s="55" t="n">
        <v>18730.04</v>
      </c>
      <c r="G50" s="55" t="n">
        <v>19186.60000000001</v>
      </c>
      <c r="H50" s="55" t="n">
        <v>44355.74</v>
      </c>
      <c r="I50" s="55" t="n">
        <v>18608.74</v>
      </c>
      <c r="J50" s="55" t="n">
        <v>7164.869999999995</v>
      </c>
      <c r="K50" s="55" t="n">
        <v>3745.629999999997</v>
      </c>
      <c r="L50" s="55" t="n">
        <v>15267.35</v>
      </c>
      <c r="M50" s="55" t="n">
        <v>26674.6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SUMIF('XHDN TB'!$R:$R,'HDN P&amp;L'!$A53,'XHDN TB'!C:C)</f>
        <v/>
      </c>
      <c r="P53" s="37">
        <f>SUMIF('XHDN TB'!$R:$R,'HDN P&amp;L'!$A53,'XHDN TB'!D:D)</f>
        <v/>
      </c>
      <c r="Q53" s="37">
        <f>SUMIF('XHDN TB'!$R:$R,'HDN P&amp;L'!$A53,'XHDN TB'!E:E)</f>
        <v/>
      </c>
      <c r="R53" s="37">
        <f>SUMIF('XHDN TB'!$R:$R,'HDN P&amp;L'!$A53,'XHDN TB'!F:F)</f>
        <v/>
      </c>
      <c r="S53" s="37">
        <f>SUMIF('XHDN TB'!$R:$R,'HDN P&amp;L'!$A53,'XHDN TB'!G:G)</f>
        <v/>
      </c>
      <c r="T53" s="37">
        <f>SUMIF('XHDN TB'!$R:$R,'HDN P&amp;L'!$A53,'XHDN TB'!H:H)</f>
        <v/>
      </c>
      <c r="U53" s="37">
        <f>SUMIF('HDN TB'!$R:$R,'HDN P&amp;L'!$A53,'HDN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SUMIF('XHDN TB'!$R:$R,'HDN P&amp;L'!$A54,'XHDN TB'!C:C)</f>
        <v/>
      </c>
      <c r="P54" s="37">
        <f>SUMIF('XHDN TB'!$R:$R,'HDN P&amp;L'!$A54,'XHDN TB'!D:D)</f>
        <v/>
      </c>
      <c r="Q54" s="37">
        <f>SUMIF('XHDN TB'!$R:$R,'HDN P&amp;L'!$A54,'XHDN TB'!E:E)</f>
        <v/>
      </c>
      <c r="R54" s="37">
        <f>SUMIF('XHDN TB'!$R:$R,'HDN P&amp;L'!$A54,'XHDN TB'!F:F)</f>
        <v/>
      </c>
      <c r="S54" s="37">
        <f>SUMIF('XHDN TB'!$R:$R,'HDN P&amp;L'!$A54,'XHDN TB'!G:G)</f>
        <v/>
      </c>
      <c r="T54" s="37">
        <f>SUMIF('XHDN TB'!$R:$R,'HDN P&amp;L'!$A54,'XHDN TB'!H:H)</f>
        <v/>
      </c>
      <c r="U54" s="37">
        <f>SUMIF('HDN TB'!$R:$R,'HDN P&amp;L'!$A54,'HDN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SUMIF('XHDN TB'!$R:$R,'HDN P&amp;L'!$A55,'XHDN TB'!C:C)</f>
        <v/>
      </c>
      <c r="P55" s="37">
        <f>SUMIF('XHDN TB'!$R:$R,'HDN P&amp;L'!$A55,'XHDN TB'!D:D)</f>
        <v/>
      </c>
      <c r="Q55" s="37">
        <f>SUMIF('XHDN TB'!$R:$R,'HDN P&amp;L'!$A55,'XHDN TB'!E:E)</f>
        <v/>
      </c>
      <c r="R55" s="37">
        <f>SUMIF('XHDN TB'!$R:$R,'HDN P&amp;L'!$A55,'XHDN TB'!F:F)</f>
        <v/>
      </c>
      <c r="S55" s="37">
        <f>SUMIF('XHDN TB'!$R:$R,'HDN P&amp;L'!$A55,'XHDN TB'!G:G)</f>
        <v/>
      </c>
      <c r="T55" s="37">
        <f>SUMIF('XHDN TB'!$R:$R,'HDN P&amp;L'!$A55,'XHDN TB'!H:H)</f>
        <v/>
      </c>
      <c r="U55" s="37">
        <f>SUMIF('HDN TB'!$R:$R,'HDN P&amp;L'!$A55,'HDN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SUMIF('XHDN TB'!$R:$R,'HDN P&amp;L'!$A56,'XHDN TB'!C:C)</f>
        <v/>
      </c>
      <c r="P56" s="37">
        <f>SUMIF('XHDN TB'!$R:$R,'HDN P&amp;L'!$A56,'XHDN TB'!D:D)</f>
        <v/>
      </c>
      <c r="Q56" s="37">
        <f>SUMIF('XHDN TB'!$R:$R,'HDN P&amp;L'!$A56,'XHDN TB'!E:E)</f>
        <v/>
      </c>
      <c r="R56" s="37">
        <f>SUMIF('XHDN TB'!$R:$R,'HDN P&amp;L'!$A56,'XHDN TB'!F:F)</f>
        <v/>
      </c>
      <c r="S56" s="37">
        <f>SUMIF('XHDN TB'!$R:$R,'HDN P&amp;L'!$A56,'XHDN TB'!G:G)</f>
        <v/>
      </c>
      <c r="T56" s="37">
        <f>SUMIF('XHDN TB'!$R:$R,'HDN P&amp;L'!$A56,'XHDN TB'!H:H)</f>
        <v/>
      </c>
      <c r="U56" s="37">
        <f>SUMIF('HDN TB'!$R:$R,'HDN P&amp;L'!$A56,'HDN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109.5</v>
      </c>
      <c r="J57" s="35" t="n">
        <v>0</v>
      </c>
      <c r="K57" s="35" t="n">
        <v>0</v>
      </c>
      <c r="L57" s="35" t="n">
        <v>158.74</v>
      </c>
      <c r="M57" s="35" t="n">
        <v>212.52</v>
      </c>
      <c r="N57" s="36">
        <f>SUM(B57:M57)</f>
        <v/>
      </c>
      <c r="O57" s="37">
        <f>SUMIF('XHDN TB'!$R:$R,'HDN P&amp;L'!$A57,'XHDN TB'!C:C)</f>
        <v/>
      </c>
      <c r="P57" s="37">
        <f>SUMIF('XHDN TB'!$R:$R,'HDN P&amp;L'!$A57,'XHDN TB'!D:D)</f>
        <v/>
      </c>
      <c r="Q57" s="37">
        <f>SUMIF('XHDN TB'!$R:$R,'HDN P&amp;L'!$A57,'XHDN TB'!E:E)</f>
        <v/>
      </c>
      <c r="R57" s="37">
        <f>SUMIF('XHDN TB'!$R:$R,'HDN P&amp;L'!$A57,'XHDN TB'!F:F)</f>
        <v/>
      </c>
      <c r="S57" s="37">
        <f>SUMIF('XHDN TB'!$R:$R,'HDN P&amp;L'!$A57,'XHDN TB'!G:G)</f>
        <v/>
      </c>
      <c r="T57" s="37">
        <f>SUMIF('XHDN TB'!$R:$R,'HDN P&amp;L'!$A57,'XHDN TB'!H:H)</f>
        <v/>
      </c>
      <c r="U57" s="37">
        <f>SUMIF('HDN TB'!$R:$R,'HDN P&amp;L'!$A57,'HDN TB'!I:I)</f>
        <v/>
      </c>
      <c r="V57" s="38" t="n"/>
      <c r="W57" s="38" t="n"/>
      <c r="X57" s="38" t="n"/>
      <c r="Y57" s="38" t="n"/>
      <c r="Z57" s="38">
        <f>17*30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SUMIF('XHDN TB'!$R:$R,'HDN P&amp;L'!$A58,'XHDN TB'!C:C)</f>
        <v/>
      </c>
      <c r="P58" s="37">
        <f>SUMIF('XHDN TB'!$R:$R,'HDN P&amp;L'!$A58,'XHDN TB'!D:D)</f>
        <v/>
      </c>
      <c r="Q58" s="37">
        <f>SUMIF('XHDN TB'!$R:$R,'HDN P&amp;L'!$A58,'XHDN TB'!E:E)</f>
        <v/>
      </c>
      <c r="R58" s="37">
        <f>SUMIF('XHDN TB'!$R:$R,'HDN P&amp;L'!$A58,'XHDN TB'!F:F)</f>
        <v/>
      </c>
      <c r="S58" s="37">
        <f>SUMIF('XHDN TB'!$R:$R,'HDN P&amp;L'!$A58,'XHDN TB'!G:G)</f>
        <v/>
      </c>
      <c r="T58" s="37">
        <f>SUMIF('XHDN TB'!$R:$R,'HDN P&amp;L'!$A58,'XHDN TB'!H:H)</f>
        <v/>
      </c>
      <c r="U58" s="37">
        <f>SUMIF('HDN TB'!$R:$R,'HDN P&amp;L'!$A58,'HDN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201.37</v>
      </c>
      <c r="D59" s="35" t="n">
        <v>201.37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201.37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231.99</v>
      </c>
      <c r="C60" s="35" t="n">
        <v>75.59</v>
      </c>
      <c r="D60" s="35" t="n">
        <v>147.2</v>
      </c>
      <c r="E60" s="35" t="n">
        <v>13.19</v>
      </c>
      <c r="F60" s="35" t="n">
        <v>12.59</v>
      </c>
      <c r="G60" s="35" t="n">
        <v>45</v>
      </c>
      <c r="H60" s="35" t="n">
        <v>13.19</v>
      </c>
      <c r="I60" s="35" t="n">
        <v>13.79</v>
      </c>
      <c r="J60" s="35" t="n">
        <v>14.39</v>
      </c>
      <c r="K60" s="35" t="n">
        <v>198.39</v>
      </c>
      <c r="L60" s="35" t="n">
        <v>14.39</v>
      </c>
      <c r="M60" s="35" t="n">
        <v>58.79</v>
      </c>
      <c r="N60" s="36">
        <f>SUM(B60:M60)</f>
        <v/>
      </c>
      <c r="O60" s="37" t="n">
        <v>106.79</v>
      </c>
      <c r="P60" s="37" t="n">
        <v>8.99</v>
      </c>
      <c r="Q60" s="37" t="n">
        <v>13.19</v>
      </c>
      <c r="R60" s="37" t="n">
        <v>100.2</v>
      </c>
      <c r="S60" s="37" t="n">
        <v>4.2</v>
      </c>
      <c r="T60" s="37" t="n">
        <v>-11.23</v>
      </c>
      <c r="U60" s="37" t="n">
        <v>4.199999999999999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17.95</v>
      </c>
      <c r="D61" s="35" t="n">
        <v>0</v>
      </c>
      <c r="E61" s="35" t="n">
        <v>26.97</v>
      </c>
      <c r="F61" s="35" t="n">
        <v>5.89</v>
      </c>
      <c r="G61" s="35" t="n">
        <v>125.77</v>
      </c>
      <c r="H61" s="35" t="n">
        <v>53.8</v>
      </c>
      <c r="I61" s="35" t="n">
        <v>0</v>
      </c>
      <c r="J61" s="35" t="n">
        <v>0</v>
      </c>
      <c r="K61" s="35" t="n">
        <v>0</v>
      </c>
      <c r="L61" s="35" t="n">
        <v>63.35000000000001</v>
      </c>
      <c r="M61" s="35" t="n">
        <v>6.01</v>
      </c>
      <c r="N61" s="36">
        <f>SUM(B61:M61)</f>
        <v/>
      </c>
      <c r="O61" s="37">
        <f>SUMIF('XHDN TB'!$R:$R,'HDN P&amp;L'!$A61,'XHDN TB'!C:C)</f>
        <v/>
      </c>
      <c r="P61" s="37">
        <f>SUMIF('XHDN TB'!$R:$R,'HDN P&amp;L'!$A61,'XHDN TB'!D:D)</f>
        <v/>
      </c>
      <c r="Q61" s="37">
        <f>SUMIF('XHDN TB'!$R:$R,'HDN P&amp;L'!$A61,'XHDN TB'!E:E)</f>
        <v/>
      </c>
      <c r="R61" s="37">
        <f>SUMIF('XHDN TB'!$R:$R,'HDN P&amp;L'!$A61,'XHDN TB'!F:F)</f>
        <v/>
      </c>
      <c r="S61" s="37">
        <f>SUMIF('XHDN TB'!$R:$R,'HDN P&amp;L'!$A61,'XHDN TB'!G:G)</f>
        <v/>
      </c>
      <c r="T61" s="37">
        <f>SUMIF('XHDN TB'!$R:$R,'HDN P&amp;L'!$A61,'XHDN TB'!H:H)</f>
        <v/>
      </c>
      <c r="U61" s="37">
        <f>SUMIF('HDN TB'!$R:$R,'HDN P&amp;L'!$A61,'HDN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68</v>
      </c>
      <c r="D62" s="35" t="n">
        <v>74</v>
      </c>
      <c r="E62" s="35" t="n">
        <v>110.5</v>
      </c>
      <c r="F62" s="35" t="n">
        <v>0</v>
      </c>
      <c r="G62" s="35" t="n">
        <v>0</v>
      </c>
      <c r="H62" s="35" t="n">
        <v>32</v>
      </c>
      <c r="I62" s="35" t="n">
        <v>20.99</v>
      </c>
      <c r="J62" s="35" t="n">
        <v>112</v>
      </c>
      <c r="K62" s="35" t="n">
        <v>184</v>
      </c>
      <c r="L62" s="35" t="n">
        <v>108</v>
      </c>
      <c r="M62" s="35" t="n">
        <v>44</v>
      </c>
      <c r="N62" s="36">
        <f>SUM(B62:M62)</f>
        <v/>
      </c>
      <c r="O62" s="37">
        <f>SUMIF('XHDN TB'!$R:$R,'HDN P&amp;L'!$A62,'XHDN TB'!C:C)</f>
        <v/>
      </c>
      <c r="P62" s="37">
        <f>SUMIF('XHDN TB'!$R:$R,'HDN P&amp;L'!$A62,'XHDN TB'!D:D)</f>
        <v/>
      </c>
      <c r="Q62" s="37">
        <f>SUMIF('XHDN TB'!$R:$R,'HDN P&amp;L'!$A62,'XHDN TB'!E:E)</f>
        <v/>
      </c>
      <c r="R62" s="37">
        <f>SUMIF('XHDN TB'!$R:$R,'HDN P&amp;L'!$A62,'XHDN TB'!F:F)</f>
        <v/>
      </c>
      <c r="S62" s="37">
        <f>SUMIF('XHDN TB'!$R:$R,'HDN P&amp;L'!$A62,'XHDN TB'!G:G)</f>
        <v/>
      </c>
      <c r="T62" s="37">
        <f>SUMIF('XHDN TB'!$R:$R,'HDN P&amp;L'!$A62,'XHDN TB'!H:H)</f>
        <v/>
      </c>
      <c r="U62" s="37">
        <f>SUMIF('HDN TB'!$R:$R,'HDN P&amp;L'!$A62,'HDN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SUMIF('XHDN TB'!$R:$R,'HDN P&amp;L'!$A63,'XHDN TB'!C:C)</f>
        <v/>
      </c>
      <c r="P63" s="37">
        <f>SUMIF('XHDN TB'!$R:$R,'HDN P&amp;L'!$A63,'XHDN TB'!D:D)</f>
        <v/>
      </c>
      <c r="Q63" s="37">
        <f>SUMIF('XHDN TB'!$R:$R,'HDN P&amp;L'!$A63,'XHDN TB'!E:E)</f>
        <v/>
      </c>
      <c r="R63" s="37">
        <f>SUMIF('XHDN TB'!$R:$R,'HDN P&amp;L'!$A63,'XHDN TB'!F:F)</f>
        <v/>
      </c>
      <c r="S63" s="37">
        <f>SUMIF('XHDN TB'!$R:$R,'HDN P&amp;L'!$A63,'XHDN TB'!G:G)</f>
        <v/>
      </c>
      <c r="T63" s="37">
        <f>SUMIF('XHDN TB'!$R:$R,'HDN P&amp;L'!$A63,'XHDN TB'!H:H)</f>
        <v/>
      </c>
      <c r="U63" s="37">
        <f>SUMIF('HDN TB'!$R:$R,'HDN P&amp;L'!$A63,'HDN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SUMIF('XHDN TB'!$R:$R,'HDN P&amp;L'!$A64,'XHDN TB'!C:C)</f>
        <v/>
      </c>
      <c r="P64" s="37">
        <f>SUMIF('XHDN TB'!$R:$R,'HDN P&amp;L'!$A64,'XHDN TB'!D:D)</f>
        <v/>
      </c>
      <c r="Q64" s="37">
        <f>SUMIF('XHDN TB'!$R:$R,'HDN P&amp;L'!$A64,'XHDN TB'!E:E)</f>
        <v/>
      </c>
      <c r="R64" s="37">
        <f>SUMIF('XHDN TB'!$R:$R,'HDN P&amp;L'!$A64,'XHDN TB'!F:F)</f>
        <v/>
      </c>
      <c r="S64" s="37">
        <f>SUMIF('XHDN TB'!$R:$R,'HDN P&amp;L'!$A64,'XHDN TB'!G:G)</f>
        <v/>
      </c>
      <c r="T64" s="37">
        <f>SUMIF('XHDN TB'!$R:$R,'HDN P&amp;L'!$A64,'XHDN TB'!H:H)</f>
        <v/>
      </c>
      <c r="U64" s="37">
        <f>SUMIF('HDN TB'!$R:$R,'HDN P&amp;L'!$A64,'HDN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SUMIF('XHDN TB'!$R:$R,'HDN P&amp;L'!$A65,'XHDN TB'!C:C)</f>
        <v/>
      </c>
      <c r="P65" s="37">
        <f>SUMIF('XHDN TB'!$R:$R,'HDN P&amp;L'!$A65,'XHDN TB'!D:D)</f>
        <v/>
      </c>
      <c r="Q65" s="37">
        <f>SUMIF('XHDN TB'!$R:$R,'HDN P&amp;L'!$A65,'XHDN TB'!E:E)</f>
        <v/>
      </c>
      <c r="R65" s="37">
        <f>SUMIF('XHDN TB'!$R:$R,'HDN P&amp;L'!$A65,'XHDN TB'!F:F)</f>
        <v/>
      </c>
      <c r="S65" s="37">
        <f>SUMIF('XHDN TB'!$R:$R,'HDN P&amp;L'!$A65,'XHDN TB'!G:G)</f>
        <v/>
      </c>
      <c r="T65" s="37">
        <f>SUMIF('XHDN TB'!$R:$R,'HDN P&amp;L'!$A65,'XHDN TB'!H:H)</f>
        <v/>
      </c>
      <c r="U65" s="37">
        <f>SUMIF('HDN TB'!$R:$R,'HDN P&amp;L'!$A65,'HDN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SUMIF('XHDN TB'!$R:$R,'HDN P&amp;L'!$A66,'XHDN TB'!C:C)</f>
        <v/>
      </c>
      <c r="P66" s="37">
        <f>SUMIF('XHDN TB'!$R:$R,'HDN P&amp;L'!$A66,'XHDN TB'!D:D)</f>
        <v/>
      </c>
      <c r="Q66" s="37">
        <f>SUMIF('XHDN TB'!$R:$R,'HDN P&amp;L'!$A66,'XHDN TB'!E:E)</f>
        <v/>
      </c>
      <c r="R66" s="37">
        <f>SUMIF('XHDN TB'!$R:$R,'HDN P&amp;L'!$A66,'XHDN TB'!F:F)</f>
        <v/>
      </c>
      <c r="S66" s="37">
        <f>SUMIF('XHDN TB'!$R:$R,'HDN P&amp;L'!$A66,'XHDN TB'!G:G)</f>
        <v/>
      </c>
      <c r="T66" s="37">
        <f>SUMIF('XHDN TB'!$R:$R,'HDN P&amp;L'!$A66,'XHDN TB'!H:H)</f>
        <v/>
      </c>
      <c r="U66" s="37">
        <f>SUMIF('HDN TB'!$R:$R,'HDN P&amp;L'!$A66,'HDN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SUMIF('XHDN TB'!$R:$R,'HDN P&amp;L'!$A67,'XHDN TB'!C:C)</f>
        <v/>
      </c>
      <c r="P67" s="37">
        <f>SUMIF('XHDN TB'!$R:$R,'HDN P&amp;L'!$A67,'XHDN TB'!D:D)</f>
        <v/>
      </c>
      <c r="Q67" s="37">
        <f>SUMIF('XHDN TB'!$R:$R,'HDN P&amp;L'!$A67,'XHDN TB'!E:E)</f>
        <v/>
      </c>
      <c r="R67" s="37">
        <f>SUMIF('XHDN TB'!$R:$R,'HDN P&amp;L'!$A67,'XHDN TB'!F:F)</f>
        <v/>
      </c>
      <c r="S67" s="37">
        <f>SUMIF('XHDN TB'!$R:$R,'HDN P&amp;L'!$A67,'XHDN TB'!G:G)</f>
        <v/>
      </c>
      <c r="T67" s="37">
        <f>SUMIF('XHDN TB'!$R:$R,'HDN P&amp;L'!$A67,'XHDN TB'!H:H)</f>
        <v/>
      </c>
      <c r="U67" s="37">
        <f>SUMIF('HDN TB'!$R:$R,'HDN P&amp;L'!$A67,'HDN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SUMIF('XHDN TB'!$R:$R,'HDN P&amp;L'!$A68,'XHDN TB'!C:C)</f>
        <v/>
      </c>
      <c r="P68" s="37">
        <f>SUMIF('XHDN TB'!$R:$R,'HDN P&amp;L'!$A68,'XHDN TB'!D:D)</f>
        <v/>
      </c>
      <c r="Q68" s="37">
        <f>SUMIF('XHDN TB'!$R:$R,'HDN P&amp;L'!$A68,'XHDN TB'!E:E)</f>
        <v/>
      </c>
      <c r="R68" s="37">
        <f>SUMIF('XHDN TB'!$R:$R,'HDN P&amp;L'!$A68,'XHDN TB'!F:F)</f>
        <v/>
      </c>
      <c r="S68" s="37">
        <f>SUMIF('XHDN TB'!$R:$R,'HDN P&amp;L'!$A68,'XHDN TB'!G:G)</f>
        <v/>
      </c>
      <c r="T68" s="37">
        <f>SUMIF('XHDN TB'!$R:$R,'HDN P&amp;L'!$A68,'XHDN TB'!H:H)</f>
        <v/>
      </c>
      <c r="U68" s="37">
        <f>SUMIF('HDN TB'!$R:$R,'HDN P&amp;L'!$A68,'HDN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433.37</v>
      </c>
      <c r="C69" s="42" t="n">
        <v>362.91</v>
      </c>
      <c r="D69" s="42" t="n">
        <v>422.57</v>
      </c>
      <c r="E69" s="42" t="n">
        <v>352.04</v>
      </c>
      <c r="F69" s="42" t="n">
        <v>219.86</v>
      </c>
      <c r="G69" s="42" t="n">
        <v>372.15</v>
      </c>
      <c r="H69" s="42" t="n">
        <v>300.37</v>
      </c>
      <c r="I69" s="42" t="n">
        <v>345.66</v>
      </c>
      <c r="J69" s="42" t="n">
        <v>327.76</v>
      </c>
      <c r="K69" s="42" t="n">
        <v>597.1900000000001</v>
      </c>
      <c r="L69" s="42" t="n">
        <v>559.28</v>
      </c>
      <c r="M69" s="42" t="n">
        <v>536.1200000000001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20643.53000000001</v>
      </c>
      <c r="C70" s="55" t="n">
        <v>16330.06</v>
      </c>
      <c r="D70" s="55" t="n">
        <v>30776.16</v>
      </c>
      <c r="E70" s="55" t="n">
        <v>26294.3</v>
      </c>
      <c r="F70" s="55" t="n">
        <v>18510.18</v>
      </c>
      <c r="G70" s="55" t="n">
        <v>18814.45</v>
      </c>
      <c r="H70" s="55" t="n">
        <v>44055.37</v>
      </c>
      <c r="I70" s="55" t="n">
        <v>18263.08</v>
      </c>
      <c r="J70" s="55" t="n">
        <v>6837.109999999995</v>
      </c>
      <c r="K70" s="55" t="n">
        <v>3148.439999999997</v>
      </c>
      <c r="L70" s="55" t="n">
        <v>14708.07</v>
      </c>
      <c r="M70" s="55" t="n">
        <v>26138.48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7">
        <f>SUM(AC72:AH72)+SUM(AI72:AN72)</f>
        <v/>
      </c>
      <c r="AP72" s="145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7" t="n">
        <v>0</v>
      </c>
      <c r="AJ73" s="117" t="n">
        <v>0</v>
      </c>
      <c r="AK73" s="117" t="n">
        <v>0</v>
      </c>
      <c r="AL73" s="117" t="n">
        <v>0</v>
      </c>
      <c r="AM73" s="117" t="n">
        <v>0</v>
      </c>
      <c r="AN73" s="117" t="n">
        <v>0</v>
      </c>
      <c r="AO73" s="156">
        <f>SUM(AC73:AH73)+SUM(AI73:AN73)</f>
        <v/>
      </c>
      <c r="AP73" s="145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7" t="n">
        <v>0</v>
      </c>
      <c r="AJ74" s="117" t="n">
        <v>0</v>
      </c>
      <c r="AK74" s="117" t="n">
        <v>0</v>
      </c>
      <c r="AL74" s="117" t="n">
        <v>0</v>
      </c>
      <c r="AM74" s="117" t="n">
        <v>0</v>
      </c>
      <c r="AN74" s="117" t="n">
        <v>0</v>
      </c>
      <c r="AO74" s="156">
        <f>SUM(AC74:AH74)+SUM(AI74:AN74)</f>
        <v/>
      </c>
      <c r="AP74" s="145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7" t="n">
        <v>0</v>
      </c>
      <c r="AJ75" s="117" t="n">
        <v>0</v>
      </c>
      <c r="AK75" s="117" t="n">
        <v>0</v>
      </c>
      <c r="AL75" s="117" t="n">
        <v>0</v>
      </c>
      <c r="AM75" s="117" t="n">
        <v>0</v>
      </c>
      <c r="AN75" s="117" t="n">
        <v>0</v>
      </c>
      <c r="AO75" s="156">
        <f>SUM(AC75:AH75)+SUM(AI75:AN75)</f>
        <v/>
      </c>
      <c r="AP75" s="145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7" t="n">
        <v>0</v>
      </c>
      <c r="AJ76" s="117" t="n">
        <v>0</v>
      </c>
      <c r="AK76" s="117" t="n">
        <v>0</v>
      </c>
      <c r="AL76" s="117" t="n">
        <v>0</v>
      </c>
      <c r="AM76" s="117" t="n">
        <v>0</v>
      </c>
      <c r="AN76" s="117" t="n">
        <v>0</v>
      </c>
      <c r="AO76" s="156">
        <f>SUM(AC76:AH76)+SUM(AI76:AN76)</f>
        <v/>
      </c>
      <c r="AP76" s="145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7" t="n">
        <v>0</v>
      </c>
      <c r="AJ77" s="117" t="n">
        <v>0</v>
      </c>
      <c r="AK77" s="117" t="n">
        <v>0</v>
      </c>
      <c r="AL77" s="117" t="n">
        <v>0</v>
      </c>
      <c r="AM77" s="117" t="n">
        <v>0</v>
      </c>
      <c r="AN77" s="117" t="n">
        <v>0</v>
      </c>
      <c r="AO77" s="156">
        <f>SUM(AC77:AH77)+SUM(AI77:AN77)</f>
        <v/>
      </c>
      <c r="AP77" s="145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117" t="n">
        <v>0</v>
      </c>
      <c r="AJ78" s="117" t="n">
        <v>0</v>
      </c>
      <c r="AK78" s="117" t="n">
        <v>0</v>
      </c>
      <c r="AL78" s="117" t="n">
        <v>0</v>
      </c>
      <c r="AM78" s="117" t="n">
        <v>0</v>
      </c>
      <c r="AN78" s="117" t="n">
        <v>0</v>
      </c>
      <c r="AO78" s="156">
        <f>SUM(AC78:AH78)+SUM(AI78:AN78)</f>
        <v/>
      </c>
      <c r="AP78" s="145">
        <f>IF(AB78&lt;&gt;0,(AO78-AB78)/ABS(AB78),0)</f>
        <v/>
      </c>
    </row>
    <row r="79">
      <c r="A79" s="54" t="n"/>
      <c r="B79" s="57" t="n">
        <v>20643.53000000001</v>
      </c>
      <c r="C79" s="57" t="n">
        <v>16330.06</v>
      </c>
      <c r="D79" s="57" t="n">
        <v>30776.16</v>
      </c>
      <c r="E79" s="57" t="n">
        <v>26294.3</v>
      </c>
      <c r="F79" s="57" t="n">
        <v>18510.18</v>
      </c>
      <c r="G79" s="57" t="n">
        <v>18814.45</v>
      </c>
      <c r="H79" s="57" t="n">
        <v>44055.37</v>
      </c>
      <c r="I79" s="57" t="n">
        <v>18263.08</v>
      </c>
      <c r="J79" s="57" t="n">
        <v>6837.109999999995</v>
      </c>
      <c r="K79" s="57" t="n">
        <v>3148.439999999997</v>
      </c>
      <c r="L79" s="57" t="n">
        <v>14708.07</v>
      </c>
      <c r="M79" s="57" t="n">
        <v>26138.48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6" t="n"/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7">
        <f>SUM(AC79:AH79)+SUM(AI79:AN79)</f>
        <v/>
      </c>
      <c r="AP79" s="145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7">
        <f>SUM(AC80:AH80)+SUM(AI80:AN80)</f>
        <v/>
      </c>
      <c r="AP80" s="145">
        <f>IF(AB80&lt;&gt;0,(AO80-AB80)/ABS(AB80),0)</f>
        <v/>
      </c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61001.71</v>
      </c>
      <c r="C87" s="60" t="n">
        <v>53179.24</v>
      </c>
      <c r="D87" s="60" t="n">
        <v>69734.13</v>
      </c>
      <c r="E87" s="60" t="n">
        <v>69448.69</v>
      </c>
      <c r="F87" s="60" t="n">
        <v>61403.1</v>
      </c>
      <c r="G87" s="60" t="n">
        <v>59059.3</v>
      </c>
      <c r="H87" s="60" t="n">
        <v>91190.87</v>
      </c>
      <c r="I87" s="60" t="n">
        <v>60048.26</v>
      </c>
      <c r="J87" s="60" t="n">
        <v>53056</v>
      </c>
      <c r="K87" s="60" t="n">
        <v>52879.86</v>
      </c>
      <c r="L87" s="60" t="n">
        <v>62722.91</v>
      </c>
      <c r="M87" s="8" t="n"/>
      <c r="N87" s="8" t="n"/>
      <c r="O87" s="60">
        <f>-SUMIF('XHDN TB'!$T:$T,'HDN P&amp;L'!$A87,'XHDN TB'!C:C)</f>
        <v/>
      </c>
      <c r="P87" s="60">
        <f>-SUMIF('XHDN TB'!$T:$T,'HDN P&amp;L'!$A87,'XHDN TB'!D:D)</f>
        <v/>
      </c>
      <c r="Q87" s="60">
        <f>-SUMIF('XHDN TB'!$T:$T,'HDN P&amp;L'!$A87,'XHDN TB'!E:E)</f>
        <v/>
      </c>
      <c r="R87" s="60">
        <f>-SUMIF('XHDN TB'!$T:$T,'HDN P&amp;L'!$A87,'XHDN TB'!F:F)</f>
        <v/>
      </c>
      <c r="S87" s="60">
        <f>-SUMIF('XHDN TB'!$T:$T,'HDN P&amp;L'!$A87,'XHDN TB'!G:G)</f>
        <v/>
      </c>
      <c r="T87" s="60">
        <f>-SUMIF('XHDN TB'!$T:$T,'HDN P&amp;L'!$A87,'XHDN TB'!H:H)</f>
        <v/>
      </c>
      <c r="U87" s="60">
        <f>-SUMIF('XHDN TB'!$T:$T,'HDN P&amp;L'!$A87,'XHDN TB'!I:I)</f>
        <v/>
      </c>
      <c r="V87" s="60">
        <f>-SUMIF('XHDN TB'!$T:$T,'HDN P&amp;L'!$A87,'XHDN TB'!J:J)</f>
        <v/>
      </c>
      <c r="W87" s="60">
        <f>-SUMIF('XHDN TB'!$T:$T,'HDN P&amp;L'!$A87,'XHDN TB'!K:K)</f>
        <v/>
      </c>
      <c r="X87" s="60">
        <f>-SUMIF('XHDN TB'!$T:$T,'HDN P&amp;L'!$A87,'XHDN TB'!L:L)</f>
        <v/>
      </c>
      <c r="Y87" s="60">
        <f>-SUMIF('XHDN TB'!$T:$T,'HDN P&amp;L'!$A87,'XHDN TB'!M:M)</f>
        <v/>
      </c>
      <c r="Z87" s="60">
        <f>-SUMIF('XHDN TB'!$T:$T,'HDN P&amp;L'!$A87,'XHDN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48" t="n">
        <v>0</v>
      </c>
      <c r="AJ87" s="148" t="n">
        <v>0</v>
      </c>
      <c r="AK87" s="148" t="n">
        <v>0</v>
      </c>
      <c r="AL87" s="148" t="n">
        <v>0</v>
      </c>
      <c r="AM87" s="148" t="n">
        <v>0</v>
      </c>
      <c r="AN87" s="148" t="n">
        <v>0</v>
      </c>
      <c r="AO87" s="149">
        <f>SUM(AC87:AH87)+SUM(AI87:AN87)</f>
        <v/>
      </c>
      <c r="AP87" s="145">
        <f>IF(AB87&lt;&gt;0,(AO87-AB87)/ABS(AB87),0)</f>
        <v/>
      </c>
    </row>
    <row r="88">
      <c r="A88" s="34" t="inlineStr">
        <is>
          <t>Direct - Staff Cost</t>
        </is>
      </c>
      <c r="B88" s="18" t="n">
        <v>-30380.50999999999</v>
      </c>
      <c r="C88" s="18" t="n">
        <v>-30495.64</v>
      </c>
      <c r="D88" s="18" t="n">
        <v>-31357.96</v>
      </c>
      <c r="E88" s="18" t="n">
        <v>-36022.19</v>
      </c>
      <c r="F88" s="18" t="n">
        <v>-34088.36</v>
      </c>
      <c r="G88" s="18" t="n">
        <v>-33987.66</v>
      </c>
      <c r="H88" s="18" t="n">
        <v>-41381.32</v>
      </c>
      <c r="I88" s="18" t="n">
        <v>-37697.41</v>
      </c>
      <c r="J88" s="18" t="n">
        <v>-37624.93</v>
      </c>
      <c r="K88" s="18" t="n">
        <v>-41626.15000000001</v>
      </c>
      <c r="L88" s="18" t="n">
        <v>-40639.57</v>
      </c>
      <c r="M88" s="18" t="n"/>
      <c r="N88" s="8" t="n"/>
      <c r="O88" s="60">
        <f>-SUMIF('XHDN TB'!$T:$T,'HDN P&amp;L'!$A88,'XHDN TB'!C:C)</f>
        <v/>
      </c>
      <c r="P88" s="60">
        <f>-SUMIF('XHDN TB'!$T:$T,'HDN P&amp;L'!$A88,'XHDN TB'!D:D)</f>
        <v/>
      </c>
      <c r="Q88" s="60">
        <f>-SUMIF('XHDN TB'!$T:$T,'HDN P&amp;L'!$A88,'XHDN TB'!E:E)</f>
        <v/>
      </c>
      <c r="R88" s="60">
        <f>-SUMIF('XHDN TB'!$T:$T,'HDN P&amp;L'!$A88,'XHDN TB'!F:F)</f>
        <v/>
      </c>
      <c r="S88" s="60">
        <f>-SUMIF('XHDN TB'!$T:$T,'HDN P&amp;L'!$A88,'XHDN TB'!G:G)</f>
        <v/>
      </c>
      <c r="T88" s="60">
        <f>-SUMIF('XHDN TB'!$T:$T,'HDN P&amp;L'!$A88,'XHDN TB'!H:H)</f>
        <v/>
      </c>
      <c r="U88" s="60">
        <f>-SUMIF('XHDN TB'!$T:$T,'HDN P&amp;L'!$A88,'XHDN TB'!I:I)</f>
        <v/>
      </c>
      <c r="V88" s="60">
        <f>-SUMIF('XHDN TB'!$T:$T,'HDN P&amp;L'!$A88,'XHDN TB'!J:J)</f>
        <v/>
      </c>
      <c r="W88" s="60">
        <f>-SUMIF('XHDN TB'!$T:$T,'HDN P&amp;L'!$A88,'XHDN TB'!K:K)</f>
        <v/>
      </c>
      <c r="X88" s="60">
        <f>-SUMIF('XHDN TB'!$T:$T,'HDN P&amp;L'!$A88,'XHDN TB'!L:L)</f>
        <v/>
      </c>
      <c r="Y88" s="60">
        <f>-SUMIF('XHDN TB'!$T:$T,'HDN P&amp;L'!$A88,'XHDN TB'!M:M)</f>
        <v/>
      </c>
      <c r="Z88" s="60">
        <f>-SUMIF('XHDN TB'!$T:$T,'HDN P&amp;L'!$A88,'XHDN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48" t="n">
        <v>0</v>
      </c>
      <c r="AJ88" s="148" t="n">
        <v>0</v>
      </c>
      <c r="AK88" s="148" t="n">
        <v>0</v>
      </c>
      <c r="AL88" s="148" t="n">
        <v>0</v>
      </c>
      <c r="AM88" s="148" t="n">
        <v>0</v>
      </c>
      <c r="AN88" s="148" t="n">
        <v>0</v>
      </c>
      <c r="AO88" s="149">
        <f>SUM(AC88:AH88)+SUM(AI88:AN88)</f>
        <v/>
      </c>
      <c r="AP88" s="145">
        <f>IF(AB88&lt;&gt;0,(AO88-AB88)/ABS(AB88),0)</f>
        <v/>
      </c>
    </row>
    <row r="89">
      <c r="A89" s="60" t="inlineStr">
        <is>
          <t>Direct - Childcare Cost</t>
        </is>
      </c>
      <c r="B89" s="18" t="n">
        <v>-1469.78</v>
      </c>
      <c r="C89" s="18" t="n">
        <v>-1705.09</v>
      </c>
      <c r="D89" s="18" t="n">
        <v>-1971.58</v>
      </c>
      <c r="E89" s="18" t="n">
        <v>-1586.44</v>
      </c>
      <c r="F89" s="18" t="n">
        <v>-3075.92</v>
      </c>
      <c r="G89" s="18" t="n">
        <v>-1604.7</v>
      </c>
      <c r="H89" s="18" t="n">
        <v>-2199.56</v>
      </c>
      <c r="I89" s="18" t="n">
        <v>-1885.68</v>
      </c>
      <c r="J89" s="18" t="n">
        <v>-1315.26</v>
      </c>
      <c r="K89" s="18" t="n">
        <v>-2513.63</v>
      </c>
      <c r="L89" s="18" t="n">
        <v>-1507.19</v>
      </c>
      <c r="M89" s="18" t="n">
        <v>-1523.65</v>
      </c>
      <c r="N89" s="8" t="n"/>
      <c r="O89" s="60">
        <f>-SUMIF('XHDN TB'!$T:$T,'HDN P&amp;L'!$A89,'XHDN TB'!C:C)</f>
        <v/>
      </c>
      <c r="P89" s="60">
        <f>-SUMIF('XHDN TB'!$T:$T,'HDN P&amp;L'!$A89,'XHDN TB'!D:D)</f>
        <v/>
      </c>
      <c r="Q89" s="60">
        <f>-SUMIF('XHDN TB'!$T:$T,'HDN P&amp;L'!$A89,'XHDN TB'!E:E)</f>
        <v/>
      </c>
      <c r="R89" s="60">
        <f>-SUMIF('XHDN TB'!$T:$T,'HDN P&amp;L'!$A89,'XHDN TB'!F:F)</f>
        <v/>
      </c>
      <c r="S89" s="60">
        <f>-SUMIF('XHDN TB'!$T:$T,'HDN P&amp;L'!$A89,'XHDN TB'!G:G)</f>
        <v/>
      </c>
      <c r="T89" s="60">
        <f>-SUMIF('XHDN TB'!$T:$T,'HDN P&amp;L'!$A89,'XHDN TB'!H:H)</f>
        <v/>
      </c>
      <c r="U89" s="60">
        <f>-SUMIF('XHDN TB'!$T:$T,'HDN P&amp;L'!$A89,'XHDN TB'!I:I)</f>
        <v/>
      </c>
      <c r="V89" s="60">
        <f>-SUMIF('XHDN TB'!$T:$T,'HDN P&amp;L'!$A89,'XHDN TB'!J:J)</f>
        <v/>
      </c>
      <c r="W89" s="60">
        <f>-SUMIF('XHDN TB'!$T:$T,'HDN P&amp;L'!$A89,'XHDN TB'!K:K)</f>
        <v/>
      </c>
      <c r="X89" s="60">
        <f>-SUMIF('XHDN TB'!$T:$T,'HDN P&amp;L'!$A89,'XHDN TB'!L:L)</f>
        <v/>
      </c>
      <c r="Y89" s="60">
        <f>-SUMIF('XHDN TB'!$T:$T,'HDN P&amp;L'!$A89,'XHDN TB'!M:M)</f>
        <v/>
      </c>
      <c r="Z89" s="60">
        <f>-SUMIF('XHDN TB'!$T:$T,'HDN P&amp;L'!$A89,'XHDN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48" t="n">
        <v>0</v>
      </c>
      <c r="AJ89" s="148" t="n">
        <v>0</v>
      </c>
      <c r="AK89" s="148" t="n">
        <v>0</v>
      </c>
      <c r="AL89" s="148" t="n">
        <v>0</v>
      </c>
      <c r="AM89" s="148" t="n">
        <v>0</v>
      </c>
      <c r="AN89" s="148" t="n">
        <v>0</v>
      </c>
      <c r="AO89" s="149">
        <f>SUM(AC89:AH89)+SUM(AI89:AN89)</f>
        <v/>
      </c>
      <c r="AP89" s="145">
        <f>IF(AB89&lt;&gt;0,(AO89-AB89)/ABS(AB89),0)</f>
        <v/>
      </c>
    </row>
    <row r="90">
      <c r="A90" s="60" t="inlineStr">
        <is>
          <t>Direct - Premises &amp; Admin</t>
        </is>
      </c>
      <c r="B90" s="18" t="n">
        <v>-8074.519999999999</v>
      </c>
      <c r="C90" s="18" t="n">
        <v>-4285.54</v>
      </c>
      <c r="D90" s="18" t="n">
        <v>-5205.86</v>
      </c>
      <c r="E90" s="18" t="n">
        <v>-5193.719999999999</v>
      </c>
      <c r="F90" s="18" t="n">
        <v>-5508.78</v>
      </c>
      <c r="G90" s="18" t="n">
        <v>-4280.339999999999</v>
      </c>
      <c r="H90" s="18" t="n">
        <v>-3254.25</v>
      </c>
      <c r="I90" s="18" t="n">
        <v>-1856.43</v>
      </c>
      <c r="J90" s="18" t="n">
        <v>-6950.940000000001</v>
      </c>
      <c r="K90" s="18" t="n">
        <v>-4994.450000000001</v>
      </c>
      <c r="L90" s="18" t="n">
        <v>-5308.799999999999</v>
      </c>
      <c r="M90" s="18" t="n">
        <v>-4477.679999999999</v>
      </c>
      <c r="N90" s="8" t="n"/>
      <c r="O90" s="60">
        <f>-SUMIF('XHDN TB'!$T:$T,'HDN P&amp;L'!$A90,'XHDN TB'!C:C)</f>
        <v/>
      </c>
      <c r="P90" s="60">
        <f>-SUMIF('XHDN TB'!$T:$T,'HDN P&amp;L'!$A90,'XHDN TB'!D:D)</f>
        <v/>
      </c>
      <c r="Q90" s="60">
        <f>-SUMIF('XHDN TB'!$T:$T,'HDN P&amp;L'!$A90,'XHDN TB'!E:E)</f>
        <v/>
      </c>
      <c r="R90" s="60">
        <f>-SUMIF('XHDN TB'!$T:$T,'HDN P&amp;L'!$A90,'XHDN TB'!F:F)</f>
        <v/>
      </c>
      <c r="S90" s="60">
        <f>-SUMIF('XHDN TB'!$T:$T,'HDN P&amp;L'!$A90,'XHDN TB'!G:G)</f>
        <v/>
      </c>
      <c r="T90" s="60">
        <f>-SUMIF('XHDN TB'!$T:$T,'HDN P&amp;L'!$A90,'XHDN TB'!H:H)</f>
        <v/>
      </c>
      <c r="U90" s="60">
        <f>-SUMIF('XHDN TB'!$T:$T,'HDN P&amp;L'!$A90,'XHDN TB'!I:I)</f>
        <v/>
      </c>
      <c r="V90" s="60">
        <f>-SUMIF('XHDN TB'!$T:$T,'HDN P&amp;L'!$A90,'XHDN TB'!J:J)</f>
        <v/>
      </c>
      <c r="W90" s="60">
        <f>-SUMIF('XHDN TB'!$T:$T,'HDN P&amp;L'!$A90,'XHDN TB'!K:K)</f>
        <v/>
      </c>
      <c r="X90" s="60">
        <f>-SUMIF('XHDN TB'!$T:$T,'HDN P&amp;L'!$A90,'XHDN TB'!L:L)</f>
        <v/>
      </c>
      <c r="Y90" s="60">
        <f>-SUMIF('XHDN TB'!$T:$T,'HDN P&amp;L'!$A90,'XHDN TB'!M:M)</f>
        <v/>
      </c>
      <c r="Z90" s="60">
        <f>-SUMIF('XHDN TB'!$T:$T,'HDN P&amp;L'!$A90,'XHDN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148" t="n">
        <v>0</v>
      </c>
      <c r="AJ90" s="148" t="n">
        <v>0</v>
      </c>
      <c r="AK90" s="148" t="n">
        <v>0</v>
      </c>
      <c r="AL90" s="148" t="n">
        <v>0</v>
      </c>
      <c r="AM90" s="148" t="n">
        <v>0</v>
      </c>
      <c r="AN90" s="148" t="n">
        <v>0</v>
      </c>
      <c r="AO90" s="149">
        <f>SUM(AC90:AH90)+SUM(AI90:AN90)</f>
        <v/>
      </c>
      <c r="AP90" s="145">
        <f>IF(AB90&lt;&gt;0,(AO90-AB90)/ABS(AB90),0)</f>
        <v/>
      </c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-SUMIF('XHDN TB'!$T:$T,'HDN P&amp;L'!$A91,'XHDN TB'!C:C)</f>
        <v/>
      </c>
      <c r="P91" s="60">
        <f>-SUMIF('XHDN TB'!$T:$T,'HDN P&amp;L'!$A91,'XHDN TB'!D:D)</f>
        <v/>
      </c>
      <c r="Q91" s="60">
        <f>-SUMIF('XHDN TB'!$T:$T,'HDN P&amp;L'!$A91,'XHDN TB'!E:E)</f>
        <v/>
      </c>
      <c r="R91" s="60">
        <f>-SUMIF('XHDN TB'!$T:$T,'HDN P&amp;L'!$A91,'XHDN TB'!F:F)</f>
        <v/>
      </c>
      <c r="S91" s="60">
        <f>-SUMIF('XHDN TB'!$T:$T,'HDN P&amp;L'!$A91,'XHDN TB'!G:G)</f>
        <v/>
      </c>
      <c r="T91" s="60">
        <f>-SUMIF('XHDN TB'!$T:$T,'HDN P&amp;L'!$A91,'XHDN TB'!H:H)</f>
        <v/>
      </c>
      <c r="U91" s="60">
        <f>-SUMIF('XHDN TB'!$T:$T,'HDN P&amp;L'!$A91,'XHDN TB'!I:I)</f>
        <v/>
      </c>
      <c r="V91" s="60">
        <f>-SUMIF('XHDN TB'!$T:$T,'HDN P&amp;L'!$A91,'XHDN TB'!J:J)</f>
        <v/>
      </c>
      <c r="W91" s="60">
        <f>-SUMIF('XHDN TB'!$T:$T,'HDN P&amp;L'!$A91,'XHDN TB'!K:K)</f>
        <v/>
      </c>
      <c r="X91" s="60">
        <f>-SUMIF('XHDN TB'!$T:$T,'HDN P&amp;L'!$A91,'XHDN TB'!L:L)</f>
        <v/>
      </c>
      <c r="Y91" s="60">
        <f>-SUMIF('XHDN TB'!$T:$T,'HDN P&amp;L'!$A91,'XHDN TB'!M:M)</f>
        <v/>
      </c>
      <c r="Z91" s="60">
        <f>-SUMIF('XHDN TB'!$T:$T,'HDN P&amp;L'!$A91,'XHDN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48" t="n">
        <v>0</v>
      </c>
      <c r="AJ91" s="148" t="n">
        <v>0</v>
      </c>
      <c r="AK91" s="148" t="n">
        <v>0</v>
      </c>
      <c r="AL91" s="148" t="n">
        <v>0</v>
      </c>
      <c r="AM91" s="148" t="n">
        <v>0</v>
      </c>
      <c r="AN91" s="148" t="n">
        <v>0</v>
      </c>
      <c r="AO91" s="149">
        <f>SUM(AC91:AH91)+SUM(AI91:AN91)</f>
        <v/>
      </c>
      <c r="AP91" s="145">
        <f>IF(AB91&lt;&gt;0,(AO91-AB91)/ABS(AB91),0)</f>
        <v/>
      </c>
    </row>
    <row r="92">
      <c r="A92" s="60" t="inlineStr">
        <is>
          <t>In-Direct - Overheads</t>
        </is>
      </c>
      <c r="B92" s="18" t="n">
        <v>-433.37</v>
      </c>
      <c r="C92" s="18" t="n">
        <v>-362.91</v>
      </c>
      <c r="D92" s="18" t="n">
        <v>-422.57</v>
      </c>
      <c r="E92" s="18" t="n">
        <v>-352.04</v>
      </c>
      <c r="F92" s="18" t="n">
        <v>-219.86</v>
      </c>
      <c r="G92" s="18" t="n">
        <v>-372.15</v>
      </c>
      <c r="H92" s="18" t="n">
        <v>-300.37</v>
      </c>
      <c r="I92" s="18" t="n">
        <v>-345.66</v>
      </c>
      <c r="J92" s="18" t="n">
        <v>-327.76</v>
      </c>
      <c r="K92" s="18" t="n">
        <v>-597.1900000000001</v>
      </c>
      <c r="L92" s="18" t="n">
        <v>-559.28</v>
      </c>
      <c r="M92" s="18" t="n">
        <v>-536.1200000000001</v>
      </c>
      <c r="N92" s="8" t="n"/>
      <c r="O92" s="60">
        <f>-SUMIF('XHDN TB'!$T:$T,'HDN P&amp;L'!$A92,'XHDN TB'!C:C)</f>
        <v/>
      </c>
      <c r="P92" s="60">
        <f>-SUMIF('XHDN TB'!$T:$T,'HDN P&amp;L'!$A92,'XHDN TB'!D:D)</f>
        <v/>
      </c>
      <c r="Q92" s="60">
        <f>-SUMIF('XHDN TB'!$T:$T,'HDN P&amp;L'!$A92,'XHDN TB'!E:E)</f>
        <v/>
      </c>
      <c r="R92" s="60">
        <f>-SUMIF('XHDN TB'!$T:$T,'HDN P&amp;L'!$A92,'XHDN TB'!F:F)</f>
        <v/>
      </c>
      <c r="S92" s="60">
        <f>-SUMIF('XHDN TB'!$T:$T,'HDN P&amp;L'!$A92,'XHDN TB'!G:G)</f>
        <v/>
      </c>
      <c r="T92" s="60">
        <f>-SUMIF('XHDN TB'!$T:$T,'HDN P&amp;L'!$A92,'XHDN TB'!H:H)</f>
        <v/>
      </c>
      <c r="U92" s="60">
        <f>-SUMIF('XHDN TB'!$T:$T,'HDN P&amp;L'!$A92,'XHDN TB'!I:I)</f>
        <v/>
      </c>
      <c r="V92" s="60">
        <f>-SUMIF('XHDN TB'!$T:$T,'HDN P&amp;L'!$A92,'XHDN TB'!J:J)</f>
        <v/>
      </c>
      <c r="W92" s="60">
        <f>-SUMIF('XHDN TB'!$T:$T,'HDN P&amp;L'!$A92,'XHDN TB'!K:K)</f>
        <v/>
      </c>
      <c r="X92" s="60">
        <f>-SUMIF('XHDN TB'!$T:$T,'HDN P&amp;L'!$A92,'XHDN TB'!L:L)</f>
        <v/>
      </c>
      <c r="Y92" s="60">
        <f>-SUMIF('XHDN TB'!$T:$T,'HDN P&amp;L'!$A92,'XHDN TB'!M:M)</f>
        <v/>
      </c>
      <c r="Z92" s="60">
        <f>-SUMIF('XHDN TB'!$T:$T,'HDN P&amp;L'!$A92,'XHDN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48" t="n">
        <v>0</v>
      </c>
      <c r="AJ92" s="148" t="n">
        <v>0</v>
      </c>
      <c r="AK92" s="148" t="n">
        <v>0</v>
      </c>
      <c r="AL92" s="148" t="n">
        <v>0</v>
      </c>
      <c r="AM92" s="148" t="n">
        <v>0</v>
      </c>
      <c r="AN92" s="148" t="n">
        <v>0</v>
      </c>
      <c r="AO92" s="149">
        <f>SUM(AC92:AH92)+SUM(AI92:AN92)</f>
        <v/>
      </c>
      <c r="AP92" s="145">
        <f>IF(AB92&lt;&gt;0,(AO92-AB92)/ABS(AB92),0)</f>
        <v/>
      </c>
    </row>
    <row r="93" ht="15.75" customHeight="1">
      <c r="A93" s="8" t="n"/>
      <c r="B93" s="67" t="n">
        <v>20643.53000000001</v>
      </c>
      <c r="C93" s="67" t="n">
        <v>16330.06</v>
      </c>
      <c r="D93" s="67" t="n">
        <v>30776.16</v>
      </c>
      <c r="E93" s="67" t="n">
        <v>26294.3</v>
      </c>
      <c r="F93" s="67" t="n">
        <v>18510.18</v>
      </c>
      <c r="G93" s="67" t="n">
        <v>18814.45</v>
      </c>
      <c r="H93" s="67" t="n">
        <v>44055.37</v>
      </c>
      <c r="I93" s="67" t="n">
        <v>18263.08</v>
      </c>
      <c r="J93" s="67" t="n">
        <v>6837.109999999999</v>
      </c>
      <c r="K93" s="67" t="n">
        <v>3148.43999999999</v>
      </c>
      <c r="L93" s="67" t="n">
        <v>14708.07</v>
      </c>
      <c r="M93" s="67" t="n">
        <v>-6537.449999999999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134" t="n">
        <v>0</v>
      </c>
      <c r="AJ93" s="134" t="n">
        <v>0</v>
      </c>
      <c r="AK93" s="134" t="n">
        <v>0</v>
      </c>
      <c r="AL93" s="134" t="n">
        <v>0</v>
      </c>
      <c r="AM93" s="134" t="n">
        <v>0</v>
      </c>
      <c r="AN93" s="134" t="n">
        <v>0</v>
      </c>
      <c r="AO93" s="150">
        <f>SUM(AC93:AH93)+SUM(AI93:AN93)</f>
        <v/>
      </c>
      <c r="AP93" s="145">
        <f>IF(AB93&lt;&gt;0,(AO93-AB93)/ABS(AB93),0)</f>
        <v/>
      </c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7.275957614183426e-12</v>
      </c>
      <c r="L94" s="18" t="n">
        <v>0</v>
      </c>
      <c r="M94" s="18" t="n">
        <v>32675.93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148" t="n">
        <v>0</v>
      </c>
      <c r="AJ94" s="148" t="n">
        <v>0</v>
      </c>
      <c r="AK94" s="148" t="n">
        <v>0</v>
      </c>
      <c r="AL94" s="148" t="n">
        <v>0</v>
      </c>
      <c r="AM94" s="148" t="n">
        <v>0</v>
      </c>
      <c r="AN94" s="148" t="n">
        <v>0</v>
      </c>
      <c r="AO94" s="149">
        <f>SUM(AC94:AH94)+SUM(AI94:AN94)</f>
        <v/>
      </c>
      <c r="AP94" s="145">
        <f>IF(AB94&lt;&gt;0,(AO94-AB94)/ABS(AB94),0)</f>
        <v/>
      </c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-2.91038304567337e-11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-5.456968210637569e-12</v>
      </c>
      <c r="L96" s="18" t="n">
        <v>0</v>
      </c>
      <c r="M96" s="18" t="n">
        <v>-32675.93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48" t="n">
        <v>0</v>
      </c>
      <c r="AJ96" s="148" t="n">
        <v>0</v>
      </c>
      <c r="AK96" s="148" t="n">
        <v>0</v>
      </c>
      <c r="AL96" s="148" t="n">
        <v>0</v>
      </c>
      <c r="AM96" s="148" t="n">
        <v>0</v>
      </c>
      <c r="AN96" s="148" t="n">
        <v>0</v>
      </c>
      <c r="AO96" s="149">
        <f>SUM(AC96:AH96)+SUM(AI96:AN96)</f>
        <v/>
      </c>
      <c r="AP96" s="145">
        <f>IF(AB96&lt;&gt;0,(AO96-AB96)/ABS(AB96),0)</f>
        <v/>
      </c>
    </row>
    <row r="97">
      <c r="A97" s="8" t="n"/>
      <c r="B97" s="18" t="n">
        <v>-20643.53</v>
      </c>
      <c r="C97" s="18" t="n">
        <v>-16330.06000000001</v>
      </c>
      <c r="D97" s="18" t="n">
        <v>-30776.16000000003</v>
      </c>
      <c r="E97" s="18" t="n">
        <v>-26294.29999999999</v>
      </c>
      <c r="F97" s="18" t="n">
        <v>-18510.17999999999</v>
      </c>
      <c r="G97" s="18" t="n">
        <v>-18814.45</v>
      </c>
      <c r="H97" s="18" t="n">
        <v>-44055.37</v>
      </c>
      <c r="I97" s="18" t="n">
        <v>-18263.07999999999</v>
      </c>
      <c r="J97" s="18" t="n">
        <v>-6837.109999999999</v>
      </c>
      <c r="K97" s="18" t="n">
        <v>-3148.439999999996</v>
      </c>
      <c r="L97" s="18" t="n">
        <v>-14708.06999999999</v>
      </c>
      <c r="M97" s="18" t="n">
        <v>-26138.48</v>
      </c>
      <c r="N97" s="8" t="n"/>
      <c r="O97" s="60">
        <f>SUM('XHDN TB'!C2:C43)</f>
        <v/>
      </c>
      <c r="P97" s="60">
        <f>SUM('XHDN TB'!D2:D43)</f>
        <v/>
      </c>
      <c r="Q97" s="60">
        <f>SUM('XHDN TB'!E2:E43)</f>
        <v/>
      </c>
      <c r="R97" s="60">
        <f>SUM('XHDN TB'!F2:F43)</f>
        <v/>
      </c>
      <c r="S97" s="60">
        <f>SUM('XHDN TB'!G2:G43)</f>
        <v/>
      </c>
      <c r="T97" s="60">
        <f>SUM('XHDN TB'!H2:H43)</f>
        <v/>
      </c>
      <c r="U97" s="60">
        <f>SUM('XHDN TB'!I2:I43)</f>
        <v/>
      </c>
      <c r="V97" s="60">
        <f>SUM('XHDN TB'!J2:J43)</f>
        <v/>
      </c>
      <c r="W97" s="60">
        <f>SUM('XHDN TB'!K2:K43)</f>
        <v/>
      </c>
      <c r="X97" s="60">
        <f>SUM('XHDN TB'!L2:L43)</f>
        <v/>
      </c>
      <c r="Y97" s="60">
        <f>SUM('XHDN TB'!M2:M43)</f>
        <v/>
      </c>
      <c r="Z97" s="60">
        <f>SUM('XHDN TB'!N2:N43)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148" t="n">
        <v>0</v>
      </c>
      <c r="AJ97" s="148" t="n">
        <v>0</v>
      </c>
      <c r="AK97" s="148" t="n">
        <v>0</v>
      </c>
      <c r="AL97" s="148" t="n">
        <v>0</v>
      </c>
      <c r="AM97" s="148" t="n">
        <v>0</v>
      </c>
      <c r="AN97" s="148" t="n">
        <v>0</v>
      </c>
      <c r="AO97" s="149">
        <f>SUM(AC97:AH97)+SUM(AI97:AN97)</f>
        <v/>
      </c>
      <c r="AP97" s="145">
        <f>IF(AB97&lt;&gt;0,(AO97-AB97)/ABS(AB97),0)</f>
        <v/>
      </c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Kingsclere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22870.34</v>
      </c>
      <c r="C8" s="35" t="n">
        <v>20355.4</v>
      </c>
      <c r="D8" s="35" t="n">
        <v>23704.42</v>
      </c>
      <c r="E8" s="35" t="n">
        <v>26731.27</v>
      </c>
      <c r="F8" s="35" t="n">
        <v>24249.3</v>
      </c>
      <c r="G8" s="35" t="n">
        <v>26195.06</v>
      </c>
      <c r="H8" s="35" t="n">
        <v>34918.49</v>
      </c>
      <c r="I8" s="35" t="n">
        <v>29544.89</v>
      </c>
      <c r="J8" s="35" t="n">
        <v>19810.11</v>
      </c>
      <c r="K8" s="35" t="n">
        <v>19723.77</v>
      </c>
      <c r="L8" s="35" t="n">
        <v>17281.63</v>
      </c>
      <c r="M8" s="35" t="n">
        <v>23883.61</v>
      </c>
      <c r="N8" s="36">
        <f>SUM(B8:M8)</f>
        <v/>
      </c>
      <c r="O8" s="37" t="n">
        <v>15245.31</v>
      </c>
      <c r="P8" s="37" t="n">
        <v>15771.12</v>
      </c>
      <c r="Q8" s="37" t="n">
        <v>20469.41999999999</v>
      </c>
      <c r="R8" s="37" t="n">
        <v>22519.66</v>
      </c>
      <c r="S8" s="37" t="n">
        <v>20135.17</v>
      </c>
      <c r="T8" s="37" t="n">
        <v>22751.51</v>
      </c>
      <c r="U8" s="37" t="n">
        <v>32640.36</v>
      </c>
      <c r="V8" s="38" t="n">
        <v>30985</v>
      </c>
      <c r="W8" s="38" t="n">
        <v>25687</v>
      </c>
      <c r="X8" s="38" t="n">
        <v>23914</v>
      </c>
      <c r="Y8" s="38" t="n">
        <v>24573</v>
      </c>
      <c r="Z8" s="38" t="n">
        <v>32094</v>
      </c>
      <c r="AA8" s="36">
        <f>SUM(O8:U8)</f>
        <v/>
      </c>
      <c r="AB8" s="36">
        <f>SUM(O8:Z8)</f>
        <v/>
      </c>
      <c r="AC8" s="38" t="n">
        <v>39926.56</v>
      </c>
      <c r="AD8" s="38" t="n">
        <v>37674.64</v>
      </c>
      <c r="AE8" s="38" t="n">
        <v>44411.48</v>
      </c>
      <c r="AF8" s="38" t="n">
        <v>42605.35</v>
      </c>
      <c r="AG8" s="38" t="n">
        <v>42601.69</v>
      </c>
      <c r="AH8" s="38" t="n">
        <v>43952.64</v>
      </c>
      <c r="AI8" s="117" t="n">
        <v>43952.64</v>
      </c>
      <c r="AJ8" s="118" t="n">
        <v>43952.64</v>
      </c>
      <c r="AK8" s="118" t="n">
        <v>43952.64</v>
      </c>
      <c r="AL8" s="118" t="n">
        <v>43952.64</v>
      </c>
      <c r="AM8" s="119" t="n">
        <v>43952.64</v>
      </c>
      <c r="AN8" s="117" t="n">
        <v>43952.64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6489.72</v>
      </c>
      <c r="C9" s="35" t="n">
        <v>6489.72</v>
      </c>
      <c r="D9" s="35" t="n">
        <v>6776.320000000001</v>
      </c>
      <c r="E9" s="35" t="n">
        <v>7503.04</v>
      </c>
      <c r="F9" s="35" t="n">
        <v>7503.04</v>
      </c>
      <c r="G9" s="35" t="n">
        <v>7503.04</v>
      </c>
      <c r="H9" s="35" t="n">
        <v>15996.92</v>
      </c>
      <c r="I9" s="35" t="n">
        <v>0</v>
      </c>
      <c r="J9" s="35" t="n">
        <v>6466.01</v>
      </c>
      <c r="K9" s="35" t="n">
        <v>6466.01</v>
      </c>
      <c r="L9" s="35" t="n">
        <v>17054.35</v>
      </c>
      <c r="M9" s="35" t="n">
        <v>17215.99</v>
      </c>
      <c r="N9" s="36">
        <f>SUM(B9:M9)</f>
        <v/>
      </c>
      <c r="O9" s="37" t="n">
        <v>11761.35</v>
      </c>
      <c r="P9" s="37" t="n">
        <v>11761.35</v>
      </c>
      <c r="Q9" s="37" t="n">
        <v>14620.91</v>
      </c>
      <c r="R9" s="37" t="n">
        <v>13713.51</v>
      </c>
      <c r="S9" s="37" t="n">
        <v>13713.51</v>
      </c>
      <c r="T9" s="37" t="n">
        <v>13663.92</v>
      </c>
      <c r="U9" s="37" t="n">
        <v>13696.98</v>
      </c>
      <c r="V9" s="38" t="n"/>
      <c r="W9" s="38" t="n">
        <v>12715</v>
      </c>
      <c r="X9" s="38" t="n">
        <v>15723</v>
      </c>
      <c r="Y9" s="38" t="n">
        <v>15334</v>
      </c>
      <c r="Z9" s="38" t="n">
        <v>6695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1724.64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 t="n">
        <v>500</v>
      </c>
      <c r="P10" s="37" t="n">
        <v>0</v>
      </c>
      <c r="Q10" s="37" t="n">
        <v>0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29360.06</v>
      </c>
      <c r="C11" s="42" t="n">
        <v>26845.12</v>
      </c>
      <c r="D11" s="42" t="n">
        <v>30480.74</v>
      </c>
      <c r="E11" s="42" t="n">
        <v>34234.31</v>
      </c>
      <c r="F11" s="42" t="n">
        <v>31752.34</v>
      </c>
      <c r="G11" s="42" t="n">
        <v>33698.1</v>
      </c>
      <c r="H11" s="42" t="n">
        <v>50915.41</v>
      </c>
      <c r="I11" s="42" t="n">
        <v>31269.53</v>
      </c>
      <c r="J11" s="42" t="n">
        <v>26276.12</v>
      </c>
      <c r="K11" s="42" t="n">
        <v>26189.78</v>
      </c>
      <c r="L11" s="42" t="n">
        <v>34335.98</v>
      </c>
      <c r="M11" s="42" t="n">
        <v>41099.6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13592.8</v>
      </c>
      <c r="C16" s="35" t="n">
        <v>16596.28</v>
      </c>
      <c r="D16" s="35" t="n">
        <v>16290.85</v>
      </c>
      <c r="E16" s="35" t="n">
        <v>16097.89</v>
      </c>
      <c r="F16" s="35" t="n">
        <v>16253.33</v>
      </c>
      <c r="G16" s="35" t="n">
        <v>16542.65</v>
      </c>
      <c r="H16" s="35" t="n">
        <v>16564.15</v>
      </c>
      <c r="I16" s="35" t="n">
        <v>15091.52</v>
      </c>
      <c r="J16" s="35" t="n">
        <v>15920.49</v>
      </c>
      <c r="K16" s="35" t="n">
        <v>15616.67</v>
      </c>
      <c r="L16" s="35" t="n">
        <v>15962.02</v>
      </c>
      <c r="M16" s="35" t="n">
        <v>14849.14</v>
      </c>
      <c r="N16" s="36">
        <f>SUM(B16:M16)</f>
        <v/>
      </c>
      <c r="O16" s="37" t="n">
        <v>20041.17</v>
      </c>
      <c r="P16" s="37" t="n">
        <v>18133.19</v>
      </c>
      <c r="Q16" s="37" t="n">
        <v>15924.14</v>
      </c>
      <c r="R16" s="37" t="n">
        <v>16140.24</v>
      </c>
      <c r="S16" s="37" t="n">
        <v>15928.26</v>
      </c>
      <c r="T16" s="37" t="n">
        <v>17171.98</v>
      </c>
      <c r="U16" s="37" t="n">
        <v>16231.3</v>
      </c>
      <c r="V16" s="38" t="n">
        <v>16231.3</v>
      </c>
      <c r="W16" s="38" t="n">
        <v>16231.3</v>
      </c>
      <c r="X16" s="38" t="n">
        <v>16231.3</v>
      </c>
      <c r="Y16" s="38" t="n">
        <v>16231.3</v>
      </c>
      <c r="Z16" s="38" t="n">
        <v>16231.3</v>
      </c>
      <c r="AA16" s="36">
        <f>SUM(O16:U16)</f>
        <v/>
      </c>
      <c r="AB16" s="36">
        <f>SUM(O16:Z16)</f>
        <v/>
      </c>
      <c r="AC16" s="38" t="n">
        <v>16231.3</v>
      </c>
      <c r="AD16" s="38" t="n">
        <v>16231.3</v>
      </c>
      <c r="AE16" s="38" t="n">
        <v>16231.3</v>
      </c>
      <c r="AF16" s="38" t="n">
        <v>16231.3</v>
      </c>
      <c r="AG16" s="38" t="n">
        <v>16231.3</v>
      </c>
      <c r="AH16" s="38" t="n">
        <v>16231.3</v>
      </c>
      <c r="AI16" s="117" t="n">
        <v>16231.3</v>
      </c>
      <c r="AJ16" s="118" t="n">
        <v>16231.3</v>
      </c>
      <c r="AK16" s="118" t="n">
        <v>16231.3</v>
      </c>
      <c r="AL16" s="118" t="n">
        <v>16231.3</v>
      </c>
      <c r="AM16" s="119" t="n">
        <v>16231.3</v>
      </c>
      <c r="AN16" s="117" t="n">
        <v>16231.3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996.45</v>
      </c>
      <c r="C17" s="35" t="n">
        <v>1024.17</v>
      </c>
      <c r="D17" s="35" t="n">
        <v>1057.44</v>
      </c>
      <c r="E17" s="35" t="n">
        <v>1332.69</v>
      </c>
      <c r="F17" s="35" t="n">
        <v>1575.02</v>
      </c>
      <c r="G17" s="35" t="n">
        <v>1629.49</v>
      </c>
      <c r="H17" s="35" t="n">
        <v>1641.72</v>
      </c>
      <c r="I17" s="35" t="n">
        <v>1473.5</v>
      </c>
      <c r="J17" s="35" t="n">
        <v>1458.61</v>
      </c>
      <c r="K17" s="35" t="n">
        <v>1759.2</v>
      </c>
      <c r="L17" s="35" t="n">
        <v>1810.4</v>
      </c>
      <c r="M17" s="35" t="n">
        <v>1642.86</v>
      </c>
      <c r="N17" s="36">
        <f>SUM(B17:M17)</f>
        <v/>
      </c>
      <c r="O17" s="37" t="n">
        <v>2355.2</v>
      </c>
      <c r="P17" s="37" t="n">
        <v>2183.14</v>
      </c>
      <c r="Q17" s="37" t="n">
        <v>1783.6</v>
      </c>
      <c r="R17" s="37" t="n">
        <v>1777.72</v>
      </c>
      <c r="S17" s="37" t="n">
        <v>1615.62</v>
      </c>
      <c r="T17" s="37" t="n">
        <v>1700.15</v>
      </c>
      <c r="U17" s="37" t="n">
        <v>1608.31</v>
      </c>
      <c r="V17" s="38" t="n">
        <v>1608.31</v>
      </c>
      <c r="W17" s="38" t="n">
        <v>1608.31</v>
      </c>
      <c r="X17" s="38" t="n">
        <v>1608.31</v>
      </c>
      <c r="Y17" s="38" t="n">
        <v>1608.31</v>
      </c>
      <c r="Z17" s="38" t="n">
        <v>1608.31</v>
      </c>
      <c r="AA17" s="36">
        <f>SUM(O17:U17)</f>
        <v/>
      </c>
      <c r="AB17" s="36">
        <f>SUM(O17:Z17)</f>
        <v/>
      </c>
      <c r="AC17" s="38" t="n">
        <v>1608.31</v>
      </c>
      <c r="AD17" s="38" t="n">
        <v>1608.31</v>
      </c>
      <c r="AE17" s="38" t="n">
        <v>1608.31</v>
      </c>
      <c r="AF17" s="38" t="n">
        <v>1608.31</v>
      </c>
      <c r="AG17" s="38" t="n">
        <v>1608.31</v>
      </c>
      <c r="AH17" s="38" t="n">
        <v>1608.31</v>
      </c>
      <c r="AI17" s="117" t="n">
        <v>1608.31</v>
      </c>
      <c r="AJ17" s="118" t="n">
        <v>1608.31</v>
      </c>
      <c r="AK17" s="118" t="n">
        <v>1608.31</v>
      </c>
      <c r="AL17" s="118" t="n">
        <v>1608.31</v>
      </c>
      <c r="AM17" s="119" t="n">
        <v>1608.31</v>
      </c>
      <c r="AN17" s="117" t="n">
        <v>1608.31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245.17</v>
      </c>
      <c r="C18" s="35" t="n">
        <v>251.2</v>
      </c>
      <c r="D18" s="35" t="n">
        <v>244.04</v>
      </c>
      <c r="E18" s="35" t="n">
        <v>193.55</v>
      </c>
      <c r="F18" s="35" t="n">
        <v>236.58</v>
      </c>
      <c r="G18" s="35" t="n">
        <v>310.42</v>
      </c>
      <c r="H18" s="35" t="n">
        <v>312.87</v>
      </c>
      <c r="I18" s="35" t="n">
        <v>279.23</v>
      </c>
      <c r="J18" s="35" t="n">
        <v>273.16</v>
      </c>
      <c r="K18" s="35" t="n">
        <v>280.62</v>
      </c>
      <c r="L18" s="35" t="n">
        <v>291.55</v>
      </c>
      <c r="M18" s="35" t="n">
        <v>252.72</v>
      </c>
      <c r="N18" s="36">
        <f>SUM(B18:M18)</f>
        <v/>
      </c>
      <c r="O18" s="37" t="n">
        <v>293.1</v>
      </c>
      <c r="P18" s="37" t="n">
        <v>253.75</v>
      </c>
      <c r="Q18" s="37" t="n">
        <v>295.81</v>
      </c>
      <c r="R18" s="37" t="n">
        <v>306.68</v>
      </c>
      <c r="S18" s="37" t="n">
        <v>301.09</v>
      </c>
      <c r="T18" s="37" t="n">
        <v>321.47</v>
      </c>
      <c r="U18" s="37" t="n">
        <v>303.09</v>
      </c>
      <c r="V18" s="38" t="n">
        <v>303.09</v>
      </c>
      <c r="W18" s="38" t="n">
        <v>303.09</v>
      </c>
      <c r="X18" s="38" t="n">
        <v>303.09</v>
      </c>
      <c r="Y18" s="38" t="n">
        <v>303.09</v>
      </c>
      <c r="Z18" s="38" t="n">
        <v>303.09</v>
      </c>
      <c r="AA18" s="36">
        <f>SUM(O18:U18)</f>
        <v/>
      </c>
      <c r="AB18" s="36">
        <f>SUM(O18:Z18)</f>
        <v/>
      </c>
      <c r="AC18" s="38" t="n">
        <v>303.09</v>
      </c>
      <c r="AD18" s="38" t="n">
        <v>303.09</v>
      </c>
      <c r="AE18" s="38" t="n">
        <v>303.09</v>
      </c>
      <c r="AF18" s="38" t="n">
        <v>303.09</v>
      </c>
      <c r="AG18" s="38" t="n">
        <v>303.09</v>
      </c>
      <c r="AH18" s="38" t="n">
        <v>303.09</v>
      </c>
      <c r="AI18" s="117" t="n">
        <v>303.09</v>
      </c>
      <c r="AJ18" s="118" t="n">
        <v>303.09</v>
      </c>
      <c r="AK18" s="118" t="n">
        <v>303.09</v>
      </c>
      <c r="AL18" s="118" t="n">
        <v>303.09</v>
      </c>
      <c r="AM18" s="119" t="n">
        <v>303.09</v>
      </c>
      <c r="AN18" s="117" t="n">
        <v>303.09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50.22</v>
      </c>
      <c r="C19" s="35" t="n">
        <v>0</v>
      </c>
      <c r="D19" s="35" t="n">
        <v>0</v>
      </c>
      <c r="E19" s="35" t="n">
        <v>0</v>
      </c>
      <c r="F19" s="35" t="n">
        <v>57.3</v>
      </c>
      <c r="G19" s="35" t="n">
        <v>0</v>
      </c>
      <c r="H19" s="35" t="n">
        <v>160.14</v>
      </c>
      <c r="I19" s="35" t="n">
        <v>0</v>
      </c>
      <c r="J19" s="35" t="n">
        <v>185.22</v>
      </c>
      <c r="K19" s="35" t="n">
        <v>70.14</v>
      </c>
      <c r="L19" s="35" t="n">
        <v>28.68</v>
      </c>
      <c r="M19" s="35" t="n">
        <v>7.99</v>
      </c>
      <c r="N19" s="36">
        <f>SUM(B19:M19)</f>
        <v/>
      </c>
      <c r="O19" s="37" t="n">
        <v>116.64</v>
      </c>
      <c r="P19" s="37" t="n">
        <v>0</v>
      </c>
      <c r="Q19" s="37" t="n">
        <v>0</v>
      </c>
      <c r="R19" s="37" t="n">
        <v>0</v>
      </c>
      <c r="S19" s="37" t="n">
        <v>124.2</v>
      </c>
      <c r="T19" s="37" t="n">
        <v>27.98</v>
      </c>
      <c r="U19" s="37" t="n">
        <v>0</v>
      </c>
      <c r="V19" s="38" t="n">
        <v>50</v>
      </c>
      <c r="W19" s="38" t="n">
        <v>50</v>
      </c>
      <c r="X19" s="38" t="n">
        <v>50</v>
      </c>
      <c r="Y19" s="38" t="n">
        <v>50</v>
      </c>
      <c r="Z19" s="38" t="n">
        <v>50</v>
      </c>
      <c r="AA19" s="36">
        <f>SUM(O19:U19)</f>
        <v/>
      </c>
      <c r="AB19" s="36">
        <f>SUM(O19:Z19)</f>
        <v/>
      </c>
      <c r="AC19" s="38" t="n">
        <v>50</v>
      </c>
      <c r="AD19" s="38" t="n">
        <v>50</v>
      </c>
      <c r="AE19" s="38" t="n">
        <v>50</v>
      </c>
      <c r="AF19" s="38" t="n">
        <v>50</v>
      </c>
      <c r="AG19" s="38" t="n">
        <v>50</v>
      </c>
      <c r="AH19" s="38" t="n">
        <v>50</v>
      </c>
      <c r="AI19" s="117" t="n">
        <v>50</v>
      </c>
      <c r="AJ19" s="118" t="n">
        <v>50</v>
      </c>
      <c r="AK19" s="118" t="n">
        <v>50</v>
      </c>
      <c r="AL19" s="118" t="n">
        <v>50</v>
      </c>
      <c r="AM19" s="119" t="n">
        <v>50</v>
      </c>
      <c r="AN19" s="117" t="n">
        <v>50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56</v>
      </c>
      <c r="C20" s="35" t="n">
        <v>0</v>
      </c>
      <c r="D20" s="35" t="n">
        <v>0</v>
      </c>
      <c r="E20" s="35" t="n">
        <v>46.2</v>
      </c>
      <c r="F20" s="35" t="n">
        <v>18</v>
      </c>
      <c r="G20" s="35" t="n">
        <v>20</v>
      </c>
      <c r="H20" s="35" t="n">
        <v>0</v>
      </c>
      <c r="I20" s="35" t="n">
        <v>70.5</v>
      </c>
      <c r="J20" s="35" t="n">
        <v>0</v>
      </c>
      <c r="K20" s="35" t="n">
        <v>0</v>
      </c>
      <c r="L20" s="35" t="n">
        <v>542.9</v>
      </c>
      <c r="M20" s="35" t="n">
        <v>0</v>
      </c>
      <c r="N20" s="36">
        <f>SUM(B20:M20)</f>
        <v/>
      </c>
      <c r="O20" s="37" t="n">
        <v>0</v>
      </c>
      <c r="P20" s="37" t="n">
        <v>191.99</v>
      </c>
      <c r="Q20" s="37" t="n">
        <v>336</v>
      </c>
      <c r="R20" s="37" t="n">
        <v>0</v>
      </c>
      <c r="S20" s="37" t="n">
        <v>0</v>
      </c>
      <c r="T20" s="37" t="n">
        <v>24</v>
      </c>
      <c r="U20" s="37" t="n">
        <v>0</v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117" t="n">
        <v>50</v>
      </c>
      <c r="AJ20" s="118" t="n">
        <v>50</v>
      </c>
      <c r="AK20" s="118" t="n">
        <v>50</v>
      </c>
      <c r="AL20" s="118" t="n">
        <v>50</v>
      </c>
      <c r="AM20" s="119" t="n">
        <v>50</v>
      </c>
      <c r="AN20" s="117" t="n">
        <v>50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84.36</v>
      </c>
      <c r="C21" s="35" t="n">
        <v>530.3099999999999</v>
      </c>
      <c r="D21" s="35" t="n">
        <v>35.12</v>
      </c>
      <c r="E21" s="35" t="n">
        <v>69.5</v>
      </c>
      <c r="F21" s="35" t="n">
        <v>103.74</v>
      </c>
      <c r="G21" s="35" t="n">
        <v>23.19</v>
      </c>
      <c r="H21" s="35" t="n">
        <v>104.06</v>
      </c>
      <c r="I21" s="35" t="n">
        <v>211.05</v>
      </c>
      <c r="J21" s="35" t="n">
        <v>87.06</v>
      </c>
      <c r="K21" s="35" t="n">
        <v>323.12</v>
      </c>
      <c r="L21" s="35" t="n">
        <v>235.68</v>
      </c>
      <c r="M21" s="35" t="n">
        <v>142.07</v>
      </c>
      <c r="N21" s="36">
        <f>SUM(B21:M21)</f>
        <v/>
      </c>
      <c r="O21" s="37" t="n">
        <v>186.99</v>
      </c>
      <c r="P21" s="37" t="n">
        <v>196.28</v>
      </c>
      <c r="Q21" s="37" t="n">
        <v>26.69</v>
      </c>
      <c r="R21" s="37" t="n">
        <v>65</v>
      </c>
      <c r="S21" s="37" t="n">
        <v>48.38</v>
      </c>
      <c r="T21" s="37" t="n">
        <v>191.64</v>
      </c>
      <c r="U21" s="37" t="n">
        <v>231.86</v>
      </c>
      <c r="V21" s="38" t="n">
        <v>80</v>
      </c>
      <c r="W21" s="38" t="n">
        <v>80</v>
      </c>
      <c r="X21" s="38" t="n">
        <v>80</v>
      </c>
      <c r="Y21" s="38" t="n">
        <v>80</v>
      </c>
      <c r="Z21" s="38" t="n">
        <v>80</v>
      </c>
      <c r="AA21" s="36">
        <f>SUM(O21:U21)</f>
        <v/>
      </c>
      <c r="AB21" s="36">
        <f>SUM(O21:Z21)</f>
        <v/>
      </c>
      <c r="AC21" s="38" t="n">
        <v>80</v>
      </c>
      <c r="AD21" s="38" t="n">
        <v>80</v>
      </c>
      <c r="AE21" s="38" t="n">
        <v>80</v>
      </c>
      <c r="AF21" s="38" t="n">
        <v>80</v>
      </c>
      <c r="AG21" s="38" t="n">
        <v>80</v>
      </c>
      <c r="AH21" s="38" t="n">
        <v>80</v>
      </c>
      <c r="AI21" s="117" t="n">
        <v>80</v>
      </c>
      <c r="AJ21" s="118" t="n">
        <v>80</v>
      </c>
      <c r="AK21" s="118" t="n">
        <v>80</v>
      </c>
      <c r="AL21" s="118" t="n">
        <v>80</v>
      </c>
      <c r="AM21" s="119" t="n">
        <v>80</v>
      </c>
      <c r="AN21" s="117" t="n">
        <v>80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SUMIF('KIN TB'!$R:$R,'KIN P&amp;L'!$A22,'KIN TB'!C:C)</f>
        <v/>
      </c>
      <c r="P22" s="37">
        <f>SUMIF('KIN TB'!$R:$R,'KIN P&amp;L'!$A22,'KIN TB'!D:D)</f>
        <v/>
      </c>
      <c r="Q22" s="37">
        <f>SUMIF('KIN TB'!$R:$R,'KIN P&amp;L'!$A22,'KIN TB'!E:E)</f>
        <v/>
      </c>
      <c r="R22" s="37">
        <f>SUMIF('KIN TB'!$R:$R,'KIN P&amp;L'!$A22,'KIN TB'!F:F)</f>
        <v/>
      </c>
      <c r="S22" s="37">
        <f>SUMIF('KIN TB'!$R:$R,'KIN P&amp;L'!$A22,'KIN TB'!G:G)</f>
        <v/>
      </c>
      <c r="T22" s="37">
        <f>SUMIF('KIN TB'!$R:$R,'KIN P&amp;L'!$A22,'KIN TB'!H:H)</f>
        <v/>
      </c>
      <c r="U22" s="37">
        <f>SUMIF('KIN TB'!$R:$R,'KIN P&amp;L'!$A22,'KIN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13.9</v>
      </c>
      <c r="I23" s="35" t="n">
        <v>55.46</v>
      </c>
      <c r="J23" s="35" t="n">
        <v>0</v>
      </c>
      <c r="K23" s="35" t="n">
        <v>0</v>
      </c>
      <c r="L23" s="35" t="n">
        <v>72.23999999999999</v>
      </c>
      <c r="M23" s="35" t="n">
        <v>0</v>
      </c>
      <c r="N23" s="36">
        <f>SUM(B23:M23)</f>
        <v/>
      </c>
      <c r="O23" s="37" t="n">
        <v>75.96000000000001</v>
      </c>
      <c r="P23" s="37" t="n">
        <v>51.55</v>
      </c>
      <c r="Q23" s="37" t="n">
        <v>37.88</v>
      </c>
      <c r="R23" s="37" t="n">
        <v>3.99</v>
      </c>
      <c r="S23" s="37" t="n">
        <v>0</v>
      </c>
      <c r="T23" s="37" t="n">
        <v>0</v>
      </c>
      <c r="U23" s="37" t="n">
        <v>82.06</v>
      </c>
      <c r="V23" s="38" t="n">
        <v>33</v>
      </c>
      <c r="W23" s="38" t="n">
        <v>33</v>
      </c>
      <c r="X23" s="38" t="n">
        <v>33</v>
      </c>
      <c r="Y23" s="38" t="n">
        <v>33</v>
      </c>
      <c r="Z23" s="38" t="n">
        <v>33</v>
      </c>
      <c r="AA23" s="36">
        <f>SUM(O23:U23)</f>
        <v/>
      </c>
      <c r="AB23" s="36">
        <f>SUM(O23:Z23)</f>
        <v/>
      </c>
      <c r="AC23" s="38" t="n">
        <v>33</v>
      </c>
      <c r="AD23" s="38" t="n">
        <v>33</v>
      </c>
      <c r="AE23" s="38" t="n">
        <v>33</v>
      </c>
      <c r="AF23" s="38" t="n">
        <v>33</v>
      </c>
      <c r="AG23" s="38" t="n">
        <v>33</v>
      </c>
      <c r="AH23" s="38" t="n">
        <v>33</v>
      </c>
      <c r="AI23" s="117" t="n">
        <v>33</v>
      </c>
      <c r="AJ23" s="118" t="n">
        <v>33</v>
      </c>
      <c r="AK23" s="118" t="n">
        <v>33</v>
      </c>
      <c r="AL23" s="118" t="n">
        <v>33</v>
      </c>
      <c r="AM23" s="119" t="n">
        <v>33</v>
      </c>
      <c r="AN23" s="117" t="n">
        <v>33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1410.72</v>
      </c>
      <c r="K24" s="35" t="n">
        <v>483.23</v>
      </c>
      <c r="L24" s="35" t="n">
        <v>0</v>
      </c>
      <c r="M24" s="35" t="n">
        <v>0</v>
      </c>
      <c r="N24" s="36">
        <f>SUM(B24:M24)</f>
        <v/>
      </c>
      <c r="O24" s="37">
        <f>SUMIF('KIN TB'!$R:$R,'KIN P&amp;L'!$A24,'KIN TB'!C:C)</f>
        <v/>
      </c>
      <c r="P24" s="37">
        <f>SUMIF('KIN TB'!$R:$R,'KIN P&amp;L'!$A24,'KIN TB'!D:D)</f>
        <v/>
      </c>
      <c r="Q24" s="37">
        <f>SUMIF('KIN TB'!$R:$R,'KIN P&amp;L'!$A24,'KIN TB'!E:E)</f>
        <v/>
      </c>
      <c r="R24" s="37">
        <f>SUMIF('KIN TB'!$R:$R,'KIN P&amp;L'!$A24,'KIN TB'!F:F)</f>
        <v/>
      </c>
      <c r="S24" s="37">
        <f>SUMIF('KIN TB'!$R:$R,'KIN P&amp;L'!$A24,'KIN TB'!G:G)</f>
        <v/>
      </c>
      <c r="T24" s="37">
        <f>SUMIF('KIN TB'!$R:$R,'KIN P&amp;L'!$A24,'KIN TB'!H:H)</f>
        <v/>
      </c>
      <c r="U24" s="37">
        <f>SUMIF('KIN TB'!$R:$R,'KIN P&amp;L'!$A24,'KIN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15025</v>
      </c>
      <c r="C25" s="42" t="n">
        <v>18401.96</v>
      </c>
      <c r="D25" s="42" t="n">
        <v>17627.45</v>
      </c>
      <c r="E25" s="42" t="n">
        <v>17739.83</v>
      </c>
      <c r="F25" s="42" t="n">
        <v>18243.97</v>
      </c>
      <c r="G25" s="42" t="n">
        <v>18525.75</v>
      </c>
      <c r="H25" s="42" t="n">
        <v>18796.84</v>
      </c>
      <c r="I25" s="42" t="n">
        <v>17181.26</v>
      </c>
      <c r="J25" s="42" t="n">
        <v>19335.26</v>
      </c>
      <c r="K25" s="42" t="n">
        <v>18532.98</v>
      </c>
      <c r="L25" s="42" t="n">
        <v>18943.47</v>
      </c>
      <c r="M25" s="42" t="n">
        <v>16894.78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 t="n"/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871.84</v>
      </c>
      <c r="C27" s="35" t="n">
        <v>1119.88</v>
      </c>
      <c r="D27" s="35" t="n">
        <v>883.4</v>
      </c>
      <c r="E27" s="35" t="n">
        <v>772.98</v>
      </c>
      <c r="F27" s="35" t="n">
        <v>885.8099999999999</v>
      </c>
      <c r="G27" s="35" t="n">
        <v>1206.2</v>
      </c>
      <c r="H27" s="35" t="n">
        <v>1152.02</v>
      </c>
      <c r="I27" s="35" t="n">
        <v>1021.21</v>
      </c>
      <c r="J27" s="35" t="n">
        <v>906.02</v>
      </c>
      <c r="K27" s="35" t="n">
        <v>1197.66</v>
      </c>
      <c r="L27" s="35" t="n">
        <v>867.37</v>
      </c>
      <c r="M27" s="35" t="n">
        <v>895.21</v>
      </c>
      <c r="N27" s="36">
        <f>SUM(B27:M27)</f>
        <v/>
      </c>
      <c r="O27" s="37" t="n">
        <v>869.5599999999999</v>
      </c>
      <c r="P27" s="37" t="n">
        <v>1160.27</v>
      </c>
      <c r="Q27" s="37" t="n">
        <v>913.08</v>
      </c>
      <c r="R27" s="37" t="n">
        <v>1206.8</v>
      </c>
      <c r="S27" s="37" t="n">
        <v>1861.79</v>
      </c>
      <c r="T27" s="37" t="n">
        <v>1094.42</v>
      </c>
      <c r="U27" s="37" t="n">
        <v>1315.06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67.66</v>
      </c>
      <c r="C28" s="35" t="n">
        <v>15.5</v>
      </c>
      <c r="D28" s="35" t="n">
        <v>101.01</v>
      </c>
      <c r="E28" s="35" t="n">
        <v>148.99</v>
      </c>
      <c r="F28" s="35" t="n">
        <v>199.49</v>
      </c>
      <c r="G28" s="35" t="n">
        <v>26.91</v>
      </c>
      <c r="H28" s="35" t="n">
        <v>73.44</v>
      </c>
      <c r="I28" s="35" t="n">
        <v>738</v>
      </c>
      <c r="J28" s="35" t="n">
        <v>21.8</v>
      </c>
      <c r="K28" s="35" t="n">
        <v>28.47</v>
      </c>
      <c r="L28" s="35" t="n">
        <v>0</v>
      </c>
      <c r="M28" s="35" t="n">
        <v>113.69</v>
      </c>
      <c r="N28" s="36">
        <f>SUM(B28:M28)</f>
        <v/>
      </c>
      <c r="O28" s="37" t="n">
        <v>0</v>
      </c>
      <c r="P28" s="37" t="n">
        <v>260.81</v>
      </c>
      <c r="Q28" s="37" t="n">
        <v>38.98</v>
      </c>
      <c r="R28" s="37" t="n">
        <v>69.72999999999999</v>
      </c>
      <c r="S28" s="37" t="n">
        <v>77.25999999999999</v>
      </c>
      <c r="T28" s="37" t="n">
        <v>44.32</v>
      </c>
      <c r="U28" s="37" t="n">
        <v>57.69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7" t="n">
        <v>50</v>
      </c>
      <c r="AJ28" s="118" t="n">
        <v>50</v>
      </c>
      <c r="AK28" s="118" t="n">
        <v>50</v>
      </c>
      <c r="AL28" s="118" t="n">
        <v>50</v>
      </c>
      <c r="AM28" s="119" t="n">
        <v>50</v>
      </c>
      <c r="AN28" s="117" t="n">
        <v>50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124.79</v>
      </c>
      <c r="C29" s="35" t="n">
        <v>116.31</v>
      </c>
      <c r="D29" s="35" t="n">
        <v>123.91</v>
      </c>
      <c r="E29" s="35" t="n">
        <v>60.02</v>
      </c>
      <c r="F29" s="35" t="n">
        <v>69.12</v>
      </c>
      <c r="G29" s="35" t="n">
        <v>80.59</v>
      </c>
      <c r="H29" s="35" t="n">
        <v>17.78</v>
      </c>
      <c r="I29" s="35" t="n">
        <v>117.92</v>
      </c>
      <c r="J29" s="35" t="n">
        <v>19.37</v>
      </c>
      <c r="K29" s="35" t="n">
        <v>15.25</v>
      </c>
      <c r="L29" s="35" t="n">
        <v>168.9</v>
      </c>
      <c r="M29" s="35" t="n">
        <v>24.97</v>
      </c>
      <c r="N29" s="36">
        <f>SUM(B29:M29)</f>
        <v/>
      </c>
      <c r="O29" s="37" t="n">
        <v>94.07000000000001</v>
      </c>
      <c r="P29" s="37" t="n">
        <v>60.89</v>
      </c>
      <c r="Q29" s="37" t="n">
        <v>64.42999999999999</v>
      </c>
      <c r="R29" s="37" t="n">
        <v>32.94</v>
      </c>
      <c r="S29" s="37" t="n">
        <v>8.48</v>
      </c>
      <c r="T29" s="37" t="n">
        <v>333.48</v>
      </c>
      <c r="U29" s="37" t="n">
        <v>27.94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36.35</v>
      </c>
      <c r="C30" s="35" t="n">
        <v>28.59</v>
      </c>
      <c r="D30" s="35" t="n">
        <v>0</v>
      </c>
      <c r="E30" s="35" t="n">
        <v>16.15</v>
      </c>
      <c r="F30" s="35" t="n">
        <v>21.12</v>
      </c>
      <c r="G30" s="35" t="n">
        <v>0</v>
      </c>
      <c r="H30" s="35" t="n">
        <v>14.52</v>
      </c>
      <c r="I30" s="35" t="n">
        <v>18.44</v>
      </c>
      <c r="J30" s="35" t="n">
        <v>7.88</v>
      </c>
      <c r="K30" s="35" t="n">
        <v>0</v>
      </c>
      <c r="L30" s="35" t="n">
        <v>4.99</v>
      </c>
      <c r="M30" s="35" t="n">
        <v>57.13</v>
      </c>
      <c r="N30" s="36">
        <f>SUM(B30:M30)</f>
        <v/>
      </c>
      <c r="O30" s="37" t="n">
        <v>60.4</v>
      </c>
      <c r="P30" s="37" t="n">
        <v>7.69</v>
      </c>
      <c r="Q30" s="37" t="n">
        <v>0</v>
      </c>
      <c r="R30" s="37" t="n">
        <v>24.32</v>
      </c>
      <c r="S30" s="37" t="n">
        <v>0</v>
      </c>
      <c r="T30" s="37" t="n">
        <v>0</v>
      </c>
      <c r="U30" s="37" t="n">
        <v>0</v>
      </c>
      <c r="V30" s="38" t="n">
        <v>75</v>
      </c>
      <c r="W30" s="38" t="n">
        <v>75</v>
      </c>
      <c r="X30" s="38" t="n">
        <v>75</v>
      </c>
      <c r="Y30" s="38" t="n">
        <v>75</v>
      </c>
      <c r="Z30" s="38" t="n">
        <v>75</v>
      </c>
      <c r="AA30" s="36">
        <f>SUM(O30:U30)</f>
        <v/>
      </c>
      <c r="AB30" s="36">
        <f>SUM(O30:Z30)</f>
        <v/>
      </c>
      <c r="AC30" s="38" t="n">
        <v>75</v>
      </c>
      <c r="AD30" s="38" t="n">
        <v>75</v>
      </c>
      <c r="AE30" s="38" t="n">
        <v>75</v>
      </c>
      <c r="AF30" s="38" t="n">
        <v>75</v>
      </c>
      <c r="AG30" s="38" t="n">
        <v>75</v>
      </c>
      <c r="AH30" s="38" t="n">
        <v>75</v>
      </c>
      <c r="AI30" s="117" t="n">
        <v>75</v>
      </c>
      <c r="AJ30" s="118" t="n">
        <v>75</v>
      </c>
      <c r="AK30" s="118" t="n">
        <v>75</v>
      </c>
      <c r="AL30" s="118" t="n">
        <v>75</v>
      </c>
      <c r="AM30" s="119" t="n">
        <v>75</v>
      </c>
      <c r="AN30" s="117" t="n">
        <v>75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37.02</v>
      </c>
      <c r="C31" s="35" t="n">
        <v>112.99</v>
      </c>
      <c r="D31" s="35" t="n">
        <v>13.99</v>
      </c>
      <c r="E31" s="35" t="n">
        <v>53.88</v>
      </c>
      <c r="F31" s="35" t="n">
        <v>650.1800000000001</v>
      </c>
      <c r="G31" s="35" t="n">
        <v>57.55</v>
      </c>
      <c r="H31" s="35" t="n">
        <v>14.48</v>
      </c>
      <c r="I31" s="35" t="n">
        <v>16</v>
      </c>
      <c r="J31" s="35" t="n">
        <v>121.89</v>
      </c>
      <c r="K31" s="35" t="n">
        <v>116.71</v>
      </c>
      <c r="L31" s="35" t="n">
        <v>84.96000000000001</v>
      </c>
      <c r="M31" s="35" t="n">
        <v>51.93</v>
      </c>
      <c r="N31" s="36">
        <f>SUM(B31:M31)</f>
        <v/>
      </c>
      <c r="O31" s="37" t="n">
        <v>40.43</v>
      </c>
      <c r="P31" s="37" t="n">
        <v>0</v>
      </c>
      <c r="Q31" s="37" t="n">
        <v>0</v>
      </c>
      <c r="R31" s="37" t="n">
        <v>171.31</v>
      </c>
      <c r="S31" s="37" t="n">
        <v>0</v>
      </c>
      <c r="T31" s="37" t="n">
        <v>54.31</v>
      </c>
      <c r="U31" s="37" t="n">
        <v>78.27000000000001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7" t="n">
        <v>50</v>
      </c>
      <c r="AJ31" s="118" t="n">
        <v>50</v>
      </c>
      <c r="AK31" s="118" t="n">
        <v>50</v>
      </c>
      <c r="AL31" s="118" t="n">
        <v>50</v>
      </c>
      <c r="AM31" s="119" t="n">
        <v>50</v>
      </c>
      <c r="AN31" s="117" t="n">
        <v>50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135.4</v>
      </c>
      <c r="C32" s="35" t="n">
        <v>97.50999999999999</v>
      </c>
      <c r="D32" s="35" t="n">
        <v>105.56</v>
      </c>
      <c r="E32" s="35" t="n">
        <v>101.9</v>
      </c>
      <c r="F32" s="35" t="n">
        <v>34.62</v>
      </c>
      <c r="G32" s="35" t="n">
        <v>0</v>
      </c>
      <c r="H32" s="35" t="n">
        <v>159.02</v>
      </c>
      <c r="I32" s="35" t="n">
        <v>147.67</v>
      </c>
      <c r="J32" s="35" t="n">
        <v>116.18</v>
      </c>
      <c r="K32" s="35" t="n">
        <v>77.15000000000001</v>
      </c>
      <c r="L32" s="35" t="n">
        <v>76.42</v>
      </c>
      <c r="M32" s="35" t="n">
        <v>23.18</v>
      </c>
      <c r="N32" s="36">
        <f>SUM(B32:M32)</f>
        <v/>
      </c>
      <c r="O32" s="37" t="n">
        <v>77.58</v>
      </c>
      <c r="P32" s="37" t="n">
        <v>87.23</v>
      </c>
      <c r="Q32" s="37" t="n">
        <v>115.59</v>
      </c>
      <c r="R32" s="37" t="n">
        <v>129.41</v>
      </c>
      <c r="S32" s="37" t="n">
        <v>308.1199999999999</v>
      </c>
      <c r="T32" s="37" t="n">
        <v>279.57</v>
      </c>
      <c r="U32" s="37" t="n">
        <v>251.68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SUMIF('KIN TB'!$R:$R,'KIN P&amp;L'!$A33,'KIN TB'!C:C)</f>
        <v/>
      </c>
      <c r="P33" s="37">
        <f>SUMIF('KIN TB'!$R:$R,'KIN P&amp;L'!$A33,'KIN TB'!D:D)</f>
        <v/>
      </c>
      <c r="Q33" s="37">
        <f>SUMIF('KIN TB'!$R:$R,'KIN P&amp;L'!$A33,'KIN TB'!E:E)</f>
        <v/>
      </c>
      <c r="R33" s="37">
        <f>SUMIF('KIN TB'!$R:$R,'KIN P&amp;L'!$A33,'KIN TB'!F:F)</f>
        <v/>
      </c>
      <c r="S33" s="37">
        <f>SUMIF('KIN TB'!$R:$R,'KIN P&amp;L'!$A33,'KIN TB'!G:G)</f>
        <v/>
      </c>
      <c r="T33" s="37">
        <f>SUMIF('KIN TB'!$R:$R,'KIN P&amp;L'!$A33,'KIN TB'!H:H)</f>
        <v/>
      </c>
      <c r="U33" s="37">
        <f>SUMIF('KIN TB'!$R:$R,'KIN P&amp;L'!$A33,'KIN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1273.06</v>
      </c>
      <c r="C34" s="42" t="n">
        <v>1490.78</v>
      </c>
      <c r="D34" s="42" t="n">
        <v>1227.87</v>
      </c>
      <c r="E34" s="42" t="n">
        <v>1153.92</v>
      </c>
      <c r="F34" s="42" t="n">
        <v>1860.34</v>
      </c>
      <c r="G34" s="42" t="n">
        <v>1371.25</v>
      </c>
      <c r="H34" s="42" t="n">
        <v>1431.26</v>
      </c>
      <c r="I34" s="42" t="n">
        <v>2059.24</v>
      </c>
      <c r="J34" s="42" t="n">
        <v>1193.14</v>
      </c>
      <c r="K34" s="42" t="n">
        <v>1435.24</v>
      </c>
      <c r="L34" s="42" t="n">
        <v>1202.64</v>
      </c>
      <c r="M34" s="42" t="n">
        <v>1166.11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SUMIF('KIN TB'!$R:$R,'KIN P&amp;L'!$A36,'KIN TB'!C:C)</f>
        <v/>
      </c>
      <c r="P36" s="37">
        <f>SUMIF('KIN TB'!$R:$R,'KIN P&amp;L'!$A36,'KIN TB'!D:D)</f>
        <v/>
      </c>
      <c r="Q36" s="37">
        <f>SUMIF('KIN TB'!$R:$R,'KIN P&amp;L'!$A36,'KIN TB'!E:E)</f>
        <v/>
      </c>
      <c r="R36" s="37">
        <f>SUMIF('KIN TB'!$R:$R,'KIN P&amp;L'!$A36,'KIN TB'!F:F)</f>
        <v/>
      </c>
      <c r="S36" s="37">
        <f>SUMIF('KIN TB'!$R:$R,'KIN P&amp;L'!$A36,'KIN TB'!G:G)</f>
        <v/>
      </c>
      <c r="T36" s="37">
        <f>SUMIF('KIN TB'!$R:$R,'KIN P&amp;L'!$A36,'KIN TB'!H:H)</f>
        <v/>
      </c>
      <c r="U36" s="37">
        <f>SUMIF('KIN TB'!$R:$R,'KIN P&amp;L'!$A36,'KIN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758.9</v>
      </c>
      <c r="C37" s="35" t="n">
        <v>758.9</v>
      </c>
      <c r="D37" s="35" t="n">
        <v>758.9</v>
      </c>
      <c r="E37" s="35" t="n">
        <v>758.9</v>
      </c>
      <c r="F37" s="35" t="n">
        <v>758.9</v>
      </c>
      <c r="G37" s="35" t="n">
        <v>758.9</v>
      </c>
      <c r="H37" s="35" t="n">
        <v>758.9</v>
      </c>
      <c r="I37" s="35" t="n">
        <v>758.9</v>
      </c>
      <c r="J37" s="35" t="n">
        <v>758.9</v>
      </c>
      <c r="K37" s="35" t="n">
        <v>758.9</v>
      </c>
      <c r="L37" s="35" t="n">
        <v>758.9</v>
      </c>
      <c r="M37" s="35" t="n">
        <v>758.9</v>
      </c>
      <c r="N37" s="36">
        <f>SUM(B37:M37)</f>
        <v/>
      </c>
      <c r="O37" s="37" t="n">
        <v>758.89</v>
      </c>
      <c r="P37" s="37" t="n">
        <v>758.88</v>
      </c>
      <c r="Q37" s="37" t="n">
        <v>758.88</v>
      </c>
      <c r="R37" s="37" t="n">
        <v>681.42</v>
      </c>
      <c r="S37" s="37" t="n">
        <v>681.42</v>
      </c>
      <c r="T37" s="37" t="n">
        <v>681.42</v>
      </c>
      <c r="U37" s="37" t="n">
        <v>681.42</v>
      </c>
      <c r="V37" s="38" t="n">
        <v>682</v>
      </c>
      <c r="W37" s="38" t="n">
        <v>682</v>
      </c>
      <c r="X37" s="38" t="n">
        <v>682</v>
      </c>
      <c r="Y37" s="38" t="n">
        <v>682</v>
      </c>
      <c r="Z37" s="38" t="n">
        <v>682</v>
      </c>
      <c r="AA37" s="36">
        <f>SUM(O37:U37)</f>
        <v/>
      </c>
      <c r="AB37" s="36">
        <f>SUM(O37:Z37)</f>
        <v/>
      </c>
      <c r="AC37" s="38" t="n">
        <v>682</v>
      </c>
      <c r="AD37" s="38" t="n">
        <v>682</v>
      </c>
      <c r="AE37" s="38" t="n">
        <v>682</v>
      </c>
      <c r="AF37" s="38" t="n">
        <v>682</v>
      </c>
      <c r="AG37" s="38" t="n">
        <v>682</v>
      </c>
      <c r="AH37" s="38" t="n">
        <v>682</v>
      </c>
      <c r="AI37" s="117" t="n">
        <v>682</v>
      </c>
      <c r="AJ37" s="118" t="n">
        <v>682</v>
      </c>
      <c r="AK37" s="118" t="n">
        <v>682</v>
      </c>
      <c r="AL37" s="118" t="n">
        <v>682</v>
      </c>
      <c r="AM37" s="119" t="n">
        <v>682</v>
      </c>
      <c r="AN37" s="117" t="n">
        <v>682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872.46</v>
      </c>
      <c r="C38" s="35" t="n">
        <v>507.52</v>
      </c>
      <c r="D38" s="35" t="n">
        <v>466.58</v>
      </c>
      <c r="E38" s="35" t="n">
        <v>2967.25</v>
      </c>
      <c r="F38" s="35" t="n">
        <v>84.62</v>
      </c>
      <c r="G38" s="35" t="n">
        <v>279.5</v>
      </c>
      <c r="H38" s="35" t="n">
        <v>221.45</v>
      </c>
      <c r="I38" s="35" t="n">
        <v>960.99</v>
      </c>
      <c r="J38" s="35" t="n">
        <v>501.45</v>
      </c>
      <c r="K38" s="35" t="n">
        <v>437.86</v>
      </c>
      <c r="L38" s="35" t="n">
        <v>626.24</v>
      </c>
      <c r="M38" s="35" t="n">
        <v>739.01</v>
      </c>
      <c r="N38" s="36">
        <f>SUM(B38:M38)</f>
        <v/>
      </c>
      <c r="O38" s="37" t="n">
        <v>781.29</v>
      </c>
      <c r="P38" s="37" t="n">
        <v>896.36</v>
      </c>
      <c r="Q38" s="37" t="n">
        <v>481.44</v>
      </c>
      <c r="R38" s="37" t="n">
        <v>822.63</v>
      </c>
      <c r="S38" s="37" t="n">
        <v>608.29</v>
      </c>
      <c r="T38" s="37" t="n">
        <v>359.85</v>
      </c>
      <c r="U38" s="37" t="n">
        <v>564.25</v>
      </c>
      <c r="V38" s="38" t="n">
        <v>755</v>
      </c>
      <c r="W38" s="38" t="n">
        <v>755</v>
      </c>
      <c r="X38" s="38" t="n">
        <v>755</v>
      </c>
      <c r="Y38" s="38" t="n">
        <v>755</v>
      </c>
      <c r="Z38" s="38" t="n">
        <v>755</v>
      </c>
      <c r="AA38" s="36">
        <f>SUM(O38:U38)</f>
        <v/>
      </c>
      <c r="AB38" s="36">
        <f>SUM(O38:Z38)</f>
        <v/>
      </c>
      <c r="AC38" s="38" t="n">
        <v>755</v>
      </c>
      <c r="AD38" s="38" t="n">
        <v>755</v>
      </c>
      <c r="AE38" s="38" t="n">
        <v>755</v>
      </c>
      <c r="AF38" s="38" t="n">
        <v>755</v>
      </c>
      <c r="AG38" s="38" t="n">
        <v>755</v>
      </c>
      <c r="AH38" s="38" t="n">
        <v>755</v>
      </c>
      <c r="AI38" s="117" t="n">
        <v>755</v>
      </c>
      <c r="AJ38" s="118" t="n">
        <v>755</v>
      </c>
      <c r="AK38" s="118" t="n">
        <v>755</v>
      </c>
      <c r="AL38" s="118" t="n">
        <v>755</v>
      </c>
      <c r="AM38" s="119" t="n">
        <v>755</v>
      </c>
      <c r="AN38" s="117" t="n">
        <v>755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387.14</v>
      </c>
      <c r="C39" s="35" t="n">
        <v>108.38</v>
      </c>
      <c r="D39" s="35" t="n">
        <v>277.96</v>
      </c>
      <c r="E39" s="35" t="n">
        <v>372.75</v>
      </c>
      <c r="F39" s="35" t="n">
        <v>389.89</v>
      </c>
      <c r="G39" s="35" t="n">
        <v>0</v>
      </c>
      <c r="H39" s="35" t="n">
        <v>421.2</v>
      </c>
      <c r="I39" s="35" t="n">
        <v>252</v>
      </c>
      <c r="J39" s="35" t="n">
        <v>69.92</v>
      </c>
      <c r="K39" s="35" t="n">
        <v>0</v>
      </c>
      <c r="L39" s="35" t="n">
        <v>147.46</v>
      </c>
      <c r="M39" s="35" t="n">
        <v>108</v>
      </c>
      <c r="N39" s="36">
        <f>SUM(B39:M39)</f>
        <v/>
      </c>
      <c r="O39" s="37" t="n">
        <v>0</v>
      </c>
      <c r="P39" s="37" t="n">
        <v>0</v>
      </c>
      <c r="Q39" s="37" t="n">
        <v>33.29</v>
      </c>
      <c r="R39" s="37" t="n">
        <v>0</v>
      </c>
      <c r="S39" s="37" t="n">
        <v>0</v>
      </c>
      <c r="T39" s="37" t="n">
        <v>0</v>
      </c>
      <c r="U39" s="37" t="n">
        <v>108</v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165.33</v>
      </c>
      <c r="C40" s="35" t="n">
        <v>90.19</v>
      </c>
      <c r="D40" s="35" t="n">
        <v>168.34</v>
      </c>
      <c r="E40" s="35" t="n">
        <v>290</v>
      </c>
      <c r="F40" s="35" t="n">
        <v>234.76</v>
      </c>
      <c r="G40" s="35" t="n">
        <v>142.75</v>
      </c>
      <c r="H40" s="35" t="n">
        <v>227.02</v>
      </c>
      <c r="I40" s="35" t="n">
        <v>220.38</v>
      </c>
      <c r="J40" s="35" t="n">
        <v>109.95</v>
      </c>
      <c r="K40" s="35" t="n">
        <v>206.87</v>
      </c>
      <c r="L40" s="35" t="n">
        <v>200.81</v>
      </c>
      <c r="M40" s="35" t="n">
        <v>0</v>
      </c>
      <c r="N40" s="36">
        <f>SUM(B40:M40)</f>
        <v/>
      </c>
      <c r="O40" s="37" t="n">
        <v>247.78</v>
      </c>
      <c r="P40" s="37" t="n">
        <v>16.8</v>
      </c>
      <c r="Q40" s="37" t="n">
        <v>358.17</v>
      </c>
      <c r="R40" s="37" t="n">
        <v>7.4</v>
      </c>
      <c r="S40" s="37" t="n">
        <v>129.71</v>
      </c>
      <c r="T40" s="37" t="n">
        <v>284.27</v>
      </c>
      <c r="U40" s="37" t="n">
        <v>326.1899999999999</v>
      </c>
      <c r="V40" s="38" t="n">
        <v>185</v>
      </c>
      <c r="W40" s="38" t="n">
        <v>185</v>
      </c>
      <c r="X40" s="38" t="n">
        <v>185</v>
      </c>
      <c r="Y40" s="38" t="n">
        <v>185</v>
      </c>
      <c r="Z40" s="38" t="n">
        <v>185</v>
      </c>
      <c r="AA40" s="36">
        <f>SUM(O40:U40)</f>
        <v/>
      </c>
      <c r="AB40" s="36">
        <f>SUM(O40:Z40)</f>
        <v/>
      </c>
      <c r="AC40" s="38" t="n">
        <v>185</v>
      </c>
      <c r="AD40" s="38" t="n">
        <v>185</v>
      </c>
      <c r="AE40" s="38" t="n">
        <v>185</v>
      </c>
      <c r="AF40" s="38" t="n">
        <v>185</v>
      </c>
      <c r="AG40" s="38" t="n">
        <v>185</v>
      </c>
      <c r="AH40" s="38" t="n">
        <v>185</v>
      </c>
      <c r="AI40" s="117" t="n">
        <v>185</v>
      </c>
      <c r="AJ40" s="118" t="n">
        <v>185</v>
      </c>
      <c r="AK40" s="118" t="n">
        <v>185</v>
      </c>
      <c r="AL40" s="118" t="n">
        <v>185</v>
      </c>
      <c r="AM40" s="119" t="n">
        <v>185</v>
      </c>
      <c r="AN40" s="117" t="n">
        <v>185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403.55</v>
      </c>
      <c r="C41" s="35" t="n">
        <v>655.55</v>
      </c>
      <c r="D41" s="35" t="n">
        <v>533.88</v>
      </c>
      <c r="E41" s="35" t="n">
        <v>385.87</v>
      </c>
      <c r="F41" s="35" t="n">
        <v>337.46</v>
      </c>
      <c r="G41" s="35" t="n">
        <v>361.96</v>
      </c>
      <c r="H41" s="35" t="n">
        <v>308.55</v>
      </c>
      <c r="I41" s="35" t="n">
        <v>322.85</v>
      </c>
      <c r="J41" s="35" t="n">
        <v>483.96</v>
      </c>
      <c r="K41" s="35" t="n">
        <v>430.55</v>
      </c>
      <c r="L41" s="35" t="n">
        <v>322.85</v>
      </c>
      <c r="M41" s="35" t="n">
        <v>376.2599999999999</v>
      </c>
      <c r="N41" s="36">
        <f>SUM(B41:M41)</f>
        <v/>
      </c>
      <c r="O41" s="37" t="n">
        <v>340.84</v>
      </c>
      <c r="P41" s="37" t="n">
        <v>332.16</v>
      </c>
      <c r="Q41" s="37" t="n">
        <v>385.56</v>
      </c>
      <c r="R41" s="37" t="n">
        <v>440.2</v>
      </c>
      <c r="S41" s="37" t="n">
        <v>359.16</v>
      </c>
      <c r="T41" s="37" t="n">
        <v>250.5</v>
      </c>
      <c r="U41" s="37" t="n">
        <v>428.86</v>
      </c>
      <c r="V41" s="38" t="n">
        <v>422</v>
      </c>
      <c r="W41" s="38" t="n">
        <v>422</v>
      </c>
      <c r="X41" s="38" t="n">
        <v>422</v>
      </c>
      <c r="Y41" s="38" t="n">
        <v>422</v>
      </c>
      <c r="Z41" s="38" t="n">
        <v>422</v>
      </c>
      <c r="AA41" s="36">
        <f>SUM(O41:U41)</f>
        <v/>
      </c>
      <c r="AB41" s="36">
        <f>SUM(O41:Z41)</f>
        <v/>
      </c>
      <c r="AC41" s="38" t="n">
        <v>422</v>
      </c>
      <c r="AD41" s="38" t="n">
        <v>422</v>
      </c>
      <c r="AE41" s="38" t="n">
        <v>422</v>
      </c>
      <c r="AF41" s="38" t="n">
        <v>422</v>
      </c>
      <c r="AG41" s="38" t="n">
        <v>422</v>
      </c>
      <c r="AH41" s="38" t="n">
        <v>422</v>
      </c>
      <c r="AI41" s="117" t="n">
        <v>422</v>
      </c>
      <c r="AJ41" s="118" t="n">
        <v>422</v>
      </c>
      <c r="AK41" s="118" t="n">
        <v>422</v>
      </c>
      <c r="AL41" s="118" t="n">
        <v>422</v>
      </c>
      <c r="AM41" s="119" t="n">
        <v>422</v>
      </c>
      <c r="AN41" s="117" t="n">
        <v>422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43.45</v>
      </c>
      <c r="C42" s="35" t="n">
        <v>71.89999999999999</v>
      </c>
      <c r="D42" s="35" t="n">
        <v>34.49</v>
      </c>
      <c r="E42" s="35" t="n">
        <v>38.27</v>
      </c>
      <c r="F42" s="35" t="n">
        <v>56.39</v>
      </c>
      <c r="G42" s="35" t="n">
        <v>29.28</v>
      </c>
      <c r="H42" s="35" t="n">
        <v>17.79</v>
      </c>
      <c r="I42" s="35" t="n">
        <v>23.77</v>
      </c>
      <c r="J42" s="35" t="n">
        <v>49.73</v>
      </c>
      <c r="K42" s="35" t="n">
        <v>24.86</v>
      </c>
      <c r="L42" s="35" t="n">
        <v>23.78</v>
      </c>
      <c r="M42" s="35" t="n">
        <v>25.28</v>
      </c>
      <c r="N42" s="36">
        <f>SUM(B42:M42)</f>
        <v/>
      </c>
      <c r="O42" s="37" t="n">
        <v>57.89</v>
      </c>
      <c r="P42" s="37" t="n">
        <v>24.87</v>
      </c>
      <c r="Q42" s="37" t="n">
        <v>24.88</v>
      </c>
      <c r="R42" s="37" t="n">
        <v>25.12</v>
      </c>
      <c r="S42" s="37" t="n">
        <v>37.12</v>
      </c>
      <c r="T42" s="37" t="n">
        <v>63.19</v>
      </c>
      <c r="U42" s="37" t="n">
        <v>39.28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0</v>
      </c>
      <c r="Q43" s="37" t="n">
        <v>72</v>
      </c>
      <c r="R43" s="37" t="n">
        <v>24</v>
      </c>
      <c r="S43" s="37" t="n">
        <v>0</v>
      </c>
      <c r="T43" s="37" t="n">
        <v>0</v>
      </c>
      <c r="U43" s="37" t="n">
        <v>0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SUMIF('KIN TB'!$R:$R,'KIN P&amp;L'!$A44,'KIN TB'!C:C)</f>
        <v/>
      </c>
      <c r="P44" s="37">
        <f>SUMIF('KIN TB'!$R:$R,'KIN P&amp;L'!$A44,'KIN TB'!D:D)</f>
        <v/>
      </c>
      <c r="Q44" s="37">
        <f>SUMIF('KIN TB'!$R:$R,'KIN P&amp;L'!$A44,'KIN TB'!E:E)</f>
        <v/>
      </c>
      <c r="R44" s="37">
        <f>SUMIF('KIN TB'!$R:$R,'KIN P&amp;L'!$A44,'KIN TB'!F:F)</f>
        <v/>
      </c>
      <c r="S44" s="37">
        <f>SUMIF('KIN TB'!$R:$R,'KIN P&amp;L'!$A44,'KIN TB'!G:G)</f>
        <v/>
      </c>
      <c r="T44" s="37">
        <f>SUMIF('KIN TB'!$R:$R,'KIN P&amp;L'!$A44,'KIN TB'!H:H)</f>
        <v/>
      </c>
      <c r="U44" s="37">
        <f>SUMIF('KIN TB'!$R:$R,'KIN P&amp;L'!$A44,'KIN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7.99</v>
      </c>
      <c r="C45" s="35" t="n">
        <v>0</v>
      </c>
      <c r="D45" s="35" t="n">
        <v>143.21</v>
      </c>
      <c r="E45" s="35" t="n">
        <v>0</v>
      </c>
      <c r="F45" s="35" t="n">
        <v>0</v>
      </c>
      <c r="G45" s="35" t="n">
        <v>265</v>
      </c>
      <c r="H45" s="35" t="n">
        <v>0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48</v>
      </c>
      <c r="P45" s="37" t="n">
        <v>0</v>
      </c>
      <c r="Q45" s="37" t="n">
        <v>0</v>
      </c>
      <c r="R45" s="37" t="n">
        <v>48</v>
      </c>
      <c r="S45" s="37" t="n">
        <v>0</v>
      </c>
      <c r="T45" s="37" t="n">
        <v>220</v>
      </c>
      <c r="U45" s="37" t="n">
        <v>0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7" t="n">
        <v>100</v>
      </c>
      <c r="AJ45" s="118" t="n">
        <v>100</v>
      </c>
      <c r="AK45" s="118" t="n">
        <v>100</v>
      </c>
      <c r="AL45" s="118" t="n">
        <v>100</v>
      </c>
      <c r="AM45" s="119" t="n">
        <v>100</v>
      </c>
      <c r="AN45" s="117" t="n">
        <v>100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SUMIF('KIN TB'!$R:$R,'KIN P&amp;L'!$A46,'KIN TB'!C:C)</f>
        <v/>
      </c>
      <c r="P46" s="37">
        <f>SUMIF('KIN TB'!$R:$R,'KIN P&amp;L'!$A46,'KIN TB'!D:D)</f>
        <v/>
      </c>
      <c r="Q46" s="37">
        <f>SUMIF('KIN TB'!$R:$R,'KIN P&amp;L'!$A46,'KIN TB'!E:E)</f>
        <v/>
      </c>
      <c r="R46" s="37">
        <f>SUMIF('KIN TB'!$R:$R,'KIN P&amp;L'!$A46,'KIN TB'!F:F)</f>
        <v/>
      </c>
      <c r="S46" s="37">
        <f>SUMIF('KIN TB'!$R:$R,'KIN P&amp;L'!$A46,'KIN TB'!G:G)</f>
        <v/>
      </c>
      <c r="T46" s="37">
        <f>SUMIF('KIN TB'!$R:$R,'KIN P&amp;L'!$A46,'KIN TB'!H:H)</f>
        <v/>
      </c>
      <c r="U46" s="37">
        <f>SUMIF('KIN TB'!$R:$R,'KIN P&amp;L'!$A46,'KIN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2638.82</v>
      </c>
      <c r="C47" s="42" t="n">
        <v>2192.44</v>
      </c>
      <c r="D47" s="42" t="n">
        <v>2383.36</v>
      </c>
      <c r="E47" s="42" t="n">
        <v>4813.04</v>
      </c>
      <c r="F47" s="42" t="n">
        <v>1862.02</v>
      </c>
      <c r="G47" s="42" t="n">
        <v>1837.39</v>
      </c>
      <c r="H47" s="42" t="n">
        <v>1954.91</v>
      </c>
      <c r="I47" s="42" t="n">
        <v>2583.89</v>
      </c>
      <c r="J47" s="42" t="n">
        <v>1973.91</v>
      </c>
      <c r="K47" s="42" t="n">
        <v>1859.04</v>
      </c>
      <c r="L47" s="42" t="n">
        <v>2080.04</v>
      </c>
      <c r="M47" s="42" t="n">
        <v>2007.45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18936.88</v>
      </c>
      <c r="C48" s="23" t="n">
        <v>22085.18</v>
      </c>
      <c r="D48" s="23" t="n">
        <v>21238.68</v>
      </c>
      <c r="E48" s="23" t="n">
        <v>23706.79</v>
      </c>
      <c r="F48" s="23" t="n">
        <v>21966.33</v>
      </c>
      <c r="G48" s="23" t="n">
        <v>21734.39</v>
      </c>
      <c r="H48" s="23" t="n">
        <v>22183.01</v>
      </c>
      <c r="I48" s="23" t="n">
        <v>21824.39</v>
      </c>
      <c r="J48" s="23" t="n">
        <v>22502.31</v>
      </c>
      <c r="K48" s="23" t="n">
        <v>21827.26</v>
      </c>
      <c r="L48" s="23" t="n">
        <v>22226.15000000001</v>
      </c>
      <c r="M48" s="23" t="n">
        <v>20068.34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10423.18</v>
      </c>
      <c r="C50" s="55" t="n">
        <v>4759.940000000002</v>
      </c>
      <c r="D50" s="55" t="n">
        <v>9242.059999999998</v>
      </c>
      <c r="E50" s="55" t="n">
        <v>10527.52</v>
      </c>
      <c r="F50" s="55" t="n">
        <v>9786.009999999998</v>
      </c>
      <c r="G50" s="55" t="n">
        <v>11963.71</v>
      </c>
      <c r="H50" s="55" t="n">
        <v>28732.39999999999</v>
      </c>
      <c r="I50" s="55" t="n">
        <v>9445.139999999999</v>
      </c>
      <c r="J50" s="55" t="n">
        <v>3773.810000000001</v>
      </c>
      <c r="K50" s="55" t="n">
        <v>4362.52</v>
      </c>
      <c r="L50" s="55" t="n">
        <v>12109.82999999999</v>
      </c>
      <c r="M50" s="55" t="n">
        <v>21031.25999999999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SUMIF('KIN TB'!$R:$R,'KIN P&amp;L'!$A53,'KIN TB'!C:C)</f>
        <v/>
      </c>
      <c r="P53" s="37">
        <f>SUMIF('KIN TB'!$R:$R,'KIN P&amp;L'!$A53,'KIN TB'!D:D)</f>
        <v/>
      </c>
      <c r="Q53" s="37">
        <f>SUMIF('KIN TB'!$R:$R,'KIN P&amp;L'!$A53,'KIN TB'!E:E)</f>
        <v/>
      </c>
      <c r="R53" s="37">
        <f>SUMIF('KIN TB'!$R:$R,'KIN P&amp;L'!$A53,'KIN TB'!F:F)</f>
        <v/>
      </c>
      <c r="S53" s="37">
        <f>SUMIF('KIN TB'!$R:$R,'KIN P&amp;L'!$A53,'KIN TB'!G:G)</f>
        <v/>
      </c>
      <c r="T53" s="37">
        <f>SUMIF('KIN TB'!$R:$R,'KIN P&amp;L'!$A53,'KIN TB'!H:H)</f>
        <v/>
      </c>
      <c r="U53" s="37">
        <f>SUMIF('KIN TB'!$R:$R,'KIN P&amp;L'!$A53,'KIN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SUMIF('KIN TB'!$R:$R,'KIN P&amp;L'!$A54,'KIN TB'!C:C)</f>
        <v/>
      </c>
      <c r="P54" s="37">
        <f>SUMIF('KIN TB'!$R:$R,'KIN P&amp;L'!$A54,'KIN TB'!D:D)</f>
        <v/>
      </c>
      <c r="Q54" s="37">
        <f>SUMIF('KIN TB'!$R:$R,'KIN P&amp;L'!$A54,'KIN TB'!E:E)</f>
        <v/>
      </c>
      <c r="R54" s="37">
        <f>SUMIF('KIN TB'!$R:$R,'KIN P&amp;L'!$A54,'KIN TB'!F:F)</f>
        <v/>
      </c>
      <c r="S54" s="37">
        <f>SUMIF('KIN TB'!$R:$R,'KIN P&amp;L'!$A54,'KIN TB'!G:G)</f>
        <v/>
      </c>
      <c r="T54" s="37">
        <f>SUMIF('KIN TB'!$R:$R,'KIN P&amp;L'!$A54,'KIN TB'!H:H)</f>
        <v/>
      </c>
      <c r="U54" s="37">
        <f>SUMIF('KIN TB'!$R:$R,'KIN P&amp;L'!$A54,'KIN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SUMIF('KIN TB'!$R:$R,'KIN P&amp;L'!$A55,'KIN TB'!C:C)</f>
        <v/>
      </c>
      <c r="P55" s="37">
        <f>SUMIF('KIN TB'!$R:$R,'KIN P&amp;L'!$A55,'KIN TB'!D:D)</f>
        <v/>
      </c>
      <c r="Q55" s="37">
        <f>SUMIF('KIN TB'!$R:$R,'KIN P&amp;L'!$A55,'KIN TB'!E:E)</f>
        <v/>
      </c>
      <c r="R55" s="37">
        <f>SUMIF('KIN TB'!$R:$R,'KIN P&amp;L'!$A55,'KIN TB'!F:F)</f>
        <v/>
      </c>
      <c r="S55" s="37">
        <f>SUMIF('KIN TB'!$R:$R,'KIN P&amp;L'!$A55,'KIN TB'!G:G)</f>
        <v/>
      </c>
      <c r="T55" s="37">
        <f>SUMIF('KIN TB'!$R:$R,'KIN P&amp;L'!$A55,'KIN TB'!H:H)</f>
        <v/>
      </c>
      <c r="U55" s="37">
        <f>SUMIF('KIN TB'!$R:$R,'KIN P&amp;L'!$A55,'KIN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SUMIF('KIN TB'!$R:$R,'KIN P&amp;L'!$A56,'KIN TB'!C:C)</f>
        <v/>
      </c>
      <c r="P56" s="37">
        <f>SUMIF('KIN TB'!$R:$R,'KIN P&amp;L'!$A56,'KIN TB'!D:D)</f>
        <v/>
      </c>
      <c r="Q56" s="37">
        <f>SUMIF('KIN TB'!$R:$R,'KIN P&amp;L'!$A56,'KIN TB'!E:E)</f>
        <v/>
      </c>
      <c r="R56" s="37">
        <f>SUMIF('KIN TB'!$R:$R,'KIN P&amp;L'!$A56,'KIN TB'!F:F)</f>
        <v/>
      </c>
      <c r="S56" s="37">
        <f>SUMIF('KIN TB'!$R:$R,'KIN P&amp;L'!$A56,'KIN TB'!G:G)</f>
        <v/>
      </c>
      <c r="T56" s="37">
        <f>SUMIF('KIN TB'!$R:$R,'KIN P&amp;L'!$A56,'KIN TB'!H:H)</f>
        <v/>
      </c>
      <c r="U56" s="37">
        <f>SUMIF('KIN TB'!$R:$R,'KIN P&amp;L'!$A56,'KIN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270</v>
      </c>
      <c r="M57" s="35" t="n">
        <v>0</v>
      </c>
      <c r="N57" s="36">
        <f>SUM(B57:M57)</f>
        <v/>
      </c>
      <c r="O57" s="37">
        <f>SUMIF('KIN TB'!$R:$R,'KIN P&amp;L'!$A57,'KIN TB'!C:C)</f>
        <v/>
      </c>
      <c r="P57" s="37">
        <f>SUMIF('KIN TB'!$R:$R,'KIN P&amp;L'!$A57,'KIN TB'!D:D)</f>
        <v/>
      </c>
      <c r="Q57" s="37">
        <f>SUMIF('KIN TB'!$R:$R,'KIN P&amp;L'!$A57,'KIN TB'!E:E)</f>
        <v/>
      </c>
      <c r="R57" s="37">
        <f>SUMIF('KIN TB'!$R:$R,'KIN P&amp;L'!$A57,'KIN TB'!F:F)</f>
        <v/>
      </c>
      <c r="S57" s="37">
        <f>SUMIF('KIN TB'!$R:$R,'KIN P&amp;L'!$A57,'KIN TB'!G:G)</f>
        <v/>
      </c>
      <c r="T57" s="37">
        <f>SUMIF('KIN TB'!$R:$R,'KIN P&amp;L'!$A57,'KIN TB'!H:H)</f>
        <v/>
      </c>
      <c r="U57" s="37">
        <f>SUMIF('KIN TB'!$R:$R,'KIN P&amp;L'!$A57,'KIN TB'!I:I)</f>
        <v/>
      </c>
      <c r="V57" s="38" t="n"/>
      <c r="W57" s="38" t="n"/>
      <c r="X57" s="38" t="n"/>
      <c r="Y57" s="38" t="n"/>
      <c r="Z57" s="38">
        <f>8*30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SUMIF('KIN TB'!$R:$R,'KIN P&amp;L'!$A58,'KIN TB'!C:C)</f>
        <v/>
      </c>
      <c r="P58" s="37">
        <f>SUMIF('KIN TB'!$R:$R,'KIN P&amp;L'!$A58,'KIN TB'!D:D)</f>
        <v/>
      </c>
      <c r="Q58" s="37">
        <f>SUMIF('KIN TB'!$R:$R,'KIN P&amp;L'!$A58,'KIN TB'!E:E)</f>
        <v/>
      </c>
      <c r="R58" s="37">
        <f>SUMIF('KIN TB'!$R:$R,'KIN P&amp;L'!$A58,'KIN TB'!F:F)</f>
        <v/>
      </c>
      <c r="S58" s="37">
        <f>SUMIF('KIN TB'!$R:$R,'KIN P&amp;L'!$A58,'KIN TB'!G:G)</f>
        <v/>
      </c>
      <c r="T58" s="37">
        <f>SUMIF('KIN TB'!$R:$R,'KIN P&amp;L'!$A58,'KIN TB'!H:H)</f>
        <v/>
      </c>
      <c r="U58" s="37">
        <f>SUMIF('KIN TB'!$R:$R,'KIN P&amp;L'!$A58,'KIN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890.4000000000001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1.8</v>
      </c>
      <c r="C60" s="35" t="n">
        <v>0.6</v>
      </c>
      <c r="D60" s="35" t="n">
        <v>3.6</v>
      </c>
      <c r="E60" s="35" t="n">
        <v>0.6</v>
      </c>
      <c r="F60" s="35" t="n">
        <v>1.2</v>
      </c>
      <c r="G60" s="35" t="n">
        <v>1.8</v>
      </c>
      <c r="H60" s="35" t="n">
        <v>2.4</v>
      </c>
      <c r="I60" s="35" t="n">
        <v>2.4</v>
      </c>
      <c r="J60" s="35" t="n">
        <v>2.4</v>
      </c>
      <c r="K60" s="35" t="n">
        <v>69.39999999999999</v>
      </c>
      <c r="L60" s="35" t="n">
        <v>2.4</v>
      </c>
      <c r="M60" s="35" t="n">
        <v>2.4</v>
      </c>
      <c r="N60" s="36">
        <f>SUM(B60:M60)</f>
        <v/>
      </c>
      <c r="O60" s="37" t="n">
        <v>2.4</v>
      </c>
      <c r="P60" s="37" t="n">
        <v>9.390000000000001</v>
      </c>
      <c r="Q60" s="37" t="n">
        <v>20.38</v>
      </c>
      <c r="R60" s="37" t="n">
        <v>2.4</v>
      </c>
      <c r="S60" s="37" t="n">
        <v>4.2</v>
      </c>
      <c r="T60" s="37" t="n">
        <v>5.4</v>
      </c>
      <c r="U60" s="37" t="n">
        <v>5.4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3.25</v>
      </c>
      <c r="E61" s="35" t="n">
        <v>118.59</v>
      </c>
      <c r="F61" s="35" t="n">
        <v>48.23</v>
      </c>
      <c r="G61" s="35" t="n">
        <v>16.7</v>
      </c>
      <c r="H61" s="35" t="n">
        <v>47.99</v>
      </c>
      <c r="I61" s="35" t="n">
        <v>0</v>
      </c>
      <c r="J61" s="35" t="n">
        <v>0</v>
      </c>
      <c r="K61" s="35" t="n">
        <v>169.7</v>
      </c>
      <c r="L61" s="35" t="n">
        <v>63.97</v>
      </c>
      <c r="M61" s="35" t="n">
        <v>25.63</v>
      </c>
      <c r="N61" s="36">
        <f>SUM(B61:M61)</f>
        <v/>
      </c>
      <c r="O61" s="37">
        <f>SUMIF('KIN TB'!$R:$R,'KIN P&amp;L'!$A61,'KIN TB'!C:C)</f>
        <v/>
      </c>
      <c r="P61" s="37">
        <f>SUMIF('KIN TB'!$R:$R,'KIN P&amp;L'!$A61,'KIN TB'!D:D)</f>
        <v/>
      </c>
      <c r="Q61" s="37">
        <f>SUMIF('KIN TB'!$R:$R,'KIN P&amp;L'!$A61,'KIN TB'!E:E)</f>
        <v/>
      </c>
      <c r="R61" s="37">
        <f>SUMIF('KIN TB'!$R:$R,'KIN P&amp;L'!$A61,'KIN TB'!F:F)</f>
        <v/>
      </c>
      <c r="S61" s="37">
        <f>SUMIF('KIN TB'!$R:$R,'KIN P&amp;L'!$A61,'KIN TB'!G:G)</f>
        <v/>
      </c>
      <c r="T61" s="37">
        <f>SUMIF('KIN TB'!$R:$R,'KIN P&amp;L'!$A61,'KIN TB'!H:H)</f>
        <v/>
      </c>
      <c r="U61" s="37">
        <f>SUMIF('KIN TB'!$R:$R,'KIN P&amp;L'!$A61,'KIN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40</v>
      </c>
      <c r="D62" s="35" t="n">
        <v>0</v>
      </c>
      <c r="E62" s="35" t="n">
        <v>30</v>
      </c>
      <c r="F62" s="35" t="n">
        <v>0</v>
      </c>
      <c r="G62" s="35" t="n">
        <v>0</v>
      </c>
      <c r="H62" s="35" t="n">
        <v>71.5</v>
      </c>
      <c r="I62" s="35" t="n">
        <v>0</v>
      </c>
      <c r="J62" s="35" t="n">
        <v>18</v>
      </c>
      <c r="K62" s="35" t="n">
        <v>56</v>
      </c>
      <c r="L62" s="35" t="n">
        <v>15</v>
      </c>
      <c r="M62" s="35" t="n">
        <v>20</v>
      </c>
      <c r="N62" s="36">
        <f>SUM(B62:M62)</f>
        <v/>
      </c>
      <c r="O62" s="37" t="n">
        <v>0</v>
      </c>
      <c r="P62" s="37" t="n">
        <v>25</v>
      </c>
      <c r="Q62" s="37" t="n">
        <v>0</v>
      </c>
      <c r="R62" s="37" t="n">
        <v>60</v>
      </c>
      <c r="S62" s="37" t="n">
        <v>25</v>
      </c>
      <c r="T62" s="37" t="n">
        <v>70</v>
      </c>
      <c r="U62" s="37" t="n">
        <v>144</v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SUMIF('KIN TB'!$R:$R,'KIN P&amp;L'!$A63,'KIN TB'!C:C)</f>
        <v/>
      </c>
      <c r="P63" s="37">
        <f>SUMIF('KIN TB'!$R:$R,'KIN P&amp;L'!$A63,'KIN TB'!D:D)</f>
        <v/>
      </c>
      <c r="Q63" s="37">
        <f>SUMIF('KIN TB'!$R:$R,'KIN P&amp;L'!$A63,'KIN TB'!E:E)</f>
        <v/>
      </c>
      <c r="R63" s="37">
        <f>SUMIF('KIN TB'!$R:$R,'KIN P&amp;L'!$A63,'KIN TB'!F:F)</f>
        <v/>
      </c>
      <c r="S63" s="37">
        <f>SUMIF('KIN TB'!$R:$R,'KIN P&amp;L'!$A63,'KIN TB'!G:G)</f>
        <v/>
      </c>
      <c r="T63" s="37">
        <f>SUMIF('KIN TB'!$R:$R,'KIN P&amp;L'!$A63,'KIN TB'!H:H)</f>
        <v/>
      </c>
      <c r="U63" s="37">
        <f>SUMIF('KIN TB'!$R:$R,'KIN P&amp;L'!$A63,'KIN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SUMIF('KIN TB'!$R:$R,'KIN P&amp;L'!$A64,'KIN TB'!C:C)</f>
        <v/>
      </c>
      <c r="P64" s="37">
        <f>SUMIF('KIN TB'!$R:$R,'KIN P&amp;L'!$A64,'KIN TB'!D:D)</f>
        <v/>
      </c>
      <c r="Q64" s="37">
        <f>SUMIF('KIN TB'!$R:$R,'KIN P&amp;L'!$A64,'KIN TB'!E:E)</f>
        <v/>
      </c>
      <c r="R64" s="37">
        <f>SUMIF('KIN TB'!$R:$R,'KIN P&amp;L'!$A64,'KIN TB'!F:F)</f>
        <v/>
      </c>
      <c r="S64" s="37">
        <f>SUMIF('KIN TB'!$R:$R,'KIN P&amp;L'!$A64,'KIN TB'!G:G)</f>
        <v/>
      </c>
      <c r="T64" s="37">
        <f>SUMIF('KIN TB'!$R:$R,'KIN P&amp;L'!$A64,'KIN TB'!H:H)</f>
        <v/>
      </c>
      <c r="U64" s="37">
        <f>SUMIF('KIN TB'!$R:$R,'KIN P&amp;L'!$A64,'KIN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SUMIF('KIN TB'!$R:$R,'KIN P&amp;L'!$A65,'KIN TB'!C:C)</f>
        <v/>
      </c>
      <c r="P65" s="37">
        <f>SUMIF('KIN TB'!$R:$R,'KIN P&amp;L'!$A65,'KIN TB'!D:D)</f>
        <v/>
      </c>
      <c r="Q65" s="37">
        <f>SUMIF('KIN TB'!$R:$R,'KIN P&amp;L'!$A65,'KIN TB'!E:E)</f>
        <v/>
      </c>
      <c r="R65" s="37">
        <f>SUMIF('KIN TB'!$R:$R,'KIN P&amp;L'!$A65,'KIN TB'!F:F)</f>
        <v/>
      </c>
      <c r="S65" s="37">
        <f>SUMIF('KIN TB'!$R:$R,'KIN P&amp;L'!$A65,'KIN TB'!G:G)</f>
        <v/>
      </c>
      <c r="T65" s="37">
        <f>SUMIF('KIN TB'!$R:$R,'KIN P&amp;L'!$A65,'KIN TB'!H:H)</f>
        <v/>
      </c>
      <c r="U65" s="37">
        <f>SUMIF('KIN TB'!$R:$R,'KIN P&amp;L'!$A65,'KIN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SUMIF('KIN TB'!$R:$R,'KIN P&amp;L'!$A66,'KIN TB'!C:C)</f>
        <v/>
      </c>
      <c r="P66" s="37">
        <f>SUMIF('KIN TB'!$R:$R,'KIN P&amp;L'!$A66,'KIN TB'!D:D)</f>
        <v/>
      </c>
      <c r="Q66" s="37">
        <f>SUMIF('KIN TB'!$R:$R,'KIN P&amp;L'!$A66,'KIN TB'!E:E)</f>
        <v/>
      </c>
      <c r="R66" s="37">
        <f>SUMIF('KIN TB'!$R:$R,'KIN P&amp;L'!$A66,'KIN TB'!F:F)</f>
        <v/>
      </c>
      <c r="S66" s="37">
        <f>SUMIF('KIN TB'!$R:$R,'KIN P&amp;L'!$A66,'KIN TB'!G:G)</f>
        <v/>
      </c>
      <c r="T66" s="37">
        <f>SUMIF('KIN TB'!$R:$R,'KIN P&amp;L'!$A66,'KIN TB'!H:H)</f>
        <v/>
      </c>
      <c r="U66" s="37">
        <f>SUMIF('KIN TB'!$R:$R,'KIN P&amp;L'!$A66,'KIN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SUMIF('KIN TB'!$R:$R,'KIN P&amp;L'!$A67,'KIN TB'!C:C)</f>
        <v/>
      </c>
      <c r="P67" s="37">
        <f>SUMIF('KIN TB'!$R:$R,'KIN P&amp;L'!$A67,'KIN TB'!D:D)</f>
        <v/>
      </c>
      <c r="Q67" s="37">
        <f>SUMIF('KIN TB'!$R:$R,'KIN P&amp;L'!$A67,'KIN TB'!E:E)</f>
        <v/>
      </c>
      <c r="R67" s="37">
        <f>SUMIF('KIN TB'!$R:$R,'KIN P&amp;L'!$A67,'KIN TB'!F:F)</f>
        <v/>
      </c>
      <c r="S67" s="37">
        <f>SUMIF('KIN TB'!$R:$R,'KIN P&amp;L'!$A67,'KIN TB'!G:G)</f>
        <v/>
      </c>
      <c r="T67" s="37">
        <f>SUMIF('KIN TB'!$R:$R,'KIN P&amp;L'!$A67,'KIN TB'!H:H)</f>
        <v/>
      </c>
      <c r="U67" s="37">
        <f>SUMIF('KIN TB'!$R:$R,'KIN P&amp;L'!$A67,'KIN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SUMIF('KIN TB'!$R:$R,'KIN P&amp;L'!$A68,'KIN TB'!C:C)</f>
        <v/>
      </c>
      <c r="P68" s="37">
        <f>SUMIF('KIN TB'!$R:$R,'KIN P&amp;L'!$A68,'KIN TB'!D:D)</f>
        <v/>
      </c>
      <c r="Q68" s="37">
        <f>SUMIF('KIN TB'!$R:$R,'KIN P&amp;L'!$A68,'KIN TB'!E:E)</f>
        <v/>
      </c>
      <c r="R68" s="37">
        <f>SUMIF('KIN TB'!$R:$R,'KIN P&amp;L'!$A68,'KIN TB'!F:F)</f>
        <v/>
      </c>
      <c r="S68" s="37">
        <f>SUMIF('KIN TB'!$R:$R,'KIN P&amp;L'!$A68,'KIN TB'!G:G)</f>
        <v/>
      </c>
      <c r="T68" s="37">
        <f>SUMIF('KIN TB'!$R:$R,'KIN P&amp;L'!$A68,'KIN TB'!H:H)</f>
        <v/>
      </c>
      <c r="U68" s="37">
        <f>SUMIF('KIN TB'!$R:$R,'KIN P&amp;L'!$A68,'KIN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203.18</v>
      </c>
      <c r="C69" s="42" t="n">
        <v>241.98</v>
      </c>
      <c r="D69" s="42" t="n">
        <v>208.23</v>
      </c>
      <c r="E69" s="42" t="n">
        <v>350.5699999999999</v>
      </c>
      <c r="F69" s="42" t="n">
        <v>250.81</v>
      </c>
      <c r="G69" s="42" t="n">
        <v>219.88</v>
      </c>
      <c r="H69" s="42" t="n">
        <v>323.27</v>
      </c>
      <c r="I69" s="42" t="n">
        <v>203.78</v>
      </c>
      <c r="J69" s="42" t="n">
        <v>221.78</v>
      </c>
      <c r="K69" s="42" t="n">
        <v>509.9</v>
      </c>
      <c r="L69" s="42" t="n">
        <v>566.17</v>
      </c>
      <c r="M69" s="42" t="n">
        <v>262.83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10220</v>
      </c>
      <c r="C70" s="55" t="n">
        <v>4517.960000000003</v>
      </c>
      <c r="D70" s="55" t="n">
        <v>9033.829999999998</v>
      </c>
      <c r="E70" s="55" t="n">
        <v>10176.95</v>
      </c>
      <c r="F70" s="55" t="n">
        <v>9535.199999999999</v>
      </c>
      <c r="G70" s="55" t="n">
        <v>11743.83</v>
      </c>
      <c r="H70" s="55" t="n">
        <v>28409.12999999999</v>
      </c>
      <c r="I70" s="55" t="n">
        <v>9241.359999999999</v>
      </c>
      <c r="J70" s="55" t="n">
        <v>3552.030000000001</v>
      </c>
      <c r="K70" s="55" t="n">
        <v>3852.62</v>
      </c>
      <c r="L70" s="55" t="n">
        <v>11543.65999999999</v>
      </c>
      <c r="M70" s="55" t="n">
        <v>20768.42999999999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7">
        <f>SUM(AC72:AH72)+SUM(AI72:AN72)</f>
        <v/>
      </c>
      <c r="AP72" s="145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7" t="n">
        <v>0</v>
      </c>
      <c r="AJ73" s="117" t="n">
        <v>0</v>
      </c>
      <c r="AK73" s="117" t="n">
        <v>0</v>
      </c>
      <c r="AL73" s="117" t="n">
        <v>0</v>
      </c>
      <c r="AM73" s="117" t="n">
        <v>0</v>
      </c>
      <c r="AN73" s="117" t="n">
        <v>0</v>
      </c>
      <c r="AO73" s="156">
        <f>SUM(AC73:AH73)+SUM(AI73:AN73)</f>
        <v/>
      </c>
      <c r="AP73" s="145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7" t="n">
        <v>0</v>
      </c>
      <c r="AJ74" s="117" t="n">
        <v>0</v>
      </c>
      <c r="AK74" s="117" t="n">
        <v>0</v>
      </c>
      <c r="AL74" s="117" t="n">
        <v>0</v>
      </c>
      <c r="AM74" s="117" t="n">
        <v>0</v>
      </c>
      <c r="AN74" s="117" t="n">
        <v>0</v>
      </c>
      <c r="AO74" s="156">
        <f>SUM(AC74:AH74)+SUM(AI74:AN74)</f>
        <v/>
      </c>
      <c r="AP74" s="145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7" t="n">
        <v>0</v>
      </c>
      <c r="AJ75" s="117" t="n">
        <v>0</v>
      </c>
      <c r="AK75" s="117" t="n">
        <v>0</v>
      </c>
      <c r="AL75" s="117" t="n">
        <v>0</v>
      </c>
      <c r="AM75" s="117" t="n">
        <v>0</v>
      </c>
      <c r="AN75" s="117" t="n">
        <v>0</v>
      </c>
      <c r="AO75" s="156">
        <f>SUM(AC75:AH75)+SUM(AI75:AN75)</f>
        <v/>
      </c>
      <c r="AP75" s="145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7" t="n">
        <v>0</v>
      </c>
      <c r="AJ76" s="117" t="n">
        <v>0</v>
      </c>
      <c r="AK76" s="117" t="n">
        <v>0</v>
      </c>
      <c r="AL76" s="117" t="n">
        <v>0</v>
      </c>
      <c r="AM76" s="117" t="n">
        <v>0</v>
      </c>
      <c r="AN76" s="117" t="n">
        <v>0</v>
      </c>
      <c r="AO76" s="156">
        <f>SUM(AC76:AH76)+SUM(AI76:AN76)</f>
        <v/>
      </c>
      <c r="AP76" s="145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7" t="n">
        <v>0</v>
      </c>
      <c r="AJ77" s="117" t="n">
        <v>0</v>
      </c>
      <c r="AK77" s="117" t="n">
        <v>0</v>
      </c>
      <c r="AL77" s="117" t="n">
        <v>0</v>
      </c>
      <c r="AM77" s="117" t="n">
        <v>0</v>
      </c>
      <c r="AN77" s="117" t="n">
        <v>0</v>
      </c>
      <c r="AO77" s="156">
        <f>SUM(AC77:AH77)+SUM(AI77:AN77)</f>
        <v/>
      </c>
      <c r="AP77" s="145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117" t="n">
        <v>0</v>
      </c>
      <c r="AJ78" s="117" t="n">
        <v>0</v>
      </c>
      <c r="AK78" s="117" t="n">
        <v>0</v>
      </c>
      <c r="AL78" s="117" t="n">
        <v>0</v>
      </c>
      <c r="AM78" s="117" t="n">
        <v>0</v>
      </c>
      <c r="AN78" s="117" t="n">
        <v>0</v>
      </c>
      <c r="AO78" s="156">
        <f>SUM(AC78:AH78)+SUM(AI78:AN78)</f>
        <v/>
      </c>
      <c r="AP78" s="145">
        <f>IF(AB78&lt;&gt;0,(AO78-AB78)/ABS(AB78),0)</f>
        <v/>
      </c>
    </row>
    <row r="79">
      <c r="A79" s="54" t="n"/>
      <c r="B79" s="57" t="n">
        <v>10220</v>
      </c>
      <c r="C79" s="57" t="n">
        <v>4517.960000000003</v>
      </c>
      <c r="D79" s="57" t="n">
        <v>9033.829999999998</v>
      </c>
      <c r="E79" s="57" t="n">
        <v>10176.95</v>
      </c>
      <c r="F79" s="57" t="n">
        <v>9535.199999999999</v>
      </c>
      <c r="G79" s="57" t="n">
        <v>11743.83</v>
      </c>
      <c r="H79" s="57" t="n">
        <v>28409.12999999999</v>
      </c>
      <c r="I79" s="57" t="n">
        <v>9241.359999999999</v>
      </c>
      <c r="J79" s="57" t="n">
        <v>3552.030000000001</v>
      </c>
      <c r="K79" s="57" t="n">
        <v>3852.62</v>
      </c>
      <c r="L79" s="57" t="n">
        <v>11543.65999999999</v>
      </c>
      <c r="M79" s="57" t="n">
        <v>20768.42999999999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7">
        <f>SUM(AC79:AH79)+SUM(AI79:AN79)</f>
        <v/>
      </c>
      <c r="AP79" s="145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7">
        <f>SUM(AC80:AH80)+SUM(AI80:AN80)</f>
        <v/>
      </c>
      <c r="AP80" s="145">
        <f>IF(AB80&lt;&gt;0,(AO80-AB80)/ABS(AB80),0)</f>
        <v/>
      </c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29360.06</v>
      </c>
      <c r="C87" s="60" t="n">
        <v>26845.12</v>
      </c>
      <c r="D87" s="60" t="n">
        <v>30480.74</v>
      </c>
      <c r="E87" s="60" t="n">
        <v>34234.31</v>
      </c>
      <c r="F87" s="60" t="n">
        <v>31752.34</v>
      </c>
      <c r="G87" s="60" t="n">
        <v>33698.1</v>
      </c>
      <c r="H87" s="60" t="n">
        <v>50915.41</v>
      </c>
      <c r="I87" s="60" t="n">
        <v>31269.53</v>
      </c>
      <c r="J87" s="60" t="n">
        <v>26276.12</v>
      </c>
      <c r="K87" s="60" t="n">
        <v>26189.78</v>
      </c>
      <c r="L87" s="60" t="n">
        <v>34335.98</v>
      </c>
      <c r="M87" s="8" t="n"/>
      <c r="N87" s="8" t="n"/>
      <c r="O87" s="60">
        <f>-SUMIF('KIN TB'!$T:$T,'KIN P&amp;L'!$A87,'KIN TB'!C:C)</f>
        <v/>
      </c>
      <c r="P87" s="60">
        <f>-SUMIF('KIN TB'!$T:$T,'KIN P&amp;L'!$A87,'KIN TB'!D:D)</f>
        <v/>
      </c>
      <c r="Q87" s="60">
        <f>-SUMIF('KIN TB'!$T:$T,'KIN P&amp;L'!$A87,'KIN TB'!E:E)</f>
        <v/>
      </c>
      <c r="R87" s="60">
        <f>-SUMIF('KIN TB'!$T:$T,'KIN P&amp;L'!$A87,'KIN TB'!F:F)</f>
        <v/>
      </c>
      <c r="S87" s="60">
        <f>-SUMIF('KIN TB'!$T:$T,'KIN P&amp;L'!$A87,'KIN TB'!G:G)</f>
        <v/>
      </c>
      <c r="T87" s="60">
        <f>-SUMIF('KIN TB'!$T:$T,'KIN P&amp;L'!$A87,'KIN TB'!H:H)</f>
        <v/>
      </c>
      <c r="U87" s="60">
        <f>-SUMIF('KIN TB'!$T:$T,'KIN P&amp;L'!$A87,'KIN TB'!I:I)</f>
        <v/>
      </c>
      <c r="V87" s="60">
        <f>-SUMIF('KIN TB'!$T:$T,'KIN P&amp;L'!$A87,'KIN TB'!J:J)</f>
        <v/>
      </c>
      <c r="W87" s="60">
        <f>-SUMIF('KIN TB'!$T:$T,'KIN P&amp;L'!$A87,'KIN TB'!K:K)</f>
        <v/>
      </c>
      <c r="X87" s="60">
        <f>-SUMIF('KIN TB'!$T:$T,'KIN P&amp;L'!$A87,'KIN TB'!L:L)</f>
        <v/>
      </c>
      <c r="Y87" s="60">
        <f>-SUMIF('KIN TB'!$T:$T,'KIN P&amp;L'!$A87,'KIN TB'!M:M)</f>
        <v/>
      </c>
      <c r="Z87" s="60">
        <f>-SUMIF('KIN TB'!$T:$T,'KIN P&amp;L'!$A87,'KIN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48" t="n">
        <v>0</v>
      </c>
      <c r="AJ87" s="148" t="n">
        <v>0</v>
      </c>
      <c r="AK87" s="148" t="n">
        <v>0</v>
      </c>
      <c r="AL87" s="148" t="n">
        <v>0</v>
      </c>
      <c r="AM87" s="148" t="n">
        <v>0</v>
      </c>
      <c r="AN87" s="148" t="n">
        <v>0</v>
      </c>
      <c r="AO87" s="149">
        <f>SUM(AC87:AH87)+SUM(AI87:AN87)</f>
        <v/>
      </c>
      <c r="AP87" s="145">
        <f>IF(AB87&lt;&gt;0,(AO87-AB87)/ABS(AB87),0)</f>
        <v/>
      </c>
    </row>
    <row r="88">
      <c r="A88" s="34" t="inlineStr">
        <is>
          <t>Direct - Staff Cost</t>
        </is>
      </c>
      <c r="B88" s="18" t="n">
        <v>-15025</v>
      </c>
      <c r="C88" s="18" t="n">
        <v>-18401.96</v>
      </c>
      <c r="D88" s="18" t="n">
        <v>-17627.45</v>
      </c>
      <c r="E88" s="18" t="n">
        <v>-17739.83</v>
      </c>
      <c r="F88" s="18" t="n">
        <v>-18243.97</v>
      </c>
      <c r="G88" s="18" t="n">
        <v>-18525.75</v>
      </c>
      <c r="H88" s="18" t="n">
        <v>-18796.84</v>
      </c>
      <c r="I88" s="18" t="n">
        <v>-17181.26</v>
      </c>
      <c r="J88" s="18" t="n">
        <v>-19335.26</v>
      </c>
      <c r="K88" s="18" t="n">
        <v>-18532.98</v>
      </c>
      <c r="L88" s="18" t="n">
        <v>-18943.47</v>
      </c>
      <c r="M88" s="18" t="n"/>
      <c r="N88" s="8" t="n"/>
      <c r="O88" s="60">
        <f>-SUMIF('KIN TB'!$T:$T,'KIN P&amp;L'!$A88,'KIN TB'!C:C)</f>
        <v/>
      </c>
      <c r="P88" s="60">
        <f>-SUMIF('KIN TB'!$T:$T,'KIN P&amp;L'!$A88,'KIN TB'!D:D)</f>
        <v/>
      </c>
      <c r="Q88" s="60">
        <f>-SUMIF('KIN TB'!$T:$T,'KIN P&amp;L'!$A88,'KIN TB'!E:E)</f>
        <v/>
      </c>
      <c r="R88" s="60">
        <f>-SUMIF('KIN TB'!$T:$T,'KIN P&amp;L'!$A88,'KIN TB'!F:F)</f>
        <v/>
      </c>
      <c r="S88" s="60">
        <f>-SUMIF('KIN TB'!$T:$T,'KIN P&amp;L'!$A88,'KIN TB'!G:G)</f>
        <v/>
      </c>
      <c r="T88" s="60">
        <f>-SUMIF('KIN TB'!$T:$T,'KIN P&amp;L'!$A88,'KIN TB'!H:H)</f>
        <v/>
      </c>
      <c r="U88" s="60">
        <f>-SUMIF('KIN TB'!$T:$T,'KIN P&amp;L'!$A88,'KIN TB'!I:I)</f>
        <v/>
      </c>
      <c r="V88" s="60">
        <f>-SUMIF('KIN TB'!$T:$T,'KIN P&amp;L'!$A88,'KIN TB'!J:J)</f>
        <v/>
      </c>
      <c r="W88" s="60">
        <f>-SUMIF('KIN TB'!$T:$T,'KIN P&amp;L'!$A88,'KIN TB'!K:K)</f>
        <v/>
      </c>
      <c r="X88" s="60">
        <f>-SUMIF('KIN TB'!$T:$T,'KIN P&amp;L'!$A88,'KIN TB'!L:L)</f>
        <v/>
      </c>
      <c r="Y88" s="60">
        <f>-SUMIF('KIN TB'!$T:$T,'KIN P&amp;L'!$A88,'KIN TB'!M:M)</f>
        <v/>
      </c>
      <c r="Z88" s="60">
        <f>-SUMIF('KIN TB'!$T:$T,'KIN P&amp;L'!$A88,'KIN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48" t="n">
        <v>0</v>
      </c>
      <c r="AJ88" s="148" t="n">
        <v>0</v>
      </c>
      <c r="AK88" s="148" t="n">
        <v>0</v>
      </c>
      <c r="AL88" s="148" t="n">
        <v>0</v>
      </c>
      <c r="AM88" s="148" t="n">
        <v>0</v>
      </c>
      <c r="AN88" s="148" t="n">
        <v>0</v>
      </c>
      <c r="AO88" s="149">
        <f>SUM(AC88:AH88)+SUM(AI88:AN88)</f>
        <v/>
      </c>
      <c r="AP88" s="145">
        <f>IF(AB88&lt;&gt;0,(AO88-AB88)/ABS(AB88),0)</f>
        <v/>
      </c>
    </row>
    <row r="89">
      <c r="A89" s="60" t="inlineStr">
        <is>
          <t>Direct - Childcare Cost</t>
        </is>
      </c>
      <c r="B89" s="18" t="n">
        <v>-1273.06</v>
      </c>
      <c r="C89" s="18" t="n">
        <v>-1490.78</v>
      </c>
      <c r="D89" s="18" t="n">
        <v>-1227.87</v>
      </c>
      <c r="E89" s="18" t="n">
        <v>-1153.92</v>
      </c>
      <c r="F89" s="18" t="n">
        <v>-1860.34</v>
      </c>
      <c r="G89" s="18" t="n">
        <v>-1371.25</v>
      </c>
      <c r="H89" s="18" t="n">
        <v>-1431.26</v>
      </c>
      <c r="I89" s="18" t="n">
        <v>-2059.24</v>
      </c>
      <c r="J89" s="18" t="n">
        <v>-1193.14</v>
      </c>
      <c r="K89" s="18" t="n">
        <v>-1435.24</v>
      </c>
      <c r="L89" s="18" t="n">
        <v>-1202.64</v>
      </c>
      <c r="M89" s="18" t="n">
        <v>-1166.11</v>
      </c>
      <c r="N89" s="8" t="n"/>
      <c r="O89" s="60">
        <f>-SUMIF('KIN TB'!$T:$T,'KIN P&amp;L'!$A89,'KIN TB'!C:C)</f>
        <v/>
      </c>
      <c r="P89" s="60">
        <f>-SUMIF('KIN TB'!$T:$T,'KIN P&amp;L'!$A89,'KIN TB'!D:D)</f>
        <v/>
      </c>
      <c r="Q89" s="60">
        <f>-SUMIF('KIN TB'!$T:$T,'KIN P&amp;L'!$A89,'KIN TB'!E:E)</f>
        <v/>
      </c>
      <c r="R89" s="60">
        <f>-SUMIF('KIN TB'!$T:$T,'KIN P&amp;L'!$A89,'KIN TB'!F:F)</f>
        <v/>
      </c>
      <c r="S89" s="60">
        <f>-SUMIF('KIN TB'!$T:$T,'KIN P&amp;L'!$A89,'KIN TB'!G:G)</f>
        <v/>
      </c>
      <c r="T89" s="60">
        <f>-SUMIF('KIN TB'!$T:$T,'KIN P&amp;L'!$A89,'KIN TB'!H:H)</f>
        <v/>
      </c>
      <c r="U89" s="60">
        <f>-SUMIF('KIN TB'!$T:$T,'KIN P&amp;L'!$A89,'KIN TB'!I:I)</f>
        <v/>
      </c>
      <c r="V89" s="60">
        <f>-SUMIF('KIN TB'!$T:$T,'KIN P&amp;L'!$A89,'KIN TB'!J:J)</f>
        <v/>
      </c>
      <c r="W89" s="60">
        <f>-SUMIF('KIN TB'!$T:$T,'KIN P&amp;L'!$A89,'KIN TB'!K:K)</f>
        <v/>
      </c>
      <c r="X89" s="60">
        <f>-SUMIF('KIN TB'!$T:$T,'KIN P&amp;L'!$A89,'KIN TB'!L:L)</f>
        <v/>
      </c>
      <c r="Y89" s="60">
        <f>-SUMIF('KIN TB'!$T:$T,'KIN P&amp;L'!$A89,'KIN TB'!M:M)</f>
        <v/>
      </c>
      <c r="Z89" s="60">
        <f>-SUMIF('KIN TB'!$T:$T,'KIN P&amp;L'!$A89,'KIN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48" t="n">
        <v>0</v>
      </c>
      <c r="AJ89" s="148" t="n">
        <v>0</v>
      </c>
      <c r="AK89" s="148" t="n">
        <v>0</v>
      </c>
      <c r="AL89" s="148" t="n">
        <v>0</v>
      </c>
      <c r="AM89" s="148" t="n">
        <v>0</v>
      </c>
      <c r="AN89" s="148" t="n">
        <v>0</v>
      </c>
      <c r="AO89" s="149">
        <f>SUM(AC89:AH89)+SUM(AI89:AN89)</f>
        <v/>
      </c>
      <c r="AP89" s="145">
        <f>IF(AB89&lt;&gt;0,(AO89-AB89)/ABS(AB89),0)</f>
        <v/>
      </c>
    </row>
    <row r="90">
      <c r="A90" s="60" t="inlineStr">
        <is>
          <t>Direct - Premises &amp; Admin</t>
        </is>
      </c>
      <c r="B90" s="18" t="n">
        <v>-2638.82</v>
      </c>
      <c r="C90" s="18" t="n">
        <v>-2192.44</v>
      </c>
      <c r="D90" s="18" t="n">
        <v>-2383.36</v>
      </c>
      <c r="E90" s="18" t="n">
        <v>-4813.04</v>
      </c>
      <c r="F90" s="18" t="n">
        <v>-1862.02</v>
      </c>
      <c r="G90" s="18" t="n">
        <v>-1837.39</v>
      </c>
      <c r="H90" s="18" t="n">
        <v>-1954.91</v>
      </c>
      <c r="I90" s="18" t="n">
        <v>-2583.89</v>
      </c>
      <c r="J90" s="18" t="n">
        <v>-1973.91</v>
      </c>
      <c r="K90" s="18" t="n">
        <v>-1859.04</v>
      </c>
      <c r="L90" s="18" t="n">
        <v>-2080.04</v>
      </c>
      <c r="M90" s="18" t="n">
        <v>-2007.45</v>
      </c>
      <c r="N90" s="8" t="n"/>
      <c r="O90" s="60">
        <f>-SUMIF('KIN TB'!$T:$T,'KIN P&amp;L'!$A90,'KIN TB'!C:C)</f>
        <v/>
      </c>
      <c r="P90" s="60">
        <f>-SUMIF('KIN TB'!$T:$T,'KIN P&amp;L'!$A90,'KIN TB'!D:D)</f>
        <v/>
      </c>
      <c r="Q90" s="60">
        <f>-SUMIF('KIN TB'!$T:$T,'KIN P&amp;L'!$A90,'KIN TB'!E:E)</f>
        <v/>
      </c>
      <c r="R90" s="60">
        <f>-SUMIF('KIN TB'!$T:$T,'KIN P&amp;L'!$A90,'KIN TB'!F:F)</f>
        <v/>
      </c>
      <c r="S90" s="60">
        <f>-SUMIF('KIN TB'!$T:$T,'KIN P&amp;L'!$A90,'KIN TB'!G:G)</f>
        <v/>
      </c>
      <c r="T90" s="60">
        <f>-SUMIF('KIN TB'!$T:$T,'KIN P&amp;L'!$A90,'KIN TB'!H:H)</f>
        <v/>
      </c>
      <c r="U90" s="60">
        <f>-SUMIF('KIN TB'!$T:$T,'KIN P&amp;L'!$A90,'KIN TB'!I:I)</f>
        <v/>
      </c>
      <c r="V90" s="60">
        <f>-SUMIF('KIN TB'!$T:$T,'KIN P&amp;L'!$A90,'KIN TB'!J:J)</f>
        <v/>
      </c>
      <c r="W90" s="60">
        <f>-SUMIF('KIN TB'!$T:$T,'KIN P&amp;L'!$A90,'KIN TB'!K:K)</f>
        <v/>
      </c>
      <c r="X90" s="60">
        <f>-SUMIF('KIN TB'!$T:$T,'KIN P&amp;L'!$A90,'KIN TB'!L:L)</f>
        <v/>
      </c>
      <c r="Y90" s="60">
        <f>-SUMIF('KIN TB'!$T:$T,'KIN P&amp;L'!$A90,'KIN TB'!M:M)</f>
        <v/>
      </c>
      <c r="Z90" s="60">
        <f>-SUMIF('KIN TB'!$T:$T,'KIN P&amp;L'!$A90,'KIN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148" t="n">
        <v>0</v>
      </c>
      <c r="AJ90" s="148" t="n">
        <v>0</v>
      </c>
      <c r="AK90" s="148" t="n">
        <v>0</v>
      </c>
      <c r="AL90" s="148" t="n">
        <v>0</v>
      </c>
      <c r="AM90" s="148" t="n">
        <v>0</v>
      </c>
      <c r="AN90" s="148" t="n">
        <v>0</v>
      </c>
      <c r="AO90" s="149">
        <f>SUM(AC90:AH90)+SUM(AI90:AN90)</f>
        <v/>
      </c>
      <c r="AP90" s="145">
        <f>IF(AB90&lt;&gt;0,(AO90-AB90)/ABS(AB90),0)</f>
        <v/>
      </c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-SUMIF('KIN TB'!$T:$T,'KIN P&amp;L'!$A91,'KIN TB'!C:C)</f>
        <v/>
      </c>
      <c r="P91" s="60">
        <f>-SUMIF('KIN TB'!$T:$T,'KIN P&amp;L'!$A91,'KIN TB'!D:D)</f>
        <v/>
      </c>
      <c r="Q91" s="60">
        <f>-SUMIF('KIN TB'!$T:$T,'KIN P&amp;L'!$A91,'KIN TB'!E:E)</f>
        <v/>
      </c>
      <c r="R91" s="60">
        <f>-SUMIF('KIN TB'!$T:$T,'KIN P&amp;L'!$A91,'KIN TB'!F:F)</f>
        <v/>
      </c>
      <c r="S91" s="60">
        <f>-SUMIF('KIN TB'!$T:$T,'KIN P&amp;L'!$A91,'KIN TB'!G:G)</f>
        <v/>
      </c>
      <c r="T91" s="60">
        <f>-SUMIF('KIN TB'!$T:$T,'KIN P&amp;L'!$A91,'KIN TB'!H:H)</f>
        <v/>
      </c>
      <c r="U91" s="60">
        <f>-SUMIF('KIN TB'!$T:$T,'KIN P&amp;L'!$A91,'KIN TB'!I:I)</f>
        <v/>
      </c>
      <c r="V91" s="60">
        <f>-SUMIF('KIN TB'!$T:$T,'KIN P&amp;L'!$A91,'KIN TB'!J:J)</f>
        <v/>
      </c>
      <c r="W91" s="60">
        <f>-SUMIF('KIN TB'!$T:$T,'KIN P&amp;L'!$A91,'KIN TB'!K:K)</f>
        <v/>
      </c>
      <c r="X91" s="60">
        <f>-SUMIF('KIN TB'!$T:$T,'KIN P&amp;L'!$A91,'KIN TB'!L:L)</f>
        <v/>
      </c>
      <c r="Y91" s="60">
        <f>-SUMIF('KIN TB'!$T:$T,'KIN P&amp;L'!$A91,'KIN TB'!M:M)</f>
        <v/>
      </c>
      <c r="Z91" s="60">
        <f>-SUMIF('KIN TB'!$T:$T,'KIN P&amp;L'!$A91,'KIN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48" t="n">
        <v>0</v>
      </c>
      <c r="AJ91" s="148" t="n">
        <v>0</v>
      </c>
      <c r="AK91" s="148" t="n">
        <v>0</v>
      </c>
      <c r="AL91" s="148" t="n">
        <v>0</v>
      </c>
      <c r="AM91" s="148" t="n">
        <v>0</v>
      </c>
      <c r="AN91" s="148" t="n">
        <v>0</v>
      </c>
      <c r="AO91" s="149">
        <f>SUM(AC91:AH91)+SUM(AI91:AN91)</f>
        <v/>
      </c>
      <c r="AP91" s="145">
        <f>IF(AB91&lt;&gt;0,(AO91-AB91)/ABS(AB91),0)</f>
        <v/>
      </c>
    </row>
    <row r="92">
      <c r="A92" s="60" t="inlineStr">
        <is>
          <t>In-Direct - Overheads</t>
        </is>
      </c>
      <c r="B92" s="18" t="n">
        <v>-203.18</v>
      </c>
      <c r="C92" s="18" t="n">
        <v>-241.98</v>
      </c>
      <c r="D92" s="18" t="n">
        <v>-208.23</v>
      </c>
      <c r="E92" s="18" t="n">
        <v>-350.5699999999999</v>
      </c>
      <c r="F92" s="18" t="n">
        <v>-250.81</v>
      </c>
      <c r="G92" s="18" t="n">
        <v>-219.88</v>
      </c>
      <c r="H92" s="18" t="n">
        <v>-323.27</v>
      </c>
      <c r="I92" s="18" t="n">
        <v>-203.78</v>
      </c>
      <c r="J92" s="18" t="n">
        <v>-221.78</v>
      </c>
      <c r="K92" s="18" t="n">
        <v>-509.9</v>
      </c>
      <c r="L92" s="18" t="n">
        <v>-566.17</v>
      </c>
      <c r="M92" s="18" t="n">
        <v>-262.83</v>
      </c>
      <c r="N92" s="8" t="n"/>
      <c r="O92" s="60">
        <f>-SUMIF('KIN TB'!$T:$T,'KIN P&amp;L'!$A92,'KIN TB'!C:C)</f>
        <v/>
      </c>
      <c r="P92" s="60">
        <f>-SUMIF('KIN TB'!$T:$T,'KIN P&amp;L'!$A92,'KIN TB'!D:D)</f>
        <v/>
      </c>
      <c r="Q92" s="60">
        <f>-SUMIF('KIN TB'!$T:$T,'KIN P&amp;L'!$A92,'KIN TB'!E:E)</f>
        <v/>
      </c>
      <c r="R92" s="60">
        <f>-SUMIF('KIN TB'!$T:$T,'KIN P&amp;L'!$A92,'KIN TB'!F:F)</f>
        <v/>
      </c>
      <c r="S92" s="60">
        <f>-SUMIF('KIN TB'!$T:$T,'KIN P&amp;L'!$A92,'KIN TB'!G:G)</f>
        <v/>
      </c>
      <c r="T92" s="60">
        <f>-SUMIF('KIN TB'!$T:$T,'KIN P&amp;L'!$A92,'KIN TB'!H:H)</f>
        <v/>
      </c>
      <c r="U92" s="60">
        <f>-SUMIF('KIN TB'!$T:$T,'KIN P&amp;L'!$A92,'KIN TB'!I:I)</f>
        <v/>
      </c>
      <c r="V92" s="60">
        <f>-SUMIF('KIN TB'!$T:$T,'KIN P&amp;L'!$A92,'KIN TB'!J:J)</f>
        <v/>
      </c>
      <c r="W92" s="60">
        <f>-SUMIF('KIN TB'!$T:$T,'KIN P&amp;L'!$A92,'KIN TB'!K:K)</f>
        <v/>
      </c>
      <c r="X92" s="60">
        <f>-SUMIF('KIN TB'!$T:$T,'KIN P&amp;L'!$A92,'KIN TB'!L:L)</f>
        <v/>
      </c>
      <c r="Y92" s="60">
        <f>-SUMIF('KIN TB'!$T:$T,'KIN P&amp;L'!$A92,'KIN TB'!M:M)</f>
        <v/>
      </c>
      <c r="Z92" s="60">
        <f>-SUMIF('KIN TB'!$T:$T,'KIN P&amp;L'!$A92,'KIN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48" t="n">
        <v>0</v>
      </c>
      <c r="AJ92" s="148" t="n">
        <v>0</v>
      </c>
      <c r="AK92" s="148" t="n">
        <v>0</v>
      </c>
      <c r="AL92" s="148" t="n">
        <v>0</v>
      </c>
      <c r="AM92" s="148" t="n">
        <v>0</v>
      </c>
      <c r="AN92" s="148" t="n">
        <v>0</v>
      </c>
      <c r="AO92" s="149">
        <f>SUM(AC92:AH92)+SUM(AI92:AN92)</f>
        <v/>
      </c>
      <c r="AP92" s="145">
        <f>IF(AB92&lt;&gt;0,(AO92-AB92)/ABS(AB92),0)</f>
        <v/>
      </c>
    </row>
    <row r="93" ht="15.75" customHeight="1">
      <c r="A93" s="8" t="n"/>
      <c r="B93" s="67" t="n">
        <v>10220</v>
      </c>
      <c r="C93" s="67" t="n">
        <v>4517.960000000005</v>
      </c>
      <c r="D93" s="67" t="n">
        <v>9033.829999999998</v>
      </c>
      <c r="E93" s="67" t="n">
        <v>10176.95</v>
      </c>
      <c r="F93" s="67" t="n">
        <v>9535.199999999999</v>
      </c>
      <c r="G93" s="67" t="n">
        <v>11743.83</v>
      </c>
      <c r="H93" s="67" t="n">
        <v>28409.12999999999</v>
      </c>
      <c r="I93" s="67" t="n">
        <v>9241.360000000001</v>
      </c>
      <c r="J93" s="67" t="n">
        <v>3552.03</v>
      </c>
      <c r="K93" s="67" t="n">
        <v>3852.620000000003</v>
      </c>
      <c r="L93" s="67" t="n">
        <v>11543.65999999999</v>
      </c>
      <c r="M93" s="67" t="n">
        <v>-3436.39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134" t="n">
        <v>0</v>
      </c>
      <c r="AJ93" s="134" t="n">
        <v>0</v>
      </c>
      <c r="AK93" s="134" t="n">
        <v>0</v>
      </c>
      <c r="AL93" s="134" t="n">
        <v>0</v>
      </c>
      <c r="AM93" s="134" t="n">
        <v>0</v>
      </c>
      <c r="AN93" s="134" t="n">
        <v>0</v>
      </c>
      <c r="AO93" s="150">
        <f>SUM(AC93:AH93)+SUM(AI93:AN93)</f>
        <v/>
      </c>
      <c r="AP93" s="145">
        <f>IF(AB93&lt;&gt;0,(AO93-AB93)/ABS(AB93),0)</f>
        <v/>
      </c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24204.81999999999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148" t="n">
        <v>0</v>
      </c>
      <c r="AJ94" s="148" t="n">
        <v>0</v>
      </c>
      <c r="AK94" s="148" t="n">
        <v>0</v>
      </c>
      <c r="AL94" s="148" t="n">
        <v>0</v>
      </c>
      <c r="AM94" s="148" t="n">
        <v>0</v>
      </c>
      <c r="AN94" s="148" t="n">
        <v>0</v>
      </c>
      <c r="AO94" s="149">
        <f>SUM(AC94:AH94)+SUM(AI94:AN94)</f>
        <v/>
      </c>
      <c r="AP94" s="145">
        <f>IF(AB94&lt;&gt;0,(AO94-AB94)/ABS(AB94),0)</f>
        <v/>
      </c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5.456968210637569e-12</v>
      </c>
      <c r="L96" s="18" t="n">
        <v>0</v>
      </c>
      <c r="M96" s="18" t="n">
        <v>-24204.82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48" t="n">
        <v>0</v>
      </c>
      <c r="AJ96" s="148" t="n">
        <v>0</v>
      </c>
      <c r="AK96" s="148" t="n">
        <v>0</v>
      </c>
      <c r="AL96" s="148" t="n">
        <v>0</v>
      </c>
      <c r="AM96" s="148" t="n">
        <v>0</v>
      </c>
      <c r="AN96" s="148" t="n">
        <v>0</v>
      </c>
      <c r="AO96" s="149">
        <f>SUM(AC96:AH96)+SUM(AI96:AN96)</f>
        <v/>
      </c>
      <c r="AP96" s="145">
        <f>IF(AB96&lt;&gt;0,(AO96-AB96)/ABS(AB96),0)</f>
        <v/>
      </c>
    </row>
    <row r="97">
      <c r="A97" s="8" t="n"/>
      <c r="B97" s="18" t="n">
        <v>-10220</v>
      </c>
      <c r="C97" s="18" t="n">
        <v>-4517.960000000005</v>
      </c>
      <c r="D97" s="18" t="n">
        <v>-9033.83</v>
      </c>
      <c r="E97" s="18" t="n">
        <v>-10176.95</v>
      </c>
      <c r="F97" s="18" t="n">
        <v>-9535.200000000003</v>
      </c>
      <c r="G97" s="18" t="n">
        <v>-11743.83</v>
      </c>
      <c r="H97" s="18" t="n">
        <v>-28409.12999999999</v>
      </c>
      <c r="I97" s="18" t="n">
        <v>-9241.360000000002</v>
      </c>
      <c r="J97" s="18" t="n">
        <v>-3552.030000000003</v>
      </c>
      <c r="K97" s="18" t="n">
        <v>-3852.619999999998</v>
      </c>
      <c r="L97" s="18" t="n">
        <v>-11543.66</v>
      </c>
      <c r="M97" s="18" t="n">
        <v>-20768.43</v>
      </c>
      <c r="N97" s="8" t="n"/>
      <c r="O97" s="60">
        <f>SUM('KIN TB'!C2:C42)</f>
        <v/>
      </c>
      <c r="P97" s="60">
        <f>SUM('KIN TB'!D2:D42)</f>
        <v/>
      </c>
      <c r="Q97" s="60">
        <f>SUM('KIN TB'!E2:E42)</f>
        <v/>
      </c>
      <c r="R97" s="60">
        <f>SUM('KIN TB'!F2:F42)</f>
        <v/>
      </c>
      <c r="S97" s="60">
        <f>SUM('KIN TB'!G2:G42)</f>
        <v/>
      </c>
      <c r="T97" s="60">
        <f>SUM('KIN TB'!H2:H42)</f>
        <v/>
      </c>
      <c r="U97" s="60">
        <f>SUM('KIN TB'!I2:I42)</f>
        <v/>
      </c>
      <c r="V97" s="60">
        <f>SUM('KIN TB'!J2:J42)</f>
        <v/>
      </c>
      <c r="W97" s="60">
        <f>SUM('KIN TB'!K2:K42)</f>
        <v/>
      </c>
      <c r="X97" s="60">
        <f>SUM('KIN TB'!L2:L42)</f>
        <v/>
      </c>
      <c r="Y97" s="60">
        <f>SUM('KIN TB'!M2:M42)</f>
        <v/>
      </c>
      <c r="Z97" s="60">
        <f>SUM('KIN TB'!N2:N42)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148" t="n">
        <v>0</v>
      </c>
      <c r="AJ97" s="148" t="n">
        <v>0</v>
      </c>
      <c r="AK97" s="148" t="n">
        <v>0</v>
      </c>
      <c r="AL97" s="148" t="n">
        <v>0</v>
      </c>
      <c r="AM97" s="148" t="n">
        <v>0</v>
      </c>
      <c r="AN97" s="148" t="n">
        <v>0</v>
      </c>
      <c r="AO97" s="149">
        <f>SUM(AC97:AH97)+SUM(AI97:AN97)</f>
        <v/>
      </c>
      <c r="AP97" s="145">
        <f>IF(AB97&lt;&gt;0,(AO97-AB97)/ABS(AB97),0)</f>
        <v/>
      </c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Lower Earley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30963.16</v>
      </c>
      <c r="C8" s="35" t="n">
        <v>27021.59</v>
      </c>
      <c r="D8" s="35" t="n">
        <v>29812.55</v>
      </c>
      <c r="E8" s="35" t="n">
        <v>31949.87</v>
      </c>
      <c r="F8" s="35" t="n">
        <v>31063.91</v>
      </c>
      <c r="G8" s="35" t="n">
        <v>30350.6</v>
      </c>
      <c r="H8" s="35" t="n">
        <v>34021.42999999999</v>
      </c>
      <c r="I8" s="35" t="n">
        <v>29196.77</v>
      </c>
      <c r="J8" s="35" t="n">
        <v>21455.14</v>
      </c>
      <c r="K8" s="35" t="n">
        <v>24315.15</v>
      </c>
      <c r="L8" s="35" t="n">
        <v>18923.36</v>
      </c>
      <c r="M8" s="35" t="n">
        <v>19499.29</v>
      </c>
      <c r="N8" s="36">
        <f>SUM(B8:M8)</f>
        <v/>
      </c>
      <c r="O8" s="37" t="n">
        <v>20503.25</v>
      </c>
      <c r="P8" s="37" t="n">
        <v>20213.24000000001</v>
      </c>
      <c r="Q8" s="37" t="n">
        <v>18535.67</v>
      </c>
      <c r="R8" s="37" t="n">
        <v>21408.1</v>
      </c>
      <c r="S8" s="37" t="n">
        <v>20206.17</v>
      </c>
      <c r="T8" s="37" t="n">
        <v>20812.27</v>
      </c>
      <c r="U8" s="37" t="n">
        <v>21997.47</v>
      </c>
      <c r="V8" s="38" t="n">
        <v>22379</v>
      </c>
      <c r="W8" s="38" t="n">
        <v>11682</v>
      </c>
      <c r="X8" s="38" t="n">
        <v>15125</v>
      </c>
      <c r="Y8" s="38" t="n">
        <v>13992</v>
      </c>
      <c r="Z8" s="38" t="n">
        <v>17567</v>
      </c>
      <c r="AA8" s="36">
        <f>SUM(O8:U8)</f>
        <v/>
      </c>
      <c r="AB8" s="36">
        <f>SUM(O8:Z8)</f>
        <v/>
      </c>
      <c r="AC8" s="38" t="n">
        <v>27908.68</v>
      </c>
      <c r="AD8" s="38" t="n">
        <v>30111.53</v>
      </c>
      <c r="AE8" s="38" t="n">
        <v>36903.62</v>
      </c>
      <c r="AF8" s="38" t="n">
        <v>34701.33</v>
      </c>
      <c r="AG8" s="38" t="n">
        <v>32867.54</v>
      </c>
      <c r="AH8" s="38" t="n">
        <v>36606.08</v>
      </c>
      <c r="AI8" s="117" t="n">
        <v>36606.08</v>
      </c>
      <c r="AJ8" s="118" t="n">
        <v>36606.08</v>
      </c>
      <c r="AK8" s="118" t="n">
        <v>36606.08</v>
      </c>
      <c r="AL8" s="118" t="n">
        <v>36606.08</v>
      </c>
      <c r="AM8" s="119" t="n">
        <v>36606.08</v>
      </c>
      <c r="AN8" s="117" t="n">
        <v>36606.08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11065.6</v>
      </c>
      <c r="C9" s="35" t="n">
        <v>11065.6</v>
      </c>
      <c r="D9" s="35" t="n">
        <v>14478.45</v>
      </c>
      <c r="E9" s="35" t="n">
        <v>8307.689999999999</v>
      </c>
      <c r="F9" s="35" t="n">
        <v>8307.689999999999</v>
      </c>
      <c r="G9" s="35" t="n">
        <v>8307.690000000001</v>
      </c>
      <c r="H9" s="35" t="n">
        <v>22440.35</v>
      </c>
      <c r="I9" s="35" t="n">
        <v>0</v>
      </c>
      <c r="J9" s="35" t="n">
        <v>7068.51</v>
      </c>
      <c r="K9" s="35" t="n">
        <v>7068.51</v>
      </c>
      <c r="L9" s="35" t="n">
        <v>17784.49</v>
      </c>
      <c r="M9" s="35" t="n">
        <v>17975.48</v>
      </c>
      <c r="N9" s="36">
        <f>SUM(B9:M9)</f>
        <v/>
      </c>
      <c r="O9" s="37" t="n">
        <v>13761.14</v>
      </c>
      <c r="P9" s="37" t="n">
        <v>13761.14</v>
      </c>
      <c r="Q9" s="37" t="n">
        <v>24206.13</v>
      </c>
      <c r="R9" s="37" t="n">
        <v>14877.62</v>
      </c>
      <c r="S9" s="37" t="n">
        <v>14877.62</v>
      </c>
      <c r="T9" s="37" t="n">
        <v>13485.23</v>
      </c>
      <c r="U9" s="37" t="n">
        <v>14413.49</v>
      </c>
      <c r="V9" s="38" t="n"/>
      <c r="W9" s="38" t="n">
        <v>11266</v>
      </c>
      <c r="X9" s="38" t="n">
        <v>11310</v>
      </c>
      <c r="Y9" s="38" t="n">
        <v>13077</v>
      </c>
      <c r="Z9" s="38" t="n">
        <v>9495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2075.37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-SUMIF('YBHN LE TB'!$R:$R,'LE P&amp;L'!$A10,'YBHN LE TB'!C:C)</f>
        <v/>
      </c>
      <c r="P10" s="37">
        <f>-SUMIF('YBHN LE TB'!$R:$R,'LE P&amp;L'!$A10,'YBHN LE TB'!D:D)</f>
        <v/>
      </c>
      <c r="Q10" s="37">
        <f>-SUMIF('YBHN LE TB'!$R:$R,'LE P&amp;L'!$A10,'YBHN LE TB'!E:E)</f>
        <v/>
      </c>
      <c r="R10" s="37">
        <f>-SUMIF('YBHN LE TB'!$R:$R,'LE P&amp;L'!$A10,'YBHN LE TB'!F:F)</f>
        <v/>
      </c>
      <c r="S10" s="37">
        <f>-SUMIF('YBHN LE TB'!$R:$R,'LE P&amp;L'!$A10,'YBHN LE TB'!G:G)</f>
        <v/>
      </c>
      <c r="T10" s="37">
        <f>-SUMIF('YBHN LE TB'!$R:$R,'LE P&amp;L'!$A10,'YBHN LE TB'!H:H)</f>
        <v/>
      </c>
      <c r="U10" s="37">
        <f>-SUMIF('YBHN LE TB'!$R:$R,'LE P&amp;L'!$A10,'YBHN LE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42028.76</v>
      </c>
      <c r="C11" s="42" t="n">
        <v>38087.19</v>
      </c>
      <c r="D11" s="42" t="n">
        <v>44291</v>
      </c>
      <c r="E11" s="42" t="n">
        <v>40257.56</v>
      </c>
      <c r="F11" s="42" t="n">
        <v>39371.6</v>
      </c>
      <c r="G11" s="42" t="n">
        <v>38658.29</v>
      </c>
      <c r="H11" s="42" t="n">
        <v>56461.77999999999</v>
      </c>
      <c r="I11" s="42" t="n">
        <v>31272.14</v>
      </c>
      <c r="J11" s="42" t="n">
        <v>28523.65</v>
      </c>
      <c r="K11" s="42" t="n">
        <v>31383.66</v>
      </c>
      <c r="L11" s="42" t="n">
        <v>36707.85000000001</v>
      </c>
      <c r="M11" s="42" t="n">
        <v>37474.77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20563.42</v>
      </c>
      <c r="C16" s="35" t="n">
        <v>20213.37</v>
      </c>
      <c r="D16" s="35" t="n">
        <v>21470.65</v>
      </c>
      <c r="E16" s="35" t="n">
        <v>24892.98</v>
      </c>
      <c r="F16" s="35" t="n">
        <v>23314.35</v>
      </c>
      <c r="G16" s="35" t="n">
        <v>22997.77</v>
      </c>
      <c r="H16" s="35" t="n">
        <v>23503.46</v>
      </c>
      <c r="I16" s="35" t="n">
        <v>18431.22</v>
      </c>
      <c r="J16" s="35" t="n">
        <v>18936.09</v>
      </c>
      <c r="K16" s="35" t="n">
        <v>19115.71</v>
      </c>
      <c r="L16" s="35" t="n">
        <v>19409.15</v>
      </c>
      <c r="M16" s="35" t="n">
        <v>19644.59</v>
      </c>
      <c r="N16" s="36">
        <f>SUM(B16:M16)</f>
        <v/>
      </c>
      <c r="O16" s="37" t="n">
        <v>22397.82</v>
      </c>
      <c r="P16" s="37" t="n">
        <v>20915.8</v>
      </c>
      <c r="Q16" s="37" t="n">
        <v>21228.23</v>
      </c>
      <c r="R16" s="37" t="n">
        <v>24553.16</v>
      </c>
      <c r="S16" s="37" t="n">
        <v>23927.03</v>
      </c>
      <c r="T16" s="37" t="n">
        <v>24496.41</v>
      </c>
      <c r="U16" s="37" t="n">
        <v>24453.12</v>
      </c>
      <c r="V16" s="38" t="n">
        <v>24326</v>
      </c>
      <c r="W16" s="38" t="n">
        <v>24326</v>
      </c>
      <c r="X16" s="38" t="n">
        <v>24326</v>
      </c>
      <c r="Y16" s="38" t="n">
        <v>24326</v>
      </c>
      <c r="Z16" s="38" t="n">
        <v>24326</v>
      </c>
      <c r="AA16" s="36">
        <f>SUM(O16:U16)</f>
        <v/>
      </c>
      <c r="AB16" s="36">
        <f>SUM(O16:Z16)</f>
        <v/>
      </c>
      <c r="AC16" s="38" t="n">
        <v>24326</v>
      </c>
      <c r="AD16" s="38" t="n">
        <v>24326</v>
      </c>
      <c r="AE16" s="38" t="n">
        <v>24326</v>
      </c>
      <c r="AF16" s="38" t="n">
        <v>24326</v>
      </c>
      <c r="AG16" s="38" t="n">
        <v>24326</v>
      </c>
      <c r="AH16" s="38" t="n">
        <v>24326</v>
      </c>
      <c r="AI16" s="117" t="n">
        <v>24326</v>
      </c>
      <c r="AJ16" s="118" t="n">
        <v>24326</v>
      </c>
      <c r="AK16" s="118" t="n">
        <v>24326</v>
      </c>
      <c r="AL16" s="118" t="n">
        <v>24326</v>
      </c>
      <c r="AM16" s="119" t="n">
        <v>24326</v>
      </c>
      <c r="AN16" s="117" t="n">
        <v>24326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1779.03</v>
      </c>
      <c r="C17" s="35" t="n">
        <v>1715.81</v>
      </c>
      <c r="D17" s="35" t="n">
        <v>1827.23</v>
      </c>
      <c r="E17" s="35" t="n">
        <v>2853.52</v>
      </c>
      <c r="F17" s="35" t="n">
        <v>2716.71</v>
      </c>
      <c r="G17" s="35" t="n">
        <v>2671.16</v>
      </c>
      <c r="H17" s="35" t="n">
        <v>2750.72</v>
      </c>
      <c r="I17" s="35" t="n">
        <v>2020.55</v>
      </c>
      <c r="J17" s="35" t="n">
        <v>2022.69</v>
      </c>
      <c r="K17" s="35" t="n">
        <v>2177.05</v>
      </c>
      <c r="L17" s="35" t="n">
        <v>2121.95</v>
      </c>
      <c r="M17" s="35" t="n">
        <v>2160.08</v>
      </c>
      <c r="N17" s="36">
        <f>SUM(B17:M17)</f>
        <v/>
      </c>
      <c r="O17" s="37" t="n">
        <v>2569.78</v>
      </c>
      <c r="P17" s="37" t="n">
        <v>2333.89</v>
      </c>
      <c r="Q17" s="37" t="n">
        <v>2397.63</v>
      </c>
      <c r="R17" s="37" t="n">
        <v>2810.47</v>
      </c>
      <c r="S17" s="37" t="n">
        <v>2678.16</v>
      </c>
      <c r="T17" s="37" t="n">
        <v>2699.89</v>
      </c>
      <c r="U17" s="37" t="n">
        <v>2746.09</v>
      </c>
      <c r="V17" s="38" t="n">
        <v>2730</v>
      </c>
      <c r="W17" s="38" t="n">
        <v>2730</v>
      </c>
      <c r="X17" s="38" t="n">
        <v>2730</v>
      </c>
      <c r="Y17" s="38" t="n">
        <v>2730</v>
      </c>
      <c r="Z17" s="38" t="n">
        <v>2730</v>
      </c>
      <c r="AA17" s="36">
        <f>SUM(O17:U17)</f>
        <v/>
      </c>
      <c r="AB17" s="36">
        <f>SUM(O17:Z17)</f>
        <v/>
      </c>
      <c r="AC17" s="38" t="n">
        <v>2730</v>
      </c>
      <c r="AD17" s="38" t="n">
        <v>2730</v>
      </c>
      <c r="AE17" s="38" t="n">
        <v>2730</v>
      </c>
      <c r="AF17" s="38" t="n">
        <v>2730</v>
      </c>
      <c r="AG17" s="38" t="n">
        <v>2730</v>
      </c>
      <c r="AH17" s="38" t="n">
        <v>2730</v>
      </c>
      <c r="AI17" s="117" t="n">
        <v>2730</v>
      </c>
      <c r="AJ17" s="118" t="n">
        <v>2730</v>
      </c>
      <c r="AK17" s="118" t="n">
        <v>2730</v>
      </c>
      <c r="AL17" s="118" t="n">
        <v>2730</v>
      </c>
      <c r="AM17" s="119" t="n">
        <v>2730</v>
      </c>
      <c r="AN17" s="117" t="n">
        <v>2730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442.12</v>
      </c>
      <c r="C18" s="35" t="n">
        <v>430.09</v>
      </c>
      <c r="D18" s="35" t="n">
        <v>405.36</v>
      </c>
      <c r="E18" s="35" t="n">
        <v>485.36</v>
      </c>
      <c r="F18" s="35" t="n">
        <v>515.48</v>
      </c>
      <c r="G18" s="35" t="n">
        <v>506.37</v>
      </c>
      <c r="H18" s="35" t="n">
        <v>516.35</v>
      </c>
      <c r="I18" s="35" t="n">
        <v>385.54</v>
      </c>
      <c r="J18" s="35" t="n">
        <v>331.38</v>
      </c>
      <c r="K18" s="35" t="n">
        <v>338.82</v>
      </c>
      <c r="L18" s="35" t="n">
        <v>396.08</v>
      </c>
      <c r="M18" s="35" t="n">
        <v>395.76</v>
      </c>
      <c r="N18" s="36">
        <f>SUM(B18:M18)</f>
        <v/>
      </c>
      <c r="O18" s="37" t="n">
        <v>478.5</v>
      </c>
      <c r="P18" s="37" t="n">
        <v>445.11</v>
      </c>
      <c r="Q18" s="37" t="n">
        <v>456.21</v>
      </c>
      <c r="R18" s="37" t="n">
        <v>473.88</v>
      </c>
      <c r="S18" s="37" t="n">
        <v>461.27</v>
      </c>
      <c r="T18" s="37" t="n">
        <v>447.41</v>
      </c>
      <c r="U18" s="37" t="n">
        <v>462.52</v>
      </c>
      <c r="V18" s="38" t="n">
        <v>478.5</v>
      </c>
      <c r="W18" s="38" t="n">
        <v>478.5</v>
      </c>
      <c r="X18" s="38" t="n">
        <v>478.5</v>
      </c>
      <c r="Y18" s="38" t="n">
        <v>478.5</v>
      </c>
      <c r="Z18" s="38" t="n">
        <v>478.5</v>
      </c>
      <c r="AA18" s="36">
        <f>SUM(O18:U18)</f>
        <v/>
      </c>
      <c r="AB18" s="36">
        <f>SUM(O18:Z18)</f>
        <v/>
      </c>
      <c r="AC18" s="38" t="n">
        <v>478.5</v>
      </c>
      <c r="AD18" s="38" t="n">
        <v>478.5</v>
      </c>
      <c r="AE18" s="38" t="n">
        <v>478.5</v>
      </c>
      <c r="AF18" s="38" t="n">
        <v>478.5</v>
      </c>
      <c r="AG18" s="38" t="n">
        <v>478.5</v>
      </c>
      <c r="AH18" s="38" t="n">
        <v>478.5</v>
      </c>
      <c r="AI18" s="117" t="n">
        <v>478.5</v>
      </c>
      <c r="AJ18" s="118" t="n">
        <v>478.5</v>
      </c>
      <c r="AK18" s="118" t="n">
        <v>478.5</v>
      </c>
      <c r="AL18" s="118" t="n">
        <v>478.5</v>
      </c>
      <c r="AM18" s="119" t="n">
        <v>478.5</v>
      </c>
      <c r="AN18" s="117" t="n">
        <v>478.5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219.84</v>
      </c>
      <c r="D19" s="35" t="n">
        <v>166.92</v>
      </c>
      <c r="E19" s="35" t="n">
        <v>106.38</v>
      </c>
      <c r="F19" s="35" t="n">
        <v>92.34</v>
      </c>
      <c r="G19" s="35" t="n">
        <v>0</v>
      </c>
      <c r="H19" s="35" t="n">
        <v>0</v>
      </c>
      <c r="I19" s="35" t="n">
        <v>91.14</v>
      </c>
      <c r="J19" s="35" t="n">
        <v>13.98</v>
      </c>
      <c r="K19" s="35" t="n">
        <v>534</v>
      </c>
      <c r="L19" s="35" t="n">
        <v>0</v>
      </c>
      <c r="M19" s="35" t="n">
        <v>35.82</v>
      </c>
      <c r="N19" s="36">
        <f>SUM(B19:M19)</f>
        <v/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0</v>
      </c>
      <c r="U19" s="37" t="n">
        <v>113.94</v>
      </c>
      <c r="V19" s="38" t="n">
        <v>39</v>
      </c>
      <c r="W19" s="38" t="n">
        <v>39</v>
      </c>
      <c r="X19" s="38" t="n">
        <v>39</v>
      </c>
      <c r="Y19" s="38" t="n">
        <v>39</v>
      </c>
      <c r="Z19" s="38" t="n">
        <v>39</v>
      </c>
      <c r="AA19" s="36">
        <f>SUM(O19:U19)</f>
        <v/>
      </c>
      <c r="AB19" s="36">
        <f>SUM(O19:Z19)</f>
        <v/>
      </c>
      <c r="AC19" s="38" t="n">
        <v>39</v>
      </c>
      <c r="AD19" s="38" t="n">
        <v>39</v>
      </c>
      <c r="AE19" s="38" t="n">
        <v>39</v>
      </c>
      <c r="AF19" s="38" t="n">
        <v>39</v>
      </c>
      <c r="AG19" s="38" t="n">
        <v>39</v>
      </c>
      <c r="AH19" s="38" t="n">
        <v>39</v>
      </c>
      <c r="AI19" s="117" t="n">
        <v>39</v>
      </c>
      <c r="AJ19" s="118" t="n">
        <v>39</v>
      </c>
      <c r="AK19" s="118" t="n">
        <v>39</v>
      </c>
      <c r="AL19" s="118" t="n">
        <v>39</v>
      </c>
      <c r="AM19" s="119" t="n">
        <v>39</v>
      </c>
      <c r="AN19" s="117" t="n">
        <v>39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48</v>
      </c>
      <c r="C20" s="35" t="n">
        <v>0</v>
      </c>
      <c r="D20" s="35" t="n">
        <v>0</v>
      </c>
      <c r="E20" s="35" t="n">
        <v>0</v>
      </c>
      <c r="F20" s="35" t="n">
        <v>61.2</v>
      </c>
      <c r="G20" s="35" t="n">
        <v>0</v>
      </c>
      <c r="H20" s="35" t="n">
        <v>37.2</v>
      </c>
      <c r="I20" s="35" t="n">
        <v>307.19</v>
      </c>
      <c r="J20" s="35" t="n">
        <v>0</v>
      </c>
      <c r="K20" s="35" t="n">
        <v>0</v>
      </c>
      <c r="L20" s="35" t="n">
        <v>114</v>
      </c>
      <c r="M20" s="35" t="n">
        <v>0</v>
      </c>
      <c r="N20" s="36">
        <f>SUM(B20:M20)</f>
        <v/>
      </c>
      <c r="O20" s="37" t="n">
        <v>0</v>
      </c>
      <c r="P20" s="37" t="n">
        <v>-422</v>
      </c>
      <c r="Q20" s="37" t="n">
        <v>0</v>
      </c>
      <c r="R20" s="37" t="n">
        <v>0</v>
      </c>
      <c r="S20" s="37" t="n">
        <v>78</v>
      </c>
      <c r="T20" s="37" t="n">
        <v>252</v>
      </c>
      <c r="U20" s="37" t="n">
        <v>0</v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117" t="n">
        <v>50</v>
      </c>
      <c r="AJ20" s="118" t="n">
        <v>50</v>
      </c>
      <c r="AK20" s="118" t="n">
        <v>50</v>
      </c>
      <c r="AL20" s="118" t="n">
        <v>50</v>
      </c>
      <c r="AM20" s="119" t="n">
        <v>50</v>
      </c>
      <c r="AN20" s="117" t="n">
        <v>50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130.26</v>
      </c>
      <c r="C21" s="35" t="n">
        <v>218.62</v>
      </c>
      <c r="D21" s="35" t="n">
        <v>222.99</v>
      </c>
      <c r="E21" s="35" t="n">
        <v>233.98</v>
      </c>
      <c r="F21" s="35" t="n">
        <v>99.15000000000001</v>
      </c>
      <c r="G21" s="35" t="n">
        <v>189.15</v>
      </c>
      <c r="H21" s="35" t="n">
        <v>126.5</v>
      </c>
      <c r="I21" s="35" t="n">
        <v>176.63</v>
      </c>
      <c r="J21" s="35" t="n">
        <v>64.90000000000001</v>
      </c>
      <c r="K21" s="35" t="n">
        <v>212.8</v>
      </c>
      <c r="L21" s="35" t="n">
        <v>68.61</v>
      </c>
      <c r="M21" s="35" t="n">
        <v>23.31</v>
      </c>
      <c r="N21" s="36">
        <f>SUM(B21:M21)</f>
        <v/>
      </c>
      <c r="O21" s="37" t="n">
        <v>93.25</v>
      </c>
      <c r="P21" s="37" t="n">
        <v>12.5</v>
      </c>
      <c r="Q21" s="37" t="n">
        <v>167.27</v>
      </c>
      <c r="R21" s="37" t="n">
        <v>161.9</v>
      </c>
      <c r="S21" s="37" t="n">
        <v>163.43</v>
      </c>
      <c r="T21" s="37" t="n">
        <v>23.54</v>
      </c>
      <c r="U21" s="37" t="n">
        <v>191.12</v>
      </c>
      <c r="V21" s="38" t="n">
        <v>80</v>
      </c>
      <c r="W21" s="38" t="n">
        <v>80</v>
      </c>
      <c r="X21" s="38" t="n">
        <v>80</v>
      </c>
      <c r="Y21" s="38" t="n">
        <v>80</v>
      </c>
      <c r="Z21" s="38" t="n">
        <v>80</v>
      </c>
      <c r="AA21" s="36">
        <f>SUM(O21:U21)</f>
        <v/>
      </c>
      <c r="AB21" s="36">
        <f>SUM(O21:Z21)</f>
        <v/>
      </c>
      <c r="AC21" s="38" t="n">
        <v>80</v>
      </c>
      <c r="AD21" s="38" t="n">
        <v>80</v>
      </c>
      <c r="AE21" s="38" t="n">
        <v>80</v>
      </c>
      <c r="AF21" s="38" t="n">
        <v>80</v>
      </c>
      <c r="AG21" s="38" t="n">
        <v>80</v>
      </c>
      <c r="AH21" s="38" t="n">
        <v>80</v>
      </c>
      <c r="AI21" s="117" t="n">
        <v>80</v>
      </c>
      <c r="AJ21" s="118" t="n">
        <v>80</v>
      </c>
      <c r="AK21" s="118" t="n">
        <v>80</v>
      </c>
      <c r="AL21" s="118" t="n">
        <v>80</v>
      </c>
      <c r="AM21" s="119" t="n">
        <v>80</v>
      </c>
      <c r="AN21" s="117" t="n">
        <v>80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SUMIF('YBHN LE TB'!$R:$R,'LE P&amp;L'!$A22,'YBHN LE TB'!C:C)</f>
        <v/>
      </c>
      <c r="P22" s="37">
        <f>SUMIF('YBHN LE TB'!$R:$R,'LE P&amp;L'!$A22,'YBHN LE TB'!D:D)</f>
        <v/>
      </c>
      <c r="Q22" s="37">
        <f>SUMIF('YBHN LE TB'!$R:$R,'LE P&amp;L'!$A22,'YBHN LE TB'!E:E)</f>
        <v/>
      </c>
      <c r="R22" s="37">
        <f>SUMIF('YBHN LE TB'!$R:$R,'LE P&amp;L'!$A22,'YBHN LE TB'!F:F)</f>
        <v/>
      </c>
      <c r="S22" s="37">
        <f>SUMIF('YBHN LE TB'!$R:$R,'LE P&amp;L'!$A22,'YBHN LE TB'!G:G)</f>
        <v/>
      </c>
      <c r="T22" s="37">
        <f>SUMIF('YBHN LE TB'!$R:$R,'LE P&amp;L'!$A22,'YBHN LE TB'!H:H)</f>
        <v/>
      </c>
      <c r="U22" s="37">
        <f>SUMIF('YBHN LE TB'!$R:$R,'LE P&amp;L'!$A22,'YBHN LE TB'!I:I)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33</v>
      </c>
      <c r="I23" s="35" t="n">
        <v>0</v>
      </c>
      <c r="J23" s="35" t="n">
        <v>31.5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 t="n">
        <v>16.5</v>
      </c>
      <c r="P23" s="37" t="n">
        <v>50.23</v>
      </c>
      <c r="Q23" s="37" t="n">
        <v>15.28</v>
      </c>
      <c r="R23" s="37" t="n">
        <v>0</v>
      </c>
      <c r="S23" s="37" t="n">
        <v>16.5</v>
      </c>
      <c r="T23" s="37" t="n">
        <v>0</v>
      </c>
      <c r="U23" s="37" t="n">
        <v>31.9</v>
      </c>
      <c r="V23" s="38" t="n">
        <v>33</v>
      </c>
      <c r="W23" s="38" t="n">
        <v>33</v>
      </c>
      <c r="X23" s="38" t="n">
        <v>33</v>
      </c>
      <c r="Y23" s="38" t="n">
        <v>33</v>
      </c>
      <c r="Z23" s="38" t="n">
        <v>33</v>
      </c>
      <c r="AA23" s="36">
        <f>SUM(O23:U23)</f>
        <v/>
      </c>
      <c r="AB23" s="36">
        <f>SUM(O23:Z23)</f>
        <v/>
      </c>
      <c r="AC23" s="38" t="n">
        <v>33</v>
      </c>
      <c r="AD23" s="38" t="n">
        <v>33</v>
      </c>
      <c r="AE23" s="38" t="n">
        <v>33</v>
      </c>
      <c r="AF23" s="38" t="n">
        <v>33</v>
      </c>
      <c r="AG23" s="38" t="n">
        <v>33</v>
      </c>
      <c r="AH23" s="38" t="n">
        <v>33</v>
      </c>
      <c r="AI23" s="117" t="n">
        <v>33</v>
      </c>
      <c r="AJ23" s="118" t="n">
        <v>33</v>
      </c>
      <c r="AK23" s="118" t="n">
        <v>33</v>
      </c>
      <c r="AL23" s="118" t="n">
        <v>33</v>
      </c>
      <c r="AM23" s="119" t="n">
        <v>33</v>
      </c>
      <c r="AN23" s="117" t="n">
        <v>33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SUMIF('YBHN LE TB'!$R:$R,'LE P&amp;L'!$A24,'YBHN LE TB'!C:C)</f>
        <v/>
      </c>
      <c r="P24" s="37">
        <f>SUMIF('YBHN LE TB'!$R:$R,'LE P&amp;L'!$A24,'YBHN LE TB'!D:D)</f>
        <v/>
      </c>
      <c r="Q24" s="37">
        <f>SUMIF('YBHN LE TB'!$R:$R,'LE P&amp;L'!$A24,'YBHN LE TB'!E:E)</f>
        <v/>
      </c>
      <c r="R24" s="37">
        <f>SUMIF('YBHN LE TB'!$R:$R,'LE P&amp;L'!$A24,'YBHN LE TB'!F:F)</f>
        <v/>
      </c>
      <c r="S24" s="37">
        <f>SUMIF('YBHN LE TB'!$R:$R,'LE P&amp;L'!$A24,'YBHN LE TB'!G:G)</f>
        <v/>
      </c>
      <c r="T24" s="37">
        <f>SUMIF('YBHN LE TB'!$R:$R,'LE P&amp;L'!$A24,'YBHN LE TB'!H:H)</f>
        <v/>
      </c>
      <c r="U24" s="37">
        <f>SUMIF('YBHN LE TB'!$R:$R,'LE P&amp;L'!$A24,'YBHN LE TB'!I:I)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22962.82999999999</v>
      </c>
      <c r="C25" s="42" t="n">
        <v>22797.73</v>
      </c>
      <c r="D25" s="42" t="n">
        <v>24093.15</v>
      </c>
      <c r="E25" s="42" t="n">
        <v>28572.22</v>
      </c>
      <c r="F25" s="42" t="n">
        <v>26799.23</v>
      </c>
      <c r="G25" s="42" t="n">
        <v>26364.45</v>
      </c>
      <c r="H25" s="42" t="n">
        <v>26967.23</v>
      </c>
      <c r="I25" s="42" t="n">
        <v>21412.27</v>
      </c>
      <c r="J25" s="42" t="n">
        <v>21400.54</v>
      </c>
      <c r="K25" s="42" t="n">
        <v>22378.38</v>
      </c>
      <c r="L25" s="42" t="n">
        <v>22109.79</v>
      </c>
      <c r="M25" s="42" t="n">
        <v>22259.56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1332.6</v>
      </c>
      <c r="C27" s="35" t="n">
        <v>1191.73</v>
      </c>
      <c r="D27" s="35" t="n">
        <v>1025.59</v>
      </c>
      <c r="E27" s="35" t="n">
        <v>910.41</v>
      </c>
      <c r="F27" s="35" t="n">
        <v>1198.8</v>
      </c>
      <c r="G27" s="35" t="n">
        <v>1030.9</v>
      </c>
      <c r="H27" s="35" t="n">
        <v>1110.68</v>
      </c>
      <c r="I27" s="35" t="n">
        <v>937.1999999999999</v>
      </c>
      <c r="J27" s="35" t="n">
        <v>1236.03</v>
      </c>
      <c r="K27" s="35" t="n">
        <v>1802.97</v>
      </c>
      <c r="L27" s="35" t="n">
        <v>1242.95</v>
      </c>
      <c r="M27" s="35" t="n">
        <v>1292.99</v>
      </c>
      <c r="N27" s="36">
        <f>SUM(B27:M27)</f>
        <v/>
      </c>
      <c r="O27" s="37" t="n">
        <v>1428.67</v>
      </c>
      <c r="P27" s="37" t="n">
        <v>1894.54</v>
      </c>
      <c r="Q27" s="37" t="n">
        <v>1660.07</v>
      </c>
      <c r="R27" s="37" t="n">
        <v>2099.27</v>
      </c>
      <c r="S27" s="37" t="n">
        <v>1513.13</v>
      </c>
      <c r="T27" s="37" t="n">
        <v>1672.02</v>
      </c>
      <c r="U27" s="37" t="n">
        <v>1682.53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29.48</v>
      </c>
      <c r="C28" s="35" t="n">
        <v>98.81</v>
      </c>
      <c r="D28" s="35" t="n">
        <v>209.15</v>
      </c>
      <c r="E28" s="35" t="n">
        <v>106.54</v>
      </c>
      <c r="F28" s="35" t="n">
        <v>197.64</v>
      </c>
      <c r="G28" s="35" t="n">
        <v>67.42</v>
      </c>
      <c r="H28" s="35" t="n">
        <v>179.26</v>
      </c>
      <c r="I28" s="35" t="n">
        <v>51.75</v>
      </c>
      <c r="J28" s="35" t="n">
        <v>224.25</v>
      </c>
      <c r="K28" s="35" t="n">
        <v>49.58</v>
      </c>
      <c r="L28" s="35" t="n">
        <v>71.05</v>
      </c>
      <c r="M28" s="35" t="n">
        <v>37.20999999999999</v>
      </c>
      <c r="N28" s="36">
        <f>SUM(B28:M28)</f>
        <v/>
      </c>
      <c r="O28" s="37" t="n">
        <v>73.15000000000001</v>
      </c>
      <c r="P28" s="37" t="n">
        <v>25.18</v>
      </c>
      <c r="Q28" s="37" t="n">
        <v>58.1</v>
      </c>
      <c r="R28" s="37" t="n">
        <v>7.19</v>
      </c>
      <c r="S28" s="37" t="n">
        <v>59.06</v>
      </c>
      <c r="T28" s="37" t="n">
        <v>5.49</v>
      </c>
      <c r="U28" s="37" t="n">
        <v>31.95</v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117" t="n">
        <v>58</v>
      </c>
      <c r="AJ28" s="118" t="n">
        <v>58</v>
      </c>
      <c r="AK28" s="118" t="n">
        <v>58</v>
      </c>
      <c r="AL28" s="118" t="n">
        <v>58</v>
      </c>
      <c r="AM28" s="119" t="n">
        <v>58</v>
      </c>
      <c r="AN28" s="117" t="n">
        <v>58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8.18</v>
      </c>
      <c r="C29" s="35" t="n">
        <v>28.97</v>
      </c>
      <c r="D29" s="35" t="n">
        <v>112.31</v>
      </c>
      <c r="E29" s="35" t="n">
        <v>151.3</v>
      </c>
      <c r="F29" s="35" t="n">
        <v>47.69</v>
      </c>
      <c r="G29" s="35" t="n">
        <v>122.42</v>
      </c>
      <c r="H29" s="35" t="n">
        <v>0</v>
      </c>
      <c r="I29" s="35" t="n">
        <v>31.91</v>
      </c>
      <c r="J29" s="35" t="n">
        <v>25.44</v>
      </c>
      <c r="K29" s="35" t="n">
        <v>84.27000000000001</v>
      </c>
      <c r="L29" s="35" t="n">
        <v>198.26</v>
      </c>
      <c r="M29" s="35" t="n">
        <v>107.1</v>
      </c>
      <c r="N29" s="36">
        <f>SUM(B29:M29)</f>
        <v/>
      </c>
      <c r="O29" s="37" t="n">
        <v>0</v>
      </c>
      <c r="P29" s="37" t="n">
        <v>95.16000000000001</v>
      </c>
      <c r="Q29" s="37" t="n">
        <v>324.34</v>
      </c>
      <c r="R29" s="37" t="n">
        <v>9.119999999999999</v>
      </c>
      <c r="S29" s="37" t="n">
        <v>36.43</v>
      </c>
      <c r="T29" s="37" t="n">
        <v>115.48</v>
      </c>
      <c r="U29" s="37" t="n">
        <v>18.98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SUMIF('YBHN LE TB'!$R:$R,'LE P&amp;L'!$A30,'YBHN LE TB'!C:C)</f>
        <v/>
      </c>
      <c r="P30" s="37">
        <f>SUMIF('YBHN LE TB'!$R:$R,'LE P&amp;L'!$A30,'YBHN LE TB'!D:D)</f>
        <v/>
      </c>
      <c r="Q30" s="37">
        <f>SUMIF('YBHN LE TB'!$R:$R,'LE P&amp;L'!$A30,'YBHN LE TB'!E:E)</f>
        <v/>
      </c>
      <c r="R30" s="37">
        <f>SUMIF('YBHN LE TB'!$R:$R,'LE P&amp;L'!$A30,'YBHN LE TB'!F:F)</f>
        <v/>
      </c>
      <c r="S30" s="37">
        <f>SUMIF('YBHN LE TB'!$R:$R,'LE P&amp;L'!$A30,'YBHN LE TB'!G:G)</f>
        <v/>
      </c>
      <c r="T30" s="37">
        <f>SUMIF('YBHN LE TB'!$R:$R,'LE P&amp;L'!$A30,'YBHN LE TB'!H:H)</f>
        <v/>
      </c>
      <c r="U30" s="37">
        <f>SUMIF('YBHN LE TB'!$R:$R,'LE P&amp;L'!$A30,'YBHN LE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7" t="n">
        <v>100</v>
      </c>
      <c r="AJ30" s="118" t="n">
        <v>100</v>
      </c>
      <c r="AK30" s="118" t="n">
        <v>100</v>
      </c>
      <c r="AL30" s="118" t="n">
        <v>100</v>
      </c>
      <c r="AM30" s="119" t="n">
        <v>100</v>
      </c>
      <c r="AN30" s="117" t="n">
        <v>100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0</v>
      </c>
      <c r="C31" s="35" t="n">
        <v>3.99</v>
      </c>
      <c r="D31" s="35" t="n">
        <v>201.16</v>
      </c>
      <c r="E31" s="35" t="n">
        <v>91.98</v>
      </c>
      <c r="F31" s="35" t="n">
        <v>114.68</v>
      </c>
      <c r="G31" s="35" t="n">
        <v>25</v>
      </c>
      <c r="H31" s="35" t="n">
        <v>28.7</v>
      </c>
      <c r="I31" s="35" t="n">
        <v>396.21</v>
      </c>
      <c r="J31" s="35" t="n">
        <v>169.37</v>
      </c>
      <c r="K31" s="35" t="n">
        <v>48.97</v>
      </c>
      <c r="L31" s="35" t="n">
        <v>35.92</v>
      </c>
      <c r="M31" s="35" t="n">
        <v>151.68</v>
      </c>
      <c r="N31" s="36">
        <f>SUM(B31:M31)</f>
        <v/>
      </c>
      <c r="O31" s="37" t="n">
        <v>13.98</v>
      </c>
      <c r="P31" s="37" t="n">
        <v>79.02</v>
      </c>
      <c r="Q31" s="37" t="n">
        <v>33.43</v>
      </c>
      <c r="R31" s="37" t="n">
        <v>46</v>
      </c>
      <c r="S31" s="37" t="n">
        <v>25.88</v>
      </c>
      <c r="T31" s="37" t="n">
        <v>47.97</v>
      </c>
      <c r="U31" s="37" t="n">
        <v>0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7" t="n">
        <v>50</v>
      </c>
      <c r="AJ31" s="118" t="n">
        <v>50</v>
      </c>
      <c r="AK31" s="118" t="n">
        <v>50</v>
      </c>
      <c r="AL31" s="118" t="n">
        <v>50</v>
      </c>
      <c r="AM31" s="119" t="n">
        <v>50</v>
      </c>
      <c r="AN31" s="117" t="n">
        <v>50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131.82</v>
      </c>
      <c r="C32" s="35" t="n">
        <v>33.24</v>
      </c>
      <c r="D32" s="35" t="n">
        <v>57.88</v>
      </c>
      <c r="E32" s="35" t="n">
        <v>31.94</v>
      </c>
      <c r="F32" s="35" t="n">
        <v>52.53</v>
      </c>
      <c r="G32" s="35" t="n">
        <v>76.42999999999999</v>
      </c>
      <c r="H32" s="35" t="n">
        <v>19.38</v>
      </c>
      <c r="I32" s="35" t="n">
        <v>32.9</v>
      </c>
      <c r="J32" s="35" t="n">
        <v>90.89999999999999</v>
      </c>
      <c r="K32" s="35" t="n">
        <v>69.39</v>
      </c>
      <c r="L32" s="35" t="n">
        <v>53.64</v>
      </c>
      <c r="M32" s="35" t="n">
        <v>160.62</v>
      </c>
      <c r="N32" s="36">
        <f>SUM(B32:M32)</f>
        <v/>
      </c>
      <c r="O32" s="37" t="n">
        <v>120.47</v>
      </c>
      <c r="P32" s="37" t="n">
        <v>153.08</v>
      </c>
      <c r="Q32" s="37" t="n">
        <v>198.65</v>
      </c>
      <c r="R32" s="37" t="n">
        <v>181.3</v>
      </c>
      <c r="S32" s="37" t="n">
        <v>115.66</v>
      </c>
      <c r="T32" s="37" t="n">
        <v>241.42</v>
      </c>
      <c r="U32" s="37" t="n">
        <v>125.04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SUMIF('YBHN LE TB'!$R:$R,'LE P&amp;L'!$A33,'YBHN LE TB'!C:C)</f>
        <v/>
      </c>
      <c r="P33" s="37">
        <f>SUMIF('YBHN LE TB'!$R:$R,'LE P&amp;L'!$A33,'YBHN LE TB'!D:D)</f>
        <v/>
      </c>
      <c r="Q33" s="37">
        <f>SUMIF('YBHN LE TB'!$R:$R,'LE P&amp;L'!$A33,'YBHN LE TB'!E:E)</f>
        <v/>
      </c>
      <c r="R33" s="37">
        <f>SUMIF('YBHN LE TB'!$R:$R,'LE P&amp;L'!$A33,'YBHN LE TB'!F:F)</f>
        <v/>
      </c>
      <c r="S33" s="37">
        <f>SUMIF('YBHN LE TB'!$R:$R,'LE P&amp;L'!$A33,'YBHN LE TB'!G:G)</f>
        <v/>
      </c>
      <c r="T33" s="37">
        <f>SUMIF('YBHN LE TB'!$R:$R,'LE P&amp;L'!$A33,'YBHN LE TB'!H:H)</f>
        <v/>
      </c>
      <c r="U33" s="37">
        <f>SUMIF('YBHN LE TB'!$R:$R,'LE P&amp;L'!$A33,'YBHN LE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117" t="n">
        <v>8</v>
      </c>
      <c r="AJ33" s="118" t="n">
        <v>8</v>
      </c>
      <c r="AK33" s="118" t="n">
        <v>8</v>
      </c>
      <c r="AL33" s="118" t="n">
        <v>8</v>
      </c>
      <c r="AM33" s="119" t="n">
        <v>8</v>
      </c>
      <c r="AN33" s="117" t="n">
        <v>8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1502.08</v>
      </c>
      <c r="C34" s="42" t="n">
        <v>1356.74</v>
      </c>
      <c r="D34" s="42" t="n">
        <v>1606.09</v>
      </c>
      <c r="E34" s="42" t="n">
        <v>1292.17</v>
      </c>
      <c r="F34" s="42" t="n">
        <v>1611.34</v>
      </c>
      <c r="G34" s="42" t="n">
        <v>1322.17</v>
      </c>
      <c r="H34" s="42" t="n">
        <v>1338.02</v>
      </c>
      <c r="I34" s="42" t="n">
        <v>1449.97</v>
      </c>
      <c r="J34" s="42" t="n">
        <v>1745.99</v>
      </c>
      <c r="K34" s="42" t="n">
        <v>2055.18</v>
      </c>
      <c r="L34" s="42" t="n">
        <v>1601.82</v>
      </c>
      <c r="M34" s="42" t="n">
        <v>1749.6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541.67</v>
      </c>
      <c r="C36" s="35" t="n">
        <v>541.67</v>
      </c>
      <c r="D36" s="35" t="n">
        <v>541.67</v>
      </c>
      <c r="E36" s="35" t="n">
        <v>541.67</v>
      </c>
      <c r="F36" s="35" t="n">
        <v>541.67</v>
      </c>
      <c r="G36" s="35" t="n">
        <v>541.67</v>
      </c>
      <c r="H36" s="35" t="n">
        <v>541.67</v>
      </c>
      <c r="I36" s="35" t="n">
        <v>541.67</v>
      </c>
      <c r="J36" s="35" t="n">
        <v>541.66</v>
      </c>
      <c r="K36" s="35" t="n">
        <v>541.67</v>
      </c>
      <c r="L36" s="35" t="n">
        <v>541.67</v>
      </c>
      <c r="M36" s="35" t="n">
        <v>541.66</v>
      </c>
      <c r="N36" s="36">
        <f>SUM(B36:M36)</f>
        <v/>
      </c>
      <c r="O36" s="37" t="n">
        <v>0</v>
      </c>
      <c r="P36" s="37" t="n">
        <v>0</v>
      </c>
      <c r="Q36" s="37" t="n">
        <v>-0.009999999999990905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426.23</v>
      </c>
      <c r="C37" s="35" t="n">
        <v>426.23</v>
      </c>
      <c r="D37" s="35" t="n">
        <v>426.23</v>
      </c>
      <c r="E37" s="35" t="n">
        <v>426.23</v>
      </c>
      <c r="F37" s="35" t="n">
        <v>426.23</v>
      </c>
      <c r="G37" s="35" t="n">
        <v>426.23</v>
      </c>
      <c r="H37" s="35" t="n">
        <v>426.23</v>
      </c>
      <c r="I37" s="35" t="n">
        <v>426.23</v>
      </c>
      <c r="J37" s="35" t="n">
        <v>426.23</v>
      </c>
      <c r="K37" s="35" t="n">
        <v>426.23</v>
      </c>
      <c r="L37" s="35" t="n">
        <v>426.23</v>
      </c>
      <c r="M37" s="35" t="n">
        <v>426.23</v>
      </c>
      <c r="N37" s="36">
        <f>SUM(B37:M37)</f>
        <v/>
      </c>
      <c r="O37" s="37" t="n">
        <v>426.23</v>
      </c>
      <c r="P37" s="37" t="n">
        <v>426.23</v>
      </c>
      <c r="Q37" s="37" t="n">
        <v>426.22</v>
      </c>
      <c r="R37" s="37" t="n">
        <v>447.54</v>
      </c>
      <c r="S37" s="37" t="n">
        <v>447.54</v>
      </c>
      <c r="T37" s="37" t="n">
        <v>447.54</v>
      </c>
      <c r="U37" s="37" t="n">
        <v>447.54</v>
      </c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117" t="n">
        <v>0</v>
      </c>
      <c r="AJ37" s="118" t="n">
        <v>0</v>
      </c>
      <c r="AK37" s="118" t="n">
        <v>0</v>
      </c>
      <c r="AL37" s="118" t="n">
        <v>0</v>
      </c>
      <c r="AM37" s="119" t="n">
        <v>0</v>
      </c>
      <c r="AN37" s="117" t="n">
        <v>0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1144.51</v>
      </c>
      <c r="C38" s="35" t="n">
        <v>1876.52</v>
      </c>
      <c r="D38" s="35" t="n">
        <v>3731.16</v>
      </c>
      <c r="E38" s="35" t="n">
        <v>2446.87</v>
      </c>
      <c r="F38" s="35" t="n">
        <v>-507.1600000000001</v>
      </c>
      <c r="G38" s="35" t="n">
        <v>852.76</v>
      </c>
      <c r="H38" s="35" t="n">
        <v>771.11</v>
      </c>
      <c r="I38" s="35" t="n">
        <v>2306.56</v>
      </c>
      <c r="J38" s="35" t="n">
        <v>853.0600000000001</v>
      </c>
      <c r="K38" s="35" t="n">
        <v>2101.48</v>
      </c>
      <c r="L38" s="35" t="n">
        <v>2463.12</v>
      </c>
      <c r="M38" s="35" t="n">
        <v>3402.53</v>
      </c>
      <c r="N38" s="36">
        <f>SUM(B38:M38)</f>
        <v/>
      </c>
      <c r="O38" s="37" t="n">
        <v>2109.25</v>
      </c>
      <c r="P38" s="37" t="n">
        <v>2316.27</v>
      </c>
      <c r="Q38" s="37" t="n">
        <v>1417.04</v>
      </c>
      <c r="R38" s="37" t="n">
        <v>1804.14</v>
      </c>
      <c r="S38" s="37" t="n">
        <v>1026.04</v>
      </c>
      <c r="T38" s="37" t="n">
        <v>1890.08</v>
      </c>
      <c r="U38" s="37" t="n">
        <v>1648.84</v>
      </c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117" t="n">
        <v>0</v>
      </c>
      <c r="AJ38" s="118" t="n">
        <v>0</v>
      </c>
      <c r="AK38" s="118" t="n">
        <v>0</v>
      </c>
      <c r="AL38" s="118" t="n">
        <v>0</v>
      </c>
      <c r="AM38" s="119" t="n">
        <v>0</v>
      </c>
      <c r="AN38" s="117" t="n">
        <v>0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0</v>
      </c>
      <c r="C39" s="35" t="n">
        <v>14.36</v>
      </c>
      <c r="D39" s="35" t="n">
        <v>327.5</v>
      </c>
      <c r="E39" s="35" t="n">
        <v>305.35</v>
      </c>
      <c r="F39" s="35" t="n">
        <v>370.59</v>
      </c>
      <c r="G39" s="35" t="n">
        <v>26.58</v>
      </c>
      <c r="H39" s="35" t="n">
        <v>0</v>
      </c>
      <c r="I39" s="35" t="n">
        <v>32.82</v>
      </c>
      <c r="J39" s="35" t="n">
        <v>0</v>
      </c>
      <c r="K39" s="35" t="n">
        <v>0</v>
      </c>
      <c r="L39" s="35" t="n">
        <v>27.8</v>
      </c>
      <c r="M39" s="35" t="n">
        <v>268.7</v>
      </c>
      <c r="N39" s="36">
        <f>SUM(B39:M39)</f>
        <v/>
      </c>
      <c r="O39" s="37" t="n">
        <v>0</v>
      </c>
      <c r="P39" s="37" t="n">
        <v>90.59999999999999</v>
      </c>
      <c r="Q39" s="37" t="n">
        <v>0</v>
      </c>
      <c r="R39" s="37" t="n">
        <v>279</v>
      </c>
      <c r="S39" s="37" t="n">
        <v>0</v>
      </c>
      <c r="T39" s="37" t="n">
        <v>0</v>
      </c>
      <c r="U39" s="37" t="n">
        <v>369.46</v>
      </c>
      <c r="V39" s="38" t="n"/>
      <c r="W39" s="38" t="n">
        <v>4000</v>
      </c>
      <c r="X39" s="38" t="n">
        <v>3000</v>
      </c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341.18</v>
      </c>
      <c r="C40" s="35" t="n">
        <v>0</v>
      </c>
      <c r="D40" s="35" t="n">
        <v>495.47</v>
      </c>
      <c r="E40" s="35" t="n">
        <v>147.98</v>
      </c>
      <c r="F40" s="35" t="n">
        <v>216.21</v>
      </c>
      <c r="G40" s="35" t="n">
        <v>0</v>
      </c>
      <c r="H40" s="35" t="n">
        <v>42.92</v>
      </c>
      <c r="I40" s="35" t="n">
        <v>219.35</v>
      </c>
      <c r="J40" s="35" t="n">
        <v>417.65</v>
      </c>
      <c r="K40" s="35" t="n">
        <v>206.69</v>
      </c>
      <c r="L40" s="35" t="n">
        <v>0</v>
      </c>
      <c r="M40" s="35" t="n">
        <v>146.16</v>
      </c>
      <c r="N40" s="36">
        <f>SUM(B40:M40)</f>
        <v/>
      </c>
      <c r="O40" s="37" t="n">
        <v>0</v>
      </c>
      <c r="P40" s="37" t="n">
        <v>670.87</v>
      </c>
      <c r="Q40" s="37" t="n">
        <v>178.99</v>
      </c>
      <c r="R40" s="37" t="n">
        <v>6.98</v>
      </c>
      <c r="S40" s="37" t="n">
        <v>0</v>
      </c>
      <c r="T40" s="37" t="n">
        <v>239.77</v>
      </c>
      <c r="U40" s="37" t="n">
        <v>277.39</v>
      </c>
      <c r="V40" s="38" t="n">
        <v>200</v>
      </c>
      <c r="W40" s="38" t="n">
        <v>200</v>
      </c>
      <c r="X40" s="38" t="n">
        <v>200</v>
      </c>
      <c r="Y40" s="38" t="n">
        <v>200</v>
      </c>
      <c r="Z40" s="38" t="n">
        <v>200</v>
      </c>
      <c r="AA40" s="36">
        <f>SUM(O40:U40)</f>
        <v/>
      </c>
      <c r="AB40" s="36">
        <f>SUM(O40:Z40)</f>
        <v/>
      </c>
      <c r="AC40" s="38" t="n">
        <v>200</v>
      </c>
      <c r="AD40" s="38" t="n">
        <v>200</v>
      </c>
      <c r="AE40" s="38" t="n">
        <v>200</v>
      </c>
      <c r="AF40" s="38" t="n">
        <v>200</v>
      </c>
      <c r="AG40" s="38" t="n">
        <v>200</v>
      </c>
      <c r="AH40" s="38" t="n">
        <v>200</v>
      </c>
      <c r="AI40" s="117" t="n">
        <v>200</v>
      </c>
      <c r="AJ40" s="118" t="n">
        <v>200</v>
      </c>
      <c r="AK40" s="118" t="n">
        <v>200</v>
      </c>
      <c r="AL40" s="118" t="n">
        <v>200</v>
      </c>
      <c r="AM40" s="119" t="n">
        <v>200</v>
      </c>
      <c r="AN40" s="117" t="n">
        <v>200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346.68</v>
      </c>
      <c r="C41" s="35" t="n">
        <v>537.6600000000001</v>
      </c>
      <c r="D41" s="35" t="n">
        <v>397.6799999999999</v>
      </c>
      <c r="E41" s="35" t="n">
        <v>356.33</v>
      </c>
      <c r="F41" s="35" t="n">
        <v>380.74</v>
      </c>
      <c r="G41" s="35" t="n">
        <v>446.01</v>
      </c>
      <c r="H41" s="35" t="n">
        <v>380.74</v>
      </c>
      <c r="I41" s="35" t="n">
        <v>551.72</v>
      </c>
      <c r="J41" s="35" t="n">
        <v>434.15</v>
      </c>
      <c r="K41" s="35" t="n">
        <v>431.14</v>
      </c>
      <c r="L41" s="35" t="n">
        <v>389.72</v>
      </c>
      <c r="M41" s="35" t="n">
        <v>443.13</v>
      </c>
      <c r="N41" s="36">
        <f>SUM(B41:M41)</f>
        <v/>
      </c>
      <c r="O41" s="37" t="n">
        <v>389.73</v>
      </c>
      <c r="P41" s="37" t="n">
        <v>389.73</v>
      </c>
      <c r="Q41" s="37" t="n">
        <v>478.53</v>
      </c>
      <c r="R41" s="37" t="n">
        <v>548.1700000000001</v>
      </c>
      <c r="S41" s="37" t="n">
        <v>467.13</v>
      </c>
      <c r="T41" s="37" t="n">
        <v>281.67</v>
      </c>
      <c r="U41" s="37" t="n">
        <v>571.89</v>
      </c>
      <c r="V41" s="38" t="n">
        <v>426</v>
      </c>
      <c r="W41" s="38" t="n">
        <v>426</v>
      </c>
      <c r="X41" s="38" t="n">
        <v>426</v>
      </c>
      <c r="Y41" s="38" t="n">
        <v>426</v>
      </c>
      <c r="Z41" s="38" t="n">
        <v>426</v>
      </c>
      <c r="AA41" s="36">
        <f>SUM(O41:U41)</f>
        <v/>
      </c>
      <c r="AB41" s="36">
        <f>SUM(O41:Z41)</f>
        <v/>
      </c>
      <c r="AC41" s="38" t="n">
        <v>426</v>
      </c>
      <c r="AD41" s="38" t="n">
        <v>426</v>
      </c>
      <c r="AE41" s="38" t="n">
        <v>426</v>
      </c>
      <c r="AF41" s="38" t="n">
        <v>426</v>
      </c>
      <c r="AG41" s="38" t="n">
        <v>426</v>
      </c>
      <c r="AH41" s="38" t="n">
        <v>426</v>
      </c>
      <c r="AI41" s="117" t="n">
        <v>426</v>
      </c>
      <c r="AJ41" s="118" t="n">
        <v>426</v>
      </c>
      <c r="AK41" s="118" t="n">
        <v>426</v>
      </c>
      <c r="AL41" s="118" t="n">
        <v>426</v>
      </c>
      <c r="AM41" s="119" t="n">
        <v>426</v>
      </c>
      <c r="AN41" s="117" t="n">
        <v>426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27.13</v>
      </c>
      <c r="C42" s="35" t="n">
        <v>39.52</v>
      </c>
      <c r="D42" s="35" t="n">
        <v>37.15</v>
      </c>
      <c r="E42" s="35" t="n">
        <v>84.5</v>
      </c>
      <c r="F42" s="35" t="n">
        <v>28.99</v>
      </c>
      <c r="G42" s="35" t="n">
        <v>32.1</v>
      </c>
      <c r="H42" s="35" t="n">
        <v>23.58</v>
      </c>
      <c r="I42" s="35" t="n">
        <v>0</v>
      </c>
      <c r="J42" s="35" t="n">
        <v>166.43</v>
      </c>
      <c r="K42" s="35" t="n">
        <v>695.5</v>
      </c>
      <c r="L42" s="35" t="n">
        <v>0</v>
      </c>
      <c r="M42" s="35" t="n">
        <v>-413.13</v>
      </c>
      <c r="N42" s="36">
        <f>SUM(B42:M42)</f>
        <v/>
      </c>
      <c r="O42" s="37" t="n">
        <v>0</v>
      </c>
      <c r="P42" s="37" t="n">
        <v>20.39</v>
      </c>
      <c r="Q42" s="37" t="n">
        <v>0</v>
      </c>
      <c r="R42" s="37" t="n">
        <v>0</v>
      </c>
      <c r="S42" s="37" t="n">
        <v>0</v>
      </c>
      <c r="T42" s="37" t="n">
        <v>132.04</v>
      </c>
      <c r="U42" s="37" t="n">
        <v>78.31999999999999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20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32</v>
      </c>
      <c r="P43" s="37" t="n">
        <v>73.3</v>
      </c>
      <c r="Q43" s="37" t="n">
        <v>0</v>
      </c>
      <c r="R43" s="37" t="n">
        <v>20</v>
      </c>
      <c r="S43" s="37" t="n">
        <v>0</v>
      </c>
      <c r="T43" s="37" t="n">
        <v>4.95</v>
      </c>
      <c r="U43" s="37" t="n">
        <v>28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SUMIF('YBHN LE TB'!$R:$R,'LE P&amp;L'!$A44,'YBHN LE TB'!C:C)</f>
        <v/>
      </c>
      <c r="P44" s="37">
        <f>SUMIF('YBHN LE TB'!$R:$R,'LE P&amp;L'!$A44,'YBHN LE TB'!D:D)</f>
        <v/>
      </c>
      <c r="Q44" s="37">
        <f>SUMIF('YBHN LE TB'!$R:$R,'LE P&amp;L'!$A44,'YBHN LE TB'!E:E)</f>
        <v/>
      </c>
      <c r="R44" s="37">
        <f>SUMIF('YBHN LE TB'!$R:$R,'LE P&amp;L'!$A44,'YBHN LE TB'!F:F)</f>
        <v/>
      </c>
      <c r="S44" s="37">
        <f>SUMIF('YBHN LE TB'!$R:$R,'LE P&amp;L'!$A44,'YBHN LE TB'!G:G)</f>
        <v/>
      </c>
      <c r="T44" s="37">
        <f>SUMIF('YBHN LE TB'!$R:$R,'LE P&amp;L'!$A44,'YBHN LE TB'!H:H)</f>
        <v/>
      </c>
      <c r="U44" s="37">
        <f>SUMIF('YBHN LE TB'!$R:$R,'LE P&amp;L'!$A44,'YBHN LE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SUMIF('YBHN LE TB'!$R:$R,'LE P&amp;L'!$A45,'YBHN LE TB'!C:C)</f>
        <v/>
      </c>
      <c r="P45" s="37">
        <f>SUMIF('YBHN LE TB'!$R:$R,'LE P&amp;L'!$A45,'YBHN LE TB'!D:D)</f>
        <v/>
      </c>
      <c r="Q45" s="37">
        <f>SUMIF('YBHN LE TB'!$R:$R,'LE P&amp;L'!$A45,'YBHN LE TB'!E:E)</f>
        <v/>
      </c>
      <c r="R45" s="37">
        <f>SUMIF('YBHN LE TB'!$R:$R,'LE P&amp;L'!$A45,'YBHN LE TB'!F:F)</f>
        <v/>
      </c>
      <c r="S45" s="37">
        <f>SUMIF('YBHN LE TB'!$R:$R,'LE P&amp;L'!$A45,'YBHN LE TB'!G:G)</f>
        <v/>
      </c>
      <c r="T45" s="37">
        <f>SUMIF('YBHN LE TB'!$R:$R,'LE P&amp;L'!$A45,'YBHN LE TB'!H:H)</f>
        <v/>
      </c>
      <c r="U45" s="37">
        <f>SUMIF('YBHN LE TB'!$R:$R,'LE P&amp;L'!$A45,'YBHN LE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7" t="n">
        <v>100</v>
      </c>
      <c r="AJ45" s="118" t="n">
        <v>100</v>
      </c>
      <c r="AK45" s="118" t="n">
        <v>100</v>
      </c>
      <c r="AL45" s="118" t="n">
        <v>100</v>
      </c>
      <c r="AM45" s="119" t="n">
        <v>100</v>
      </c>
      <c r="AN45" s="117" t="n">
        <v>100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SUMIF('YBHN LE TB'!$R:$R,'LE P&amp;L'!$A46,'YBHN LE TB'!C:C)</f>
        <v/>
      </c>
      <c r="P46" s="37">
        <f>SUMIF('YBHN LE TB'!$R:$R,'LE P&amp;L'!$A46,'YBHN LE TB'!D:D)</f>
        <v/>
      </c>
      <c r="Q46" s="37">
        <f>SUMIF('YBHN LE TB'!$R:$R,'LE P&amp;L'!$A46,'YBHN LE TB'!E:E)</f>
        <v/>
      </c>
      <c r="R46" s="37">
        <f>SUMIF('YBHN LE TB'!$R:$R,'LE P&amp;L'!$A46,'YBHN LE TB'!F:F)</f>
        <v/>
      </c>
      <c r="S46" s="37">
        <f>SUMIF('YBHN LE TB'!$R:$R,'LE P&amp;L'!$A46,'YBHN LE TB'!G:G)</f>
        <v/>
      </c>
      <c r="T46" s="37">
        <f>SUMIF('YBHN LE TB'!$R:$R,'LE P&amp;L'!$A46,'YBHN LE TB'!H:H)</f>
        <v/>
      </c>
      <c r="U46" s="37">
        <f>SUMIF('YBHN LE TB'!$R:$R,'LE P&amp;L'!$A46,'YBHN LE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2827.4</v>
      </c>
      <c r="C47" s="42" t="n">
        <v>3435.96</v>
      </c>
      <c r="D47" s="42" t="n">
        <v>5956.86</v>
      </c>
      <c r="E47" s="42" t="n">
        <v>4308.93</v>
      </c>
      <c r="F47" s="42" t="n">
        <v>1457.27</v>
      </c>
      <c r="G47" s="42" t="n">
        <v>2325.35</v>
      </c>
      <c r="H47" s="42" t="n">
        <v>2186.25</v>
      </c>
      <c r="I47" s="42" t="n">
        <v>4078.35</v>
      </c>
      <c r="J47" s="42" t="n">
        <v>2859.18</v>
      </c>
      <c r="K47" s="42" t="n">
        <v>4402.71</v>
      </c>
      <c r="L47" s="42" t="n">
        <v>3848.54</v>
      </c>
      <c r="M47" s="42" t="n">
        <v>4815.28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27292.31</v>
      </c>
      <c r="C48" s="23" t="n">
        <v>27590.43</v>
      </c>
      <c r="D48" s="23" t="n">
        <v>31656.1</v>
      </c>
      <c r="E48" s="23" t="n">
        <v>34173.32</v>
      </c>
      <c r="F48" s="23" t="n">
        <v>29867.84</v>
      </c>
      <c r="G48" s="23" t="n">
        <v>30011.97</v>
      </c>
      <c r="H48" s="23" t="n">
        <v>30491.5</v>
      </c>
      <c r="I48" s="23" t="n">
        <v>26940.59</v>
      </c>
      <c r="J48" s="23" t="n">
        <v>26005.71</v>
      </c>
      <c r="K48" s="23" t="n">
        <v>28836.27</v>
      </c>
      <c r="L48" s="23" t="n">
        <v>27560.15000000001</v>
      </c>
      <c r="M48" s="23" t="n">
        <v>28824.44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14736.45</v>
      </c>
      <c r="C50" s="55" t="n">
        <v>10496.75999999999</v>
      </c>
      <c r="D50" s="55" t="n">
        <v>12634.9</v>
      </c>
      <c r="E50" s="55" t="n">
        <v>6084.239999999998</v>
      </c>
      <c r="F50" s="55" t="n">
        <v>9503.759999999998</v>
      </c>
      <c r="G50" s="55" t="n">
        <v>8646.32</v>
      </c>
      <c r="H50" s="55" t="n">
        <v>25970.27999999999</v>
      </c>
      <c r="I50" s="55" t="n">
        <v>4331.549999999996</v>
      </c>
      <c r="J50" s="55" t="n">
        <v>2517.939999999999</v>
      </c>
      <c r="K50" s="55" t="n">
        <v>2547.390000000007</v>
      </c>
      <c r="L50" s="55" t="n">
        <v>9147.700000000001</v>
      </c>
      <c r="M50" s="55" t="n">
        <v>8650.330000000009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SUMIF('YBHN LE TB'!$R:$R,'LE P&amp;L'!$A53,'YBHN LE TB'!C:C)</f>
        <v/>
      </c>
      <c r="P53" s="37">
        <f>SUMIF('YBHN LE TB'!$R:$R,'LE P&amp;L'!$A53,'YBHN LE TB'!D:D)</f>
        <v/>
      </c>
      <c r="Q53" s="37">
        <f>SUMIF('YBHN LE TB'!$R:$R,'LE P&amp;L'!$A53,'YBHN LE TB'!E:E)</f>
        <v/>
      </c>
      <c r="R53" s="37">
        <f>SUMIF('YBHN LE TB'!$R:$R,'LE P&amp;L'!$A53,'YBHN LE TB'!F:F)</f>
        <v/>
      </c>
      <c r="S53" s="37">
        <f>SUMIF('YBHN LE TB'!$R:$R,'LE P&amp;L'!$A53,'YBHN LE TB'!G:G)</f>
        <v/>
      </c>
      <c r="T53" s="37">
        <f>SUMIF('YBHN LE TB'!$R:$R,'LE P&amp;L'!$A53,'YBHN LE TB'!H:H)</f>
        <v/>
      </c>
      <c r="U53" s="37">
        <f>SUMIF('YBHN LE TB'!$R:$R,'LE P&amp;L'!$A53,'YBHN LE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SUMIF('YBHN LE TB'!$R:$R,'LE P&amp;L'!$A54,'YBHN LE TB'!C:C)</f>
        <v/>
      </c>
      <c r="P54" s="37">
        <f>SUMIF('YBHN LE TB'!$R:$R,'LE P&amp;L'!$A54,'YBHN LE TB'!D:D)</f>
        <v/>
      </c>
      <c r="Q54" s="37">
        <f>SUMIF('YBHN LE TB'!$R:$R,'LE P&amp;L'!$A54,'YBHN LE TB'!E:E)</f>
        <v/>
      </c>
      <c r="R54" s="37">
        <f>SUMIF('YBHN LE TB'!$R:$R,'LE P&amp;L'!$A54,'YBHN LE TB'!F:F)</f>
        <v/>
      </c>
      <c r="S54" s="37">
        <f>SUMIF('YBHN LE TB'!$R:$R,'LE P&amp;L'!$A54,'YBHN LE TB'!G:G)</f>
        <v/>
      </c>
      <c r="T54" s="37">
        <f>SUMIF('YBHN LE TB'!$R:$R,'LE P&amp;L'!$A54,'YBHN LE TB'!H:H)</f>
        <v/>
      </c>
      <c r="U54" s="37">
        <f>SUMIF('YBHN LE TB'!$R:$R,'LE P&amp;L'!$A54,'YBHN LE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SUMIF('YBHN LE TB'!$R:$R,'LE P&amp;L'!$A55,'YBHN LE TB'!C:C)</f>
        <v/>
      </c>
      <c r="P55" s="37">
        <f>SUMIF('YBHN LE TB'!$R:$R,'LE P&amp;L'!$A55,'YBHN LE TB'!D:D)</f>
        <v/>
      </c>
      <c r="Q55" s="37">
        <f>SUMIF('YBHN LE TB'!$R:$R,'LE P&amp;L'!$A55,'YBHN LE TB'!E:E)</f>
        <v/>
      </c>
      <c r="R55" s="37">
        <f>SUMIF('YBHN LE TB'!$R:$R,'LE P&amp;L'!$A55,'YBHN LE TB'!F:F)</f>
        <v/>
      </c>
      <c r="S55" s="37">
        <f>SUMIF('YBHN LE TB'!$R:$R,'LE P&amp;L'!$A55,'YBHN LE TB'!G:G)</f>
        <v/>
      </c>
      <c r="T55" s="37">
        <f>SUMIF('YBHN LE TB'!$R:$R,'LE P&amp;L'!$A55,'YBHN LE TB'!H:H)</f>
        <v/>
      </c>
      <c r="U55" s="37">
        <f>SUMIF('YBHN LE TB'!$R:$R,'LE P&amp;L'!$A55,'YBHN LE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SUMIF('YBHN LE TB'!$R:$R,'LE P&amp;L'!$A56,'YBHN LE TB'!C:C)</f>
        <v/>
      </c>
      <c r="P56" s="37">
        <f>SUMIF('YBHN LE TB'!$R:$R,'LE P&amp;L'!$A56,'YBHN LE TB'!D:D)</f>
        <v/>
      </c>
      <c r="Q56" s="37">
        <f>SUMIF('YBHN LE TB'!$R:$R,'LE P&amp;L'!$A56,'YBHN LE TB'!E:E)</f>
        <v/>
      </c>
      <c r="R56" s="37">
        <f>SUMIF('YBHN LE TB'!$R:$R,'LE P&amp;L'!$A56,'YBHN LE TB'!F:F)</f>
        <v/>
      </c>
      <c r="S56" s="37">
        <f>SUMIF('YBHN LE TB'!$R:$R,'LE P&amp;L'!$A56,'YBHN LE TB'!G:G)</f>
        <v/>
      </c>
      <c r="T56" s="37">
        <f>SUMIF('YBHN LE TB'!$R:$R,'LE P&amp;L'!$A56,'YBHN LE TB'!H:H)</f>
        <v/>
      </c>
      <c r="U56" s="37">
        <f>SUMIF('YBHN LE TB'!$R:$R,'LE P&amp;L'!$A56,'YBHN LE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258.01</v>
      </c>
      <c r="N57" s="36">
        <f>SUM(B57:M57)</f>
        <v/>
      </c>
      <c r="O57" s="37">
        <f>SUMIF('YBHN LE TB'!$R:$R,'LE P&amp;L'!$A57,'YBHN LE TB'!C:C)</f>
        <v/>
      </c>
      <c r="P57" s="37">
        <f>SUMIF('YBHN LE TB'!$R:$R,'LE P&amp;L'!$A57,'YBHN LE TB'!D:D)</f>
        <v/>
      </c>
      <c r="Q57" s="37">
        <f>SUMIF('YBHN LE TB'!$R:$R,'LE P&amp;L'!$A57,'YBHN LE TB'!E:E)</f>
        <v/>
      </c>
      <c r="R57" s="37">
        <f>SUMIF('YBHN LE TB'!$R:$R,'LE P&amp;L'!$A57,'YBHN LE TB'!F:F)</f>
        <v/>
      </c>
      <c r="S57" s="37">
        <f>SUMIF('YBHN LE TB'!$R:$R,'LE P&amp;L'!$A57,'YBHN LE TB'!G:G)</f>
        <v/>
      </c>
      <c r="T57" s="37">
        <f>SUMIF('YBHN LE TB'!$R:$R,'LE P&amp;L'!$A57,'YBHN LE TB'!H:H)</f>
        <v/>
      </c>
      <c r="U57" s="37">
        <f>SUMIF('YBHN LE TB'!$R:$R,'LE P&amp;L'!$A57,'YBHN LE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SUMIF('YBHN LE TB'!$R:$R,'LE P&amp;L'!$A58,'YBHN LE TB'!C:C)</f>
        <v/>
      </c>
      <c r="P58" s="37">
        <f>SUMIF('YBHN LE TB'!$R:$R,'LE P&amp;L'!$A58,'YBHN LE TB'!D:D)</f>
        <v/>
      </c>
      <c r="Q58" s="37">
        <f>SUMIF('YBHN LE TB'!$R:$R,'LE P&amp;L'!$A58,'YBHN LE TB'!E:E)</f>
        <v/>
      </c>
      <c r="R58" s="37">
        <f>SUMIF('YBHN LE TB'!$R:$R,'LE P&amp;L'!$A58,'YBHN LE TB'!F:F)</f>
        <v/>
      </c>
      <c r="S58" s="37">
        <f>SUMIF('YBHN LE TB'!$R:$R,'LE P&amp;L'!$A58,'YBHN LE TB'!G:G)</f>
        <v/>
      </c>
      <c r="T58" s="37">
        <f>SUMIF('YBHN LE TB'!$R:$R,'LE P&amp;L'!$A58,'YBHN LE TB'!H:H)</f>
        <v/>
      </c>
      <c r="U58" s="37">
        <f>SUMIF('YBHN LE TB'!$R:$R,'LE P&amp;L'!$A58,'YBHN LE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0.6</v>
      </c>
      <c r="C60" s="35" t="n">
        <v>2.4</v>
      </c>
      <c r="D60" s="35" t="n">
        <v>136.41</v>
      </c>
      <c r="E60" s="35" t="n">
        <v>530.78</v>
      </c>
      <c r="F60" s="35" t="n">
        <v>1.8</v>
      </c>
      <c r="G60" s="35" t="n">
        <v>47.4</v>
      </c>
      <c r="H60" s="35" t="n">
        <v>1.8</v>
      </c>
      <c r="I60" s="35" t="n">
        <v>1.8</v>
      </c>
      <c r="J60" s="35" t="n">
        <v>1.8</v>
      </c>
      <c r="K60" s="35" t="n">
        <v>68.8</v>
      </c>
      <c r="L60" s="35" t="n">
        <v>46.2</v>
      </c>
      <c r="M60" s="35" t="n">
        <v>221.8</v>
      </c>
      <c r="N60" s="36">
        <f>SUM(B60:M60)</f>
        <v/>
      </c>
      <c r="O60" s="37" t="n">
        <v>70.2</v>
      </c>
      <c r="P60" s="37" t="n">
        <v>8.59</v>
      </c>
      <c r="Q60" s="37" t="n">
        <v>27.2</v>
      </c>
      <c r="R60" s="37" t="n">
        <v>630.5</v>
      </c>
      <c r="S60" s="37" t="n">
        <v>13.2</v>
      </c>
      <c r="T60" s="37" t="n">
        <v>13.2</v>
      </c>
      <c r="U60" s="37" t="n">
        <v>13.2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57.93000000000001</v>
      </c>
      <c r="E61" s="35" t="n">
        <v>0</v>
      </c>
      <c r="F61" s="35" t="n">
        <v>68.36</v>
      </c>
      <c r="G61" s="35" t="n">
        <v>8.99</v>
      </c>
      <c r="H61" s="35" t="n">
        <v>6.48</v>
      </c>
      <c r="I61" s="35" t="n">
        <v>0</v>
      </c>
      <c r="J61" s="35" t="n">
        <v>19.94</v>
      </c>
      <c r="K61" s="35" t="n">
        <v>88.73</v>
      </c>
      <c r="L61" s="35" t="n">
        <v>7.29</v>
      </c>
      <c r="M61" s="35" t="n">
        <v>70</v>
      </c>
      <c r="N61" s="36">
        <f>SUM(B61:M61)</f>
        <v/>
      </c>
      <c r="O61" s="37">
        <f>SUMIF('YBHN LE TB'!$R:$R,'LE P&amp;L'!$A61,'YBHN LE TB'!C:C)</f>
        <v/>
      </c>
      <c r="P61" s="37">
        <f>SUMIF('YBHN LE TB'!$R:$R,'LE P&amp;L'!$A61,'YBHN LE TB'!D:D)</f>
        <v/>
      </c>
      <c r="Q61" s="37">
        <f>SUMIF('YBHN LE TB'!$R:$R,'LE P&amp;L'!$A61,'YBHN LE TB'!E:E)</f>
        <v/>
      </c>
      <c r="R61" s="37">
        <f>SUMIF('YBHN LE TB'!$R:$R,'LE P&amp;L'!$A61,'YBHN LE TB'!F:F)</f>
        <v/>
      </c>
      <c r="S61" s="37">
        <f>SUMIF('YBHN LE TB'!$R:$R,'LE P&amp;L'!$A61,'YBHN LE TB'!G:G)</f>
        <v/>
      </c>
      <c r="T61" s="37">
        <f>SUMIF('YBHN LE TB'!$R:$R,'LE P&amp;L'!$A61,'YBHN LE TB'!H:H)</f>
        <v/>
      </c>
      <c r="U61" s="37">
        <f>SUMIF('YBHN LE TB'!$R:$R,'LE P&amp;L'!$A61,'YBHN LE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14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70</v>
      </c>
      <c r="L62" s="35" t="n">
        <v>0</v>
      </c>
      <c r="M62" s="35" t="n">
        <v>0</v>
      </c>
      <c r="N62" s="36">
        <f>SUM(B62:M62)</f>
        <v/>
      </c>
      <c r="O62" s="37">
        <f>SUMIF('YBHN LE TB'!$R:$R,'LE P&amp;L'!$A62,'YBHN LE TB'!C:C)</f>
        <v/>
      </c>
      <c r="P62" s="37">
        <f>SUMIF('YBHN LE TB'!$R:$R,'LE P&amp;L'!$A62,'YBHN LE TB'!D:D)</f>
        <v/>
      </c>
      <c r="Q62" s="37">
        <f>SUMIF('YBHN LE TB'!$R:$R,'LE P&amp;L'!$A62,'YBHN LE TB'!E:E)</f>
        <v/>
      </c>
      <c r="R62" s="37">
        <f>SUMIF('YBHN LE TB'!$R:$R,'LE P&amp;L'!$A62,'YBHN LE TB'!F:F)</f>
        <v/>
      </c>
      <c r="S62" s="37">
        <f>SUMIF('YBHN LE TB'!$R:$R,'LE P&amp;L'!$A62,'YBHN LE TB'!G:G)</f>
        <v/>
      </c>
      <c r="T62" s="37">
        <f>SUMIF('YBHN LE TB'!$R:$R,'LE P&amp;L'!$A62,'YBHN LE TB'!H:H)</f>
        <v/>
      </c>
      <c r="U62" s="37">
        <f>SUMIF('YBHN LE TB'!$R:$R,'LE P&amp;L'!$A62,'YBHN LE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SUMIF('YBHN LE TB'!$R:$R,'LE P&amp;L'!$A63,'YBHN LE TB'!C:C)</f>
        <v/>
      </c>
      <c r="P63" s="37">
        <f>SUMIF('YBHN LE TB'!$R:$R,'LE P&amp;L'!$A63,'YBHN LE TB'!D:D)</f>
        <v/>
      </c>
      <c r="Q63" s="37">
        <f>SUMIF('YBHN LE TB'!$R:$R,'LE P&amp;L'!$A63,'YBHN LE TB'!E:E)</f>
        <v/>
      </c>
      <c r="R63" s="37">
        <f>SUMIF('YBHN LE TB'!$R:$R,'LE P&amp;L'!$A63,'YBHN LE TB'!F:F)</f>
        <v/>
      </c>
      <c r="S63" s="37">
        <f>SUMIF('YBHN LE TB'!$R:$R,'LE P&amp;L'!$A63,'YBHN LE TB'!G:G)</f>
        <v/>
      </c>
      <c r="T63" s="37">
        <f>SUMIF('YBHN LE TB'!$R:$R,'LE P&amp;L'!$A63,'YBHN LE TB'!H:H)</f>
        <v/>
      </c>
      <c r="U63" s="37">
        <f>SUMIF('YBHN LE TB'!$R:$R,'LE P&amp;L'!$A63,'YBHN LE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SUMIF('YBHN LE TB'!$R:$R,'LE P&amp;L'!$A64,'YBHN LE TB'!C:C)</f>
        <v/>
      </c>
      <c r="P64" s="37">
        <f>SUMIF('YBHN LE TB'!$R:$R,'LE P&amp;L'!$A64,'YBHN LE TB'!D:D)</f>
        <v/>
      </c>
      <c r="Q64" s="37">
        <f>SUMIF('YBHN LE TB'!$R:$R,'LE P&amp;L'!$A64,'YBHN LE TB'!E:E)</f>
        <v/>
      </c>
      <c r="R64" s="37">
        <f>SUMIF('YBHN LE TB'!$R:$R,'LE P&amp;L'!$A64,'YBHN LE TB'!F:F)</f>
        <v/>
      </c>
      <c r="S64" s="37">
        <f>SUMIF('YBHN LE TB'!$R:$R,'LE P&amp;L'!$A64,'YBHN LE TB'!G:G)</f>
        <v/>
      </c>
      <c r="T64" s="37">
        <f>SUMIF('YBHN LE TB'!$R:$R,'LE P&amp;L'!$A64,'YBHN LE TB'!H:H)</f>
        <v/>
      </c>
      <c r="U64" s="37">
        <f>SUMIF('YBHN LE TB'!$R:$R,'LE P&amp;L'!$A64,'YBHN LE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SUMIF('YBHN LE TB'!$R:$R,'LE P&amp;L'!$A65,'YBHN LE TB'!C:C)</f>
        <v/>
      </c>
      <c r="P65" s="37">
        <f>SUMIF('YBHN LE TB'!$R:$R,'LE P&amp;L'!$A65,'YBHN LE TB'!D:D)</f>
        <v/>
      </c>
      <c r="Q65" s="37">
        <f>SUMIF('YBHN LE TB'!$R:$R,'LE P&amp;L'!$A65,'YBHN LE TB'!E:E)</f>
        <v/>
      </c>
      <c r="R65" s="37">
        <f>SUMIF('YBHN LE TB'!$R:$R,'LE P&amp;L'!$A65,'YBHN LE TB'!F:F)</f>
        <v/>
      </c>
      <c r="S65" s="37">
        <f>SUMIF('YBHN LE TB'!$R:$R,'LE P&amp;L'!$A65,'YBHN LE TB'!G:G)</f>
        <v/>
      </c>
      <c r="T65" s="37">
        <f>SUMIF('YBHN LE TB'!$R:$R,'LE P&amp;L'!$A65,'YBHN LE TB'!H:H)</f>
        <v/>
      </c>
      <c r="U65" s="37">
        <f>SUMIF('YBHN LE TB'!$R:$R,'LE P&amp;L'!$A65,'YBHN LE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SUMIF('YBHN LE TB'!$R:$R,'LE P&amp;L'!$A66,'YBHN LE TB'!C:C)</f>
        <v/>
      </c>
      <c r="P66" s="37">
        <f>SUMIF('YBHN LE TB'!$R:$R,'LE P&amp;L'!$A66,'YBHN LE TB'!D:D)</f>
        <v/>
      </c>
      <c r="Q66" s="37">
        <f>SUMIF('YBHN LE TB'!$R:$R,'LE P&amp;L'!$A66,'YBHN LE TB'!E:E)</f>
        <v/>
      </c>
      <c r="R66" s="37">
        <f>SUMIF('YBHN LE TB'!$R:$R,'LE P&amp;L'!$A66,'YBHN LE TB'!F:F)</f>
        <v/>
      </c>
      <c r="S66" s="37">
        <f>SUMIF('YBHN LE TB'!$R:$R,'LE P&amp;L'!$A66,'YBHN LE TB'!G:G)</f>
        <v/>
      </c>
      <c r="T66" s="37">
        <f>SUMIF('YBHN LE TB'!$R:$R,'LE P&amp;L'!$A66,'YBHN LE TB'!H:H)</f>
        <v/>
      </c>
      <c r="U66" s="37">
        <f>SUMIF('YBHN LE TB'!$R:$R,'LE P&amp;L'!$A66,'YBHN LE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SUMIF('YBHN LE TB'!$R:$R,'LE P&amp;L'!$A67,'YBHN LE TB'!C:C)</f>
        <v/>
      </c>
      <c r="P67" s="37">
        <f>SUMIF('YBHN LE TB'!$R:$R,'LE P&amp;L'!$A67,'YBHN LE TB'!D:D)</f>
        <v/>
      </c>
      <c r="Q67" s="37">
        <f>SUMIF('YBHN LE TB'!$R:$R,'LE P&amp;L'!$A67,'YBHN LE TB'!E:E)</f>
        <v/>
      </c>
      <c r="R67" s="37">
        <f>SUMIF('YBHN LE TB'!$R:$R,'LE P&amp;L'!$A67,'YBHN LE TB'!F:F)</f>
        <v/>
      </c>
      <c r="S67" s="37">
        <f>SUMIF('YBHN LE TB'!$R:$R,'LE P&amp;L'!$A67,'YBHN LE TB'!G:G)</f>
        <v/>
      </c>
      <c r="T67" s="37">
        <f>SUMIF('YBHN LE TB'!$R:$R,'LE P&amp;L'!$A67,'YBHN LE TB'!H:H)</f>
        <v/>
      </c>
      <c r="U67" s="37">
        <f>SUMIF('YBHN LE TB'!$R:$R,'LE P&amp;L'!$A67,'YBHN LE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SUMIF('YBHN LE TB'!$R:$R,'LE P&amp;L'!$A68,'YBHN LE TB'!C:C)</f>
        <v/>
      </c>
      <c r="P68" s="37">
        <f>SUMIF('YBHN LE TB'!$R:$R,'LE P&amp;L'!$A68,'YBHN LE TB'!D:D)</f>
        <v/>
      </c>
      <c r="Q68" s="37">
        <f>SUMIF('YBHN LE TB'!$R:$R,'LE P&amp;L'!$A68,'YBHN LE TB'!E:E)</f>
        <v/>
      </c>
      <c r="R68" s="37">
        <f>SUMIF('YBHN LE TB'!$R:$R,'LE P&amp;L'!$A68,'YBHN LE TB'!F:F)</f>
        <v/>
      </c>
      <c r="S68" s="37">
        <f>SUMIF('YBHN LE TB'!$R:$R,'LE P&amp;L'!$A68,'YBHN LE TB'!G:G)</f>
        <v/>
      </c>
      <c r="T68" s="37">
        <f>SUMIF('YBHN LE TB'!$R:$R,'LE P&amp;L'!$A68,'YBHN LE TB'!H:H)</f>
        <v/>
      </c>
      <c r="U68" s="37">
        <f>SUMIF('YBHN LE TB'!$R:$R,'LE P&amp;L'!$A68,'YBHN LE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215.98</v>
      </c>
      <c r="C69" s="42" t="n">
        <v>203.78</v>
      </c>
      <c r="D69" s="42" t="n">
        <v>395.72</v>
      </c>
      <c r="E69" s="42" t="n">
        <v>732.16</v>
      </c>
      <c r="F69" s="42" t="n">
        <v>271.53</v>
      </c>
      <c r="G69" s="42" t="n">
        <v>257.77</v>
      </c>
      <c r="H69" s="42" t="n">
        <v>209.66</v>
      </c>
      <c r="I69" s="42" t="n">
        <v>203.18</v>
      </c>
      <c r="J69" s="42" t="n">
        <v>223.12</v>
      </c>
      <c r="K69" s="42" t="n">
        <v>442.33</v>
      </c>
      <c r="L69" s="42" t="n">
        <v>268.29</v>
      </c>
      <c r="M69" s="42" t="n">
        <v>764.61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14520.47</v>
      </c>
      <c r="C70" s="55" t="n">
        <v>10292.97999999999</v>
      </c>
      <c r="D70" s="55" t="n">
        <v>12239.18</v>
      </c>
      <c r="E70" s="55" t="n">
        <v>5352.079999999998</v>
      </c>
      <c r="F70" s="55" t="n">
        <v>9232.229999999998</v>
      </c>
      <c r="G70" s="55" t="n">
        <v>8388.549999999999</v>
      </c>
      <c r="H70" s="55" t="n">
        <v>25760.61999999999</v>
      </c>
      <c r="I70" s="55" t="n">
        <v>4128.369999999995</v>
      </c>
      <c r="J70" s="55" t="n">
        <v>2294.819999999999</v>
      </c>
      <c r="K70" s="55" t="n">
        <v>2105.060000000007</v>
      </c>
      <c r="L70" s="55" t="n">
        <v>8879.41</v>
      </c>
      <c r="M70" s="55" t="n">
        <v>7885.720000000009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7">
        <f>SUM(AC72:AH72)+SUM(AI72:AN72)</f>
        <v/>
      </c>
      <c r="AP72" s="145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7" t="n">
        <v>0</v>
      </c>
      <c r="AJ73" s="117" t="n">
        <v>0</v>
      </c>
      <c r="AK73" s="117" t="n">
        <v>0</v>
      </c>
      <c r="AL73" s="117" t="n">
        <v>0</v>
      </c>
      <c r="AM73" s="117" t="n">
        <v>0</v>
      </c>
      <c r="AN73" s="117" t="n">
        <v>0</v>
      </c>
      <c r="AO73" s="156">
        <f>SUM(AC73:AH73)+SUM(AI73:AN73)</f>
        <v/>
      </c>
      <c r="AP73" s="145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7" t="n">
        <v>0</v>
      </c>
      <c r="AJ74" s="117" t="n">
        <v>0</v>
      </c>
      <c r="AK74" s="117" t="n">
        <v>0</v>
      </c>
      <c r="AL74" s="117" t="n">
        <v>0</v>
      </c>
      <c r="AM74" s="117" t="n">
        <v>0</v>
      </c>
      <c r="AN74" s="117" t="n">
        <v>0</v>
      </c>
      <c r="AO74" s="156">
        <f>SUM(AC74:AH74)+SUM(AI74:AN74)</f>
        <v/>
      </c>
      <c r="AP74" s="145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7" t="n">
        <v>0</v>
      </c>
      <c r="AJ75" s="117" t="n">
        <v>0</v>
      </c>
      <c r="AK75" s="117" t="n">
        <v>0</v>
      </c>
      <c r="AL75" s="117" t="n">
        <v>0</v>
      </c>
      <c r="AM75" s="117" t="n">
        <v>0</v>
      </c>
      <c r="AN75" s="117" t="n">
        <v>0</v>
      </c>
      <c r="AO75" s="156">
        <f>SUM(AC75:AH75)+SUM(AI75:AN75)</f>
        <v/>
      </c>
      <c r="AP75" s="145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7" t="n">
        <v>0</v>
      </c>
      <c r="AJ76" s="117" t="n">
        <v>0</v>
      </c>
      <c r="AK76" s="117" t="n">
        <v>0</v>
      </c>
      <c r="AL76" s="117" t="n">
        <v>0</v>
      </c>
      <c r="AM76" s="117" t="n">
        <v>0</v>
      </c>
      <c r="AN76" s="117" t="n">
        <v>0</v>
      </c>
      <c r="AO76" s="156">
        <f>SUM(AC76:AH76)+SUM(AI76:AN76)</f>
        <v/>
      </c>
      <c r="AP76" s="145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7" t="n">
        <v>0</v>
      </c>
      <c r="AJ77" s="117" t="n">
        <v>0</v>
      </c>
      <c r="AK77" s="117" t="n">
        <v>0</v>
      </c>
      <c r="AL77" s="117" t="n">
        <v>0</v>
      </c>
      <c r="AM77" s="117" t="n">
        <v>0</v>
      </c>
      <c r="AN77" s="117" t="n">
        <v>0</v>
      </c>
      <c r="AO77" s="156">
        <f>SUM(AC77:AH77)+SUM(AI77:AN77)</f>
        <v/>
      </c>
      <c r="AP77" s="145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117" t="n">
        <v>0</v>
      </c>
      <c r="AJ78" s="117" t="n">
        <v>0</v>
      </c>
      <c r="AK78" s="117" t="n">
        <v>0</v>
      </c>
      <c r="AL78" s="117" t="n">
        <v>0</v>
      </c>
      <c r="AM78" s="117" t="n">
        <v>0</v>
      </c>
      <c r="AN78" s="117" t="n">
        <v>0</v>
      </c>
      <c r="AO78" s="156">
        <f>SUM(AC78:AH78)+SUM(AI78:AN78)</f>
        <v/>
      </c>
      <c r="AP78" s="145">
        <f>IF(AB78&lt;&gt;0,(AO78-AB78)/ABS(AB78),0)</f>
        <v/>
      </c>
    </row>
    <row r="79">
      <c r="A79" s="54" t="n"/>
      <c r="B79" s="57" t="n">
        <v>14520.47</v>
      </c>
      <c r="C79" s="57" t="n">
        <v>10292.97999999999</v>
      </c>
      <c r="D79" s="57" t="n">
        <v>12239.18</v>
      </c>
      <c r="E79" s="57" t="n">
        <v>5352.079999999998</v>
      </c>
      <c r="F79" s="57" t="n">
        <v>9232.229999999998</v>
      </c>
      <c r="G79" s="57" t="n">
        <v>8388.549999999999</v>
      </c>
      <c r="H79" s="57" t="n">
        <v>25760.61999999999</v>
      </c>
      <c r="I79" s="57" t="n">
        <v>4128.369999999995</v>
      </c>
      <c r="J79" s="57" t="n">
        <v>2294.819999999999</v>
      </c>
      <c r="K79" s="57" t="n">
        <v>2105.060000000007</v>
      </c>
      <c r="L79" s="57" t="n">
        <v>8879.41</v>
      </c>
      <c r="M79" s="57" t="n">
        <v>7885.720000000009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7">
        <f>SUM(AC79:AH79)+SUM(AI79:AN79)</f>
        <v/>
      </c>
      <c r="AP79" s="145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7">
        <f>SUM(AC80:AH80)+SUM(AI80:AN80)</f>
        <v/>
      </c>
      <c r="AP80" s="145">
        <f>IF(AB80&lt;&gt;0,(AO80-AB80)/ABS(AB80),0)</f>
        <v/>
      </c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42028.76</v>
      </c>
      <c r="C87" s="60" t="n">
        <v>38087.19</v>
      </c>
      <c r="D87" s="60" t="n">
        <v>44291</v>
      </c>
      <c r="E87" s="60" t="n">
        <v>40257.56</v>
      </c>
      <c r="F87" s="60" t="n">
        <v>39371.6</v>
      </c>
      <c r="G87" s="60" t="n">
        <v>38658.29</v>
      </c>
      <c r="H87" s="60" t="n">
        <v>56461.77999999999</v>
      </c>
      <c r="I87" s="60" t="n">
        <v>31272.14</v>
      </c>
      <c r="J87" s="60" t="n">
        <v>28523.65</v>
      </c>
      <c r="K87" s="60" t="n">
        <v>31383.66</v>
      </c>
      <c r="L87" s="60" t="n">
        <v>36707.85000000001</v>
      </c>
      <c r="M87" s="8" t="n"/>
      <c r="N87" s="8" t="n"/>
      <c r="O87" s="60">
        <f>-SUMIF('YBHN LE TB'!$T:$T,'LE P&amp;L'!$A87,'YBHN LE TB'!C:C)</f>
        <v/>
      </c>
      <c r="P87" s="60">
        <f>-SUMIF('YBHN LE TB'!$T:$T,'LE P&amp;L'!$A87,'YBHN LE TB'!D:D)</f>
        <v/>
      </c>
      <c r="Q87" s="60">
        <f>-SUMIF('YBHN LE TB'!$T:$T,'LE P&amp;L'!$A87,'YBHN LE TB'!E:E)</f>
        <v/>
      </c>
      <c r="R87" s="60">
        <f>-SUMIF('YBHN LE TB'!$T:$T,'LE P&amp;L'!$A87,'YBHN LE TB'!F:F)</f>
        <v/>
      </c>
      <c r="S87" s="60">
        <f>-SUMIF('YBHN LE TB'!$T:$T,'LE P&amp;L'!$A87,'YBHN LE TB'!G:G)</f>
        <v/>
      </c>
      <c r="T87" s="60">
        <f>-SUMIF('YBHN LE TB'!$T:$T,'LE P&amp;L'!$A87,'YBHN LE TB'!H:H)</f>
        <v/>
      </c>
      <c r="U87" s="60">
        <f>-SUMIF('YBHN LE TB'!$T:$T,'LE P&amp;L'!$A87,'YBHN LE TB'!I:I)</f>
        <v/>
      </c>
      <c r="V87" s="60">
        <f>-SUMIF('YBHN LE TB'!$T:$T,'LE P&amp;L'!$A87,'YBHN LE TB'!J:J)</f>
        <v/>
      </c>
      <c r="W87" s="60">
        <f>-SUMIF('YBHN LE TB'!$T:$T,'LE P&amp;L'!$A87,'YBHN LE TB'!K:K)</f>
        <v/>
      </c>
      <c r="X87" s="60">
        <f>-SUMIF('YBHN LE TB'!$T:$T,'LE P&amp;L'!$A87,'YBHN LE TB'!L:L)</f>
        <v/>
      </c>
      <c r="Y87" s="60">
        <f>-SUMIF('YBHN LE TB'!$T:$T,'LE P&amp;L'!$A87,'YBHN LE TB'!M:M)</f>
        <v/>
      </c>
      <c r="Z87" s="60">
        <f>-SUMIF('YBHN LE TB'!$T:$T,'LE P&amp;L'!$A87,'YBHN LE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48" t="n">
        <v>0</v>
      </c>
      <c r="AJ87" s="148" t="n">
        <v>0</v>
      </c>
      <c r="AK87" s="148" t="n">
        <v>0</v>
      </c>
      <c r="AL87" s="148" t="n">
        <v>0</v>
      </c>
      <c r="AM87" s="148" t="n">
        <v>0</v>
      </c>
      <c r="AN87" s="148" t="n">
        <v>0</v>
      </c>
      <c r="AO87" s="149">
        <f>SUM(AC87:AH87)+SUM(AI87:AN87)</f>
        <v/>
      </c>
      <c r="AP87" s="145">
        <f>IF(AB87&lt;&gt;0,(AO87-AB87)/ABS(AB87),0)</f>
        <v/>
      </c>
    </row>
    <row r="88">
      <c r="A88" s="34" t="inlineStr">
        <is>
          <t>Direct - Staff Cost</t>
        </is>
      </c>
      <c r="B88" s="18" t="n">
        <v>-22962.82999999999</v>
      </c>
      <c r="C88" s="18" t="n">
        <v>-22797.73</v>
      </c>
      <c r="D88" s="18" t="n">
        <v>-24093.15</v>
      </c>
      <c r="E88" s="18" t="n">
        <v>-28572.22</v>
      </c>
      <c r="F88" s="18" t="n">
        <v>-26799.23</v>
      </c>
      <c r="G88" s="18" t="n">
        <v>-26364.45</v>
      </c>
      <c r="H88" s="18" t="n">
        <v>-26967.23</v>
      </c>
      <c r="I88" s="18" t="n">
        <v>-21412.27</v>
      </c>
      <c r="J88" s="18" t="n">
        <v>-21400.54</v>
      </c>
      <c r="K88" s="18" t="n">
        <v>-22378.38</v>
      </c>
      <c r="L88" s="18" t="n">
        <v>-22109.79</v>
      </c>
      <c r="M88" s="18" t="n"/>
      <c r="N88" s="8" t="n"/>
      <c r="O88" s="60">
        <f>-SUMIF('YBHN LE TB'!$T:$T,'LE P&amp;L'!$A88,'YBHN LE TB'!C:C)</f>
        <v/>
      </c>
      <c r="P88" s="60">
        <f>-SUMIF('YBHN LE TB'!$T:$T,'LE P&amp;L'!$A88,'YBHN LE TB'!D:D)</f>
        <v/>
      </c>
      <c r="Q88" s="60">
        <f>-SUMIF('YBHN LE TB'!$T:$T,'LE P&amp;L'!$A88,'YBHN LE TB'!E:E)</f>
        <v/>
      </c>
      <c r="R88" s="60">
        <f>-SUMIF('YBHN LE TB'!$T:$T,'LE P&amp;L'!$A88,'YBHN LE TB'!F:F)</f>
        <v/>
      </c>
      <c r="S88" s="60">
        <f>-SUMIF('YBHN LE TB'!$T:$T,'LE P&amp;L'!$A88,'YBHN LE TB'!G:G)</f>
        <v/>
      </c>
      <c r="T88" s="60">
        <f>-SUMIF('YBHN LE TB'!$T:$T,'LE P&amp;L'!$A88,'YBHN LE TB'!H:H)</f>
        <v/>
      </c>
      <c r="U88" s="60">
        <f>-SUMIF('YBHN LE TB'!$T:$T,'LE P&amp;L'!$A88,'YBHN LE TB'!I:I)</f>
        <v/>
      </c>
      <c r="V88" s="60">
        <f>-SUMIF('YBHN LE TB'!$T:$T,'LE P&amp;L'!$A88,'YBHN LE TB'!J:J)</f>
        <v/>
      </c>
      <c r="W88" s="60">
        <f>-SUMIF('YBHN LE TB'!$T:$T,'LE P&amp;L'!$A88,'YBHN LE TB'!K:K)</f>
        <v/>
      </c>
      <c r="X88" s="60">
        <f>-SUMIF('YBHN LE TB'!$T:$T,'LE P&amp;L'!$A88,'YBHN LE TB'!L:L)</f>
        <v/>
      </c>
      <c r="Y88" s="60">
        <f>-SUMIF('YBHN LE TB'!$T:$T,'LE P&amp;L'!$A88,'YBHN LE TB'!M:M)</f>
        <v/>
      </c>
      <c r="Z88" s="60">
        <f>-SUMIF('YBHN LE TB'!$T:$T,'LE P&amp;L'!$A88,'YBHN LE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48" t="n">
        <v>0</v>
      </c>
      <c r="AJ88" s="148" t="n">
        <v>0</v>
      </c>
      <c r="AK88" s="148" t="n">
        <v>0</v>
      </c>
      <c r="AL88" s="148" t="n">
        <v>0</v>
      </c>
      <c r="AM88" s="148" t="n">
        <v>0</v>
      </c>
      <c r="AN88" s="148" t="n">
        <v>0</v>
      </c>
      <c r="AO88" s="149">
        <f>SUM(AC88:AH88)+SUM(AI88:AN88)</f>
        <v/>
      </c>
      <c r="AP88" s="145">
        <f>IF(AB88&lt;&gt;0,(AO88-AB88)/ABS(AB88),0)</f>
        <v/>
      </c>
    </row>
    <row r="89">
      <c r="A89" s="60" t="inlineStr">
        <is>
          <t>Direct - Childcare Cost</t>
        </is>
      </c>
      <c r="B89" s="18" t="n">
        <v>-1502.08</v>
      </c>
      <c r="C89" s="18" t="n">
        <v>-1356.74</v>
      </c>
      <c r="D89" s="18" t="n">
        <v>-1606.09</v>
      </c>
      <c r="E89" s="18" t="n">
        <v>-1292.17</v>
      </c>
      <c r="F89" s="18" t="n">
        <v>-1611.34</v>
      </c>
      <c r="G89" s="18" t="n">
        <v>-1322.17</v>
      </c>
      <c r="H89" s="18" t="n">
        <v>-1338.02</v>
      </c>
      <c r="I89" s="18" t="n">
        <v>-1449.97</v>
      </c>
      <c r="J89" s="18" t="n">
        <v>-1745.99</v>
      </c>
      <c r="K89" s="18" t="n">
        <v>-2055.18</v>
      </c>
      <c r="L89" s="18" t="n">
        <v>-1601.82</v>
      </c>
      <c r="M89" s="18" t="n">
        <v>-1749.6</v>
      </c>
      <c r="N89" s="8" t="n"/>
      <c r="O89" s="60">
        <f>-SUMIF('YBHN LE TB'!$T:$T,'LE P&amp;L'!$A89,'YBHN LE TB'!C:C)</f>
        <v/>
      </c>
      <c r="P89" s="60">
        <f>-SUMIF('YBHN LE TB'!$T:$T,'LE P&amp;L'!$A89,'YBHN LE TB'!D:D)</f>
        <v/>
      </c>
      <c r="Q89" s="60">
        <f>-SUMIF('YBHN LE TB'!$T:$T,'LE P&amp;L'!$A89,'YBHN LE TB'!E:E)</f>
        <v/>
      </c>
      <c r="R89" s="60">
        <f>-SUMIF('YBHN LE TB'!$T:$T,'LE P&amp;L'!$A89,'YBHN LE TB'!F:F)</f>
        <v/>
      </c>
      <c r="S89" s="60">
        <f>-SUMIF('YBHN LE TB'!$T:$T,'LE P&amp;L'!$A89,'YBHN LE TB'!G:G)</f>
        <v/>
      </c>
      <c r="T89" s="60">
        <f>-SUMIF('YBHN LE TB'!$T:$T,'LE P&amp;L'!$A89,'YBHN LE TB'!H:H)</f>
        <v/>
      </c>
      <c r="U89" s="60">
        <f>-SUMIF('YBHN LE TB'!$T:$T,'LE P&amp;L'!$A89,'YBHN LE TB'!I:I)</f>
        <v/>
      </c>
      <c r="V89" s="60">
        <f>-SUMIF('YBHN LE TB'!$T:$T,'LE P&amp;L'!$A89,'YBHN LE TB'!J:J)</f>
        <v/>
      </c>
      <c r="W89" s="60">
        <f>-SUMIF('YBHN LE TB'!$T:$T,'LE P&amp;L'!$A89,'YBHN LE TB'!K:K)</f>
        <v/>
      </c>
      <c r="X89" s="60">
        <f>-SUMIF('YBHN LE TB'!$T:$T,'LE P&amp;L'!$A89,'YBHN LE TB'!L:L)</f>
        <v/>
      </c>
      <c r="Y89" s="60">
        <f>-SUMIF('YBHN LE TB'!$T:$T,'LE P&amp;L'!$A89,'YBHN LE TB'!M:M)</f>
        <v/>
      </c>
      <c r="Z89" s="60">
        <f>-SUMIF('YBHN LE TB'!$T:$T,'LE P&amp;L'!$A89,'YBHN LE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48" t="n">
        <v>0</v>
      </c>
      <c r="AJ89" s="148" t="n">
        <v>0</v>
      </c>
      <c r="AK89" s="148" t="n">
        <v>0</v>
      </c>
      <c r="AL89" s="148" t="n">
        <v>0</v>
      </c>
      <c r="AM89" s="148" t="n">
        <v>0</v>
      </c>
      <c r="AN89" s="148" t="n">
        <v>0</v>
      </c>
      <c r="AO89" s="149">
        <f>SUM(AC89:AH89)+SUM(AI89:AN89)</f>
        <v/>
      </c>
      <c r="AP89" s="145">
        <f>IF(AB89&lt;&gt;0,(AO89-AB89)/ABS(AB89),0)</f>
        <v/>
      </c>
    </row>
    <row r="90">
      <c r="A90" s="60" t="inlineStr">
        <is>
          <t>Direct - Premises &amp; Admin</t>
        </is>
      </c>
      <c r="B90" s="18" t="n">
        <v>-2827.4</v>
      </c>
      <c r="C90" s="18" t="n">
        <v>-3435.96</v>
      </c>
      <c r="D90" s="18" t="n">
        <v>-5956.86</v>
      </c>
      <c r="E90" s="18" t="n">
        <v>-4308.93</v>
      </c>
      <c r="F90" s="18" t="n">
        <v>-1457.27</v>
      </c>
      <c r="G90" s="18" t="n">
        <v>-2325.35</v>
      </c>
      <c r="H90" s="18" t="n">
        <v>-2186.25</v>
      </c>
      <c r="I90" s="18" t="n">
        <v>-4078.35</v>
      </c>
      <c r="J90" s="18" t="n">
        <v>-2859.18</v>
      </c>
      <c r="K90" s="18" t="n">
        <v>-4402.709999999999</v>
      </c>
      <c r="L90" s="18" t="n">
        <v>-3848.54</v>
      </c>
      <c r="M90" s="18" t="n">
        <v>-4815.28</v>
      </c>
      <c r="N90" s="8" t="n"/>
      <c r="O90" s="60">
        <f>-SUMIF('YBHN LE TB'!$T:$T,'LE P&amp;L'!$A90,'YBHN LE TB'!C:C)</f>
        <v/>
      </c>
      <c r="P90" s="60">
        <f>-SUMIF('YBHN LE TB'!$T:$T,'LE P&amp;L'!$A90,'YBHN LE TB'!D:D)</f>
        <v/>
      </c>
      <c r="Q90" s="60">
        <f>-SUMIF('YBHN LE TB'!$T:$T,'LE P&amp;L'!$A90,'YBHN LE TB'!E:E)</f>
        <v/>
      </c>
      <c r="R90" s="60">
        <f>-SUMIF('YBHN LE TB'!$T:$T,'LE P&amp;L'!$A90,'YBHN LE TB'!F:F)</f>
        <v/>
      </c>
      <c r="S90" s="60">
        <f>-SUMIF('YBHN LE TB'!$T:$T,'LE P&amp;L'!$A90,'YBHN LE TB'!G:G)</f>
        <v/>
      </c>
      <c r="T90" s="60">
        <f>-SUMIF('YBHN LE TB'!$T:$T,'LE P&amp;L'!$A90,'YBHN LE TB'!H:H)</f>
        <v/>
      </c>
      <c r="U90" s="60">
        <f>-SUMIF('YBHN LE TB'!$T:$T,'LE P&amp;L'!$A90,'YBHN LE TB'!I:I)</f>
        <v/>
      </c>
      <c r="V90" s="60">
        <f>-SUMIF('YBHN LE TB'!$T:$T,'LE P&amp;L'!$A90,'YBHN LE TB'!J:J)</f>
        <v/>
      </c>
      <c r="W90" s="60">
        <f>-SUMIF('YBHN LE TB'!$T:$T,'LE P&amp;L'!$A90,'YBHN LE TB'!K:K)</f>
        <v/>
      </c>
      <c r="X90" s="60">
        <f>-SUMIF('YBHN LE TB'!$T:$T,'LE P&amp;L'!$A90,'YBHN LE TB'!L:L)</f>
        <v/>
      </c>
      <c r="Y90" s="60">
        <f>-SUMIF('YBHN LE TB'!$T:$T,'LE P&amp;L'!$A90,'YBHN LE TB'!M:M)</f>
        <v/>
      </c>
      <c r="Z90" s="60">
        <f>-SUMIF('YBHN LE TB'!$T:$T,'LE P&amp;L'!$A90,'YBHN LE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148" t="n">
        <v>0</v>
      </c>
      <c r="AJ90" s="148" t="n">
        <v>0</v>
      </c>
      <c r="AK90" s="148" t="n">
        <v>0</v>
      </c>
      <c r="AL90" s="148" t="n">
        <v>0</v>
      </c>
      <c r="AM90" s="148" t="n">
        <v>0</v>
      </c>
      <c r="AN90" s="148" t="n">
        <v>0</v>
      </c>
      <c r="AO90" s="149">
        <f>SUM(AC90:AH90)+SUM(AI90:AN90)</f>
        <v/>
      </c>
      <c r="AP90" s="145">
        <f>IF(AB90&lt;&gt;0,(AO90-AB90)/ABS(AB90),0)</f>
        <v/>
      </c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-SUMIF('YBHN LE TB'!$T:$T,'LE P&amp;L'!$A91,'YBHN LE TB'!C:C)</f>
        <v/>
      </c>
      <c r="P91" s="60">
        <f>-SUMIF('YBHN LE TB'!$T:$T,'LE P&amp;L'!$A91,'YBHN LE TB'!D:D)</f>
        <v/>
      </c>
      <c r="Q91" s="60">
        <f>-SUMIF('YBHN LE TB'!$T:$T,'LE P&amp;L'!$A91,'YBHN LE TB'!E:E)</f>
        <v/>
      </c>
      <c r="R91" s="60">
        <f>-SUMIF('YBHN LE TB'!$T:$T,'LE P&amp;L'!$A91,'YBHN LE TB'!F:F)</f>
        <v/>
      </c>
      <c r="S91" s="60">
        <f>-SUMIF('YBHN LE TB'!$T:$T,'LE P&amp;L'!$A91,'YBHN LE TB'!G:G)</f>
        <v/>
      </c>
      <c r="T91" s="60">
        <f>-SUMIF('YBHN LE TB'!$T:$T,'LE P&amp;L'!$A91,'YBHN LE TB'!H:H)</f>
        <v/>
      </c>
      <c r="U91" s="60">
        <f>-SUMIF('YBHN LE TB'!$T:$T,'LE P&amp;L'!$A91,'YBHN LE TB'!I:I)</f>
        <v/>
      </c>
      <c r="V91" s="60">
        <f>-SUMIF('YBHN LE TB'!$T:$T,'LE P&amp;L'!$A91,'YBHN LE TB'!J:J)</f>
        <v/>
      </c>
      <c r="W91" s="60">
        <f>-SUMIF('YBHN LE TB'!$T:$T,'LE P&amp;L'!$A91,'YBHN LE TB'!K:K)</f>
        <v/>
      </c>
      <c r="X91" s="60">
        <f>-SUMIF('YBHN LE TB'!$T:$T,'LE P&amp;L'!$A91,'YBHN LE TB'!L:L)</f>
        <v/>
      </c>
      <c r="Y91" s="60">
        <f>-SUMIF('YBHN LE TB'!$T:$T,'LE P&amp;L'!$A91,'YBHN LE TB'!M:M)</f>
        <v/>
      </c>
      <c r="Z91" s="60">
        <f>-SUMIF('YBHN LE TB'!$T:$T,'LE P&amp;L'!$A91,'YBHN LE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48" t="n">
        <v>0</v>
      </c>
      <c r="AJ91" s="148" t="n">
        <v>0</v>
      </c>
      <c r="AK91" s="148" t="n">
        <v>0</v>
      </c>
      <c r="AL91" s="148" t="n">
        <v>0</v>
      </c>
      <c r="AM91" s="148" t="n">
        <v>0</v>
      </c>
      <c r="AN91" s="148" t="n">
        <v>0</v>
      </c>
      <c r="AO91" s="149">
        <f>SUM(AC91:AH91)+SUM(AI91:AN91)</f>
        <v/>
      </c>
      <c r="AP91" s="145">
        <f>IF(AB91&lt;&gt;0,(AO91-AB91)/ABS(AB91),0)</f>
        <v/>
      </c>
    </row>
    <row r="92">
      <c r="A92" s="60" t="inlineStr">
        <is>
          <t>In-Direct - Overheads</t>
        </is>
      </c>
      <c r="B92" s="18" t="n">
        <v>-215.98</v>
      </c>
      <c r="C92" s="18" t="n">
        <v>-203.78</v>
      </c>
      <c r="D92" s="18" t="n">
        <v>-395.72</v>
      </c>
      <c r="E92" s="18" t="n">
        <v>-732.16</v>
      </c>
      <c r="F92" s="18" t="n">
        <v>-271.53</v>
      </c>
      <c r="G92" s="18" t="n">
        <v>-257.77</v>
      </c>
      <c r="H92" s="18" t="n">
        <v>-209.66</v>
      </c>
      <c r="I92" s="18" t="n">
        <v>-203.18</v>
      </c>
      <c r="J92" s="18" t="n">
        <v>-223.12</v>
      </c>
      <c r="K92" s="18" t="n">
        <v>-442.33</v>
      </c>
      <c r="L92" s="18" t="n">
        <v>-268.29</v>
      </c>
      <c r="M92" s="18" t="n">
        <v>-764.61</v>
      </c>
      <c r="N92" s="8" t="n"/>
      <c r="O92" s="60">
        <f>-SUMIF('YBHN LE TB'!$T:$T,'LE P&amp;L'!$A92,'YBHN LE TB'!C:C)</f>
        <v/>
      </c>
      <c r="P92" s="60">
        <f>-SUMIF('YBHN LE TB'!$T:$T,'LE P&amp;L'!$A92,'YBHN LE TB'!D:D)</f>
        <v/>
      </c>
      <c r="Q92" s="60">
        <f>-SUMIF('YBHN LE TB'!$T:$T,'LE P&amp;L'!$A92,'YBHN LE TB'!E:E)</f>
        <v/>
      </c>
      <c r="R92" s="60">
        <f>-SUMIF('YBHN LE TB'!$T:$T,'LE P&amp;L'!$A92,'YBHN LE TB'!F:F)</f>
        <v/>
      </c>
      <c r="S92" s="60">
        <f>-SUMIF('YBHN LE TB'!$T:$T,'LE P&amp;L'!$A92,'YBHN LE TB'!G:G)</f>
        <v/>
      </c>
      <c r="T92" s="60">
        <f>-SUMIF('YBHN LE TB'!$T:$T,'LE P&amp;L'!$A92,'YBHN LE TB'!H:H)</f>
        <v/>
      </c>
      <c r="U92" s="60">
        <f>-SUMIF('YBHN LE TB'!$T:$T,'LE P&amp;L'!$A92,'YBHN LE TB'!I:I)</f>
        <v/>
      </c>
      <c r="V92" s="60">
        <f>-SUMIF('YBHN LE TB'!$T:$T,'LE P&amp;L'!$A92,'YBHN LE TB'!J:J)</f>
        <v/>
      </c>
      <c r="W92" s="60">
        <f>-SUMIF('YBHN LE TB'!$T:$T,'LE P&amp;L'!$A92,'YBHN LE TB'!K:K)</f>
        <v/>
      </c>
      <c r="X92" s="60">
        <f>-SUMIF('YBHN LE TB'!$T:$T,'LE P&amp;L'!$A92,'YBHN LE TB'!L:L)</f>
        <v/>
      </c>
      <c r="Y92" s="60">
        <f>-SUMIF('YBHN LE TB'!$T:$T,'LE P&amp;L'!$A92,'YBHN LE TB'!M:M)</f>
        <v/>
      </c>
      <c r="Z92" s="60">
        <f>-SUMIF('YBHN LE TB'!$T:$T,'LE P&amp;L'!$A92,'YBHN LE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48" t="n">
        <v>0</v>
      </c>
      <c r="AJ92" s="148" t="n">
        <v>0</v>
      </c>
      <c r="AK92" s="148" t="n">
        <v>0</v>
      </c>
      <c r="AL92" s="148" t="n">
        <v>0</v>
      </c>
      <c r="AM92" s="148" t="n">
        <v>0</v>
      </c>
      <c r="AN92" s="148" t="n">
        <v>0</v>
      </c>
      <c r="AO92" s="149">
        <f>SUM(AC92:AH92)+SUM(AI92:AN92)</f>
        <v/>
      </c>
      <c r="AP92" s="145">
        <f>IF(AB92&lt;&gt;0,(AO92-AB92)/ABS(AB92),0)</f>
        <v/>
      </c>
    </row>
    <row r="93" ht="15.75" customHeight="1">
      <c r="A93" s="8" t="n"/>
      <c r="B93" s="67" t="n">
        <v>14520.47000000001</v>
      </c>
      <c r="C93" s="67" t="n">
        <v>10292.97999999999</v>
      </c>
      <c r="D93" s="67" t="n">
        <v>12239.18</v>
      </c>
      <c r="E93" s="67" t="n">
        <v>5352.079999999996</v>
      </c>
      <c r="F93" s="67" t="n">
        <v>9232.229999999998</v>
      </c>
      <c r="G93" s="67" t="n">
        <v>8388.549999999999</v>
      </c>
      <c r="H93" s="67" t="n">
        <v>25760.61999999999</v>
      </c>
      <c r="I93" s="67" t="n">
        <v>4128.369999999999</v>
      </c>
      <c r="J93" s="67" t="n">
        <v>2294.820000000001</v>
      </c>
      <c r="K93" s="67" t="n">
        <v>2105.060000000007</v>
      </c>
      <c r="L93" s="67" t="n">
        <v>8879.41</v>
      </c>
      <c r="M93" s="67" t="n">
        <v>-7329.489999999999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134" t="n">
        <v>0</v>
      </c>
      <c r="AJ93" s="134" t="n">
        <v>0</v>
      </c>
      <c r="AK93" s="134" t="n">
        <v>0</v>
      </c>
      <c r="AL93" s="134" t="n">
        <v>0</v>
      </c>
      <c r="AM93" s="134" t="n">
        <v>0</v>
      </c>
      <c r="AN93" s="134" t="n">
        <v>0</v>
      </c>
      <c r="AO93" s="150">
        <f>SUM(AC93:AH93)+SUM(AI93:AN93)</f>
        <v/>
      </c>
      <c r="AP93" s="145">
        <f>IF(AB93&lt;&gt;0,(AO93-AB93)/ABS(AB93),0)</f>
        <v/>
      </c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15215.21000000001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148" t="n">
        <v>0</v>
      </c>
      <c r="AJ94" s="148" t="n">
        <v>0</v>
      </c>
      <c r="AK94" s="148" t="n">
        <v>0</v>
      </c>
      <c r="AL94" s="148" t="n">
        <v>0</v>
      </c>
      <c r="AM94" s="148" t="n">
        <v>0</v>
      </c>
      <c r="AN94" s="148" t="n">
        <v>0</v>
      </c>
      <c r="AO94" s="149">
        <f>SUM(AC94:AH94)+SUM(AI94:AN94)</f>
        <v/>
      </c>
      <c r="AP94" s="145">
        <f>IF(AB94&lt;&gt;0,(AO94-AB94)/ABS(AB94),0)</f>
        <v/>
      </c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0</v>
      </c>
      <c r="L96" s="18" t="n">
        <v>0</v>
      </c>
      <c r="M96" s="18" t="n">
        <v>-15215.21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48" t="n">
        <v>0</v>
      </c>
      <c r="AJ96" s="148" t="n">
        <v>0</v>
      </c>
      <c r="AK96" s="148" t="n">
        <v>0</v>
      </c>
      <c r="AL96" s="148" t="n">
        <v>0</v>
      </c>
      <c r="AM96" s="148" t="n">
        <v>0</v>
      </c>
      <c r="AN96" s="148" t="n">
        <v>0</v>
      </c>
      <c r="AO96" s="149">
        <f>SUM(AC96:AH96)+SUM(AI96:AN96)</f>
        <v/>
      </c>
      <c r="AP96" s="145">
        <f>IF(AB96&lt;&gt;0,(AO96-AB96)/ABS(AB96),0)</f>
        <v/>
      </c>
    </row>
    <row r="97">
      <c r="A97" s="8" t="n"/>
      <c r="B97" s="18" t="n">
        <v>-14520.47000000001</v>
      </c>
      <c r="C97" s="18" t="n">
        <v>-10292.98</v>
      </c>
      <c r="D97" s="18" t="n">
        <v>-12239.18</v>
      </c>
      <c r="E97" s="18" t="n">
        <v>-5352.08</v>
      </c>
      <c r="F97" s="18" t="n">
        <v>-9232.23</v>
      </c>
      <c r="G97" s="18" t="n">
        <v>-8388.550000000003</v>
      </c>
      <c r="H97" s="18" t="n">
        <v>-25760.61999999999</v>
      </c>
      <c r="I97" s="18" t="n">
        <v>-4128.37</v>
      </c>
      <c r="J97" s="18" t="n">
        <v>-2294.820000000001</v>
      </c>
      <c r="K97" s="18" t="n">
        <v>-2105.060000000004</v>
      </c>
      <c r="L97" s="18" t="n">
        <v>-8879.410000000005</v>
      </c>
      <c r="M97" s="18" t="n">
        <v>-7885.720000000005</v>
      </c>
      <c r="N97" s="8" t="n"/>
      <c r="O97" s="60">
        <f>SUM('YBHN LE TB'!C2:C42)</f>
        <v/>
      </c>
      <c r="P97" s="60">
        <f>SUM('YBHN LE TB'!D2:D42)</f>
        <v/>
      </c>
      <c r="Q97" s="60">
        <f>SUM('YBHN LE TB'!E2:E42)</f>
        <v/>
      </c>
      <c r="R97" s="60">
        <f>SUM('YBHN LE TB'!F2:F42)</f>
        <v/>
      </c>
      <c r="S97" s="60">
        <f>SUM('YBHN LE TB'!G2:G42)</f>
        <v/>
      </c>
      <c r="T97" s="60">
        <f>SUM('YBHN LE TB'!H2:H42)</f>
        <v/>
      </c>
      <c r="U97" s="60">
        <f>SUM('YBHN LE TB'!I2:I42)</f>
        <v/>
      </c>
      <c r="V97" s="60">
        <f>SUM('YBHN LE TB'!J2:J42)</f>
        <v/>
      </c>
      <c r="W97" s="60">
        <f>SUM('YBHN LE TB'!K2:K42)</f>
        <v/>
      </c>
      <c r="X97" s="60">
        <f>SUM('YBHN LE TB'!L2:L42)</f>
        <v/>
      </c>
      <c r="Y97" s="60">
        <f>SUM('YBHN LE TB'!M2:M42)</f>
        <v/>
      </c>
      <c r="Z97" s="60">
        <f>SUM('YBHN LE TB'!N2:N42)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148" t="n">
        <v>0</v>
      </c>
      <c r="AJ97" s="148" t="n">
        <v>0</v>
      </c>
      <c r="AK97" s="148" t="n">
        <v>0</v>
      </c>
      <c r="AL97" s="148" t="n">
        <v>0</v>
      </c>
      <c r="AM97" s="148" t="n">
        <v>0</v>
      </c>
      <c r="AN97" s="148" t="n">
        <v>0</v>
      </c>
      <c r="AO97" s="149">
        <f>SUM(AC97:AH97)+SUM(AI97:AN97)</f>
        <v/>
      </c>
      <c r="AP97" s="145">
        <f>IF(AB97&lt;&gt;0,(AO97-AB97)/ABS(AB97),0)</f>
        <v/>
      </c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Merrydale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71748.46000000001</v>
      </c>
      <c r="C8" s="35" t="n">
        <v>62355.58</v>
      </c>
      <c r="D8" s="35" t="n">
        <v>73377.48</v>
      </c>
      <c r="E8" s="35" t="n">
        <v>84905.42</v>
      </c>
      <c r="F8" s="35" t="n">
        <v>78933.88</v>
      </c>
      <c r="G8" s="35" t="n">
        <v>76038.8</v>
      </c>
      <c r="H8" s="35" t="n">
        <v>94722.25999999999</v>
      </c>
      <c r="I8" s="35" t="n">
        <v>81393.89</v>
      </c>
      <c r="J8" s="35" t="n">
        <v>67283.53999999999</v>
      </c>
      <c r="K8" s="35" t="n">
        <v>63773.81</v>
      </c>
      <c r="L8" s="35" t="n">
        <v>55368.1</v>
      </c>
      <c r="M8" s="35" t="n">
        <v>74284.68999999999</v>
      </c>
      <c r="N8" s="36">
        <f>SUM(B8:M8)</f>
        <v/>
      </c>
      <c r="O8" s="37" t="n">
        <v>58533.16</v>
      </c>
      <c r="P8" s="37" t="n">
        <v>52500.16</v>
      </c>
      <c r="Q8" s="37" t="n">
        <v>60298.97000000001</v>
      </c>
      <c r="R8" s="37" t="n">
        <v>61812.59999999999</v>
      </c>
      <c r="S8" s="37" t="n">
        <v>52015.74000000001</v>
      </c>
      <c r="T8" s="37" t="n">
        <v>55797.24</v>
      </c>
      <c r="U8" s="37" t="n">
        <v>74838.92999999999</v>
      </c>
      <c r="V8" s="38" t="n">
        <v>68250</v>
      </c>
      <c r="W8" s="38" t="n">
        <v>43443</v>
      </c>
      <c r="X8" s="38" t="n">
        <v>41460</v>
      </c>
      <c r="Y8" s="38" t="n">
        <v>43425</v>
      </c>
      <c r="Z8" s="38" t="n">
        <v>61258</v>
      </c>
      <c r="AA8" s="36">
        <f>SUM(O8:U8)</f>
        <v/>
      </c>
      <c r="AB8" s="36">
        <f>SUM(O8:Z8)</f>
        <v/>
      </c>
      <c r="AC8" s="38" t="n">
        <v>79907.42999999999</v>
      </c>
      <c r="AD8" s="38" t="n">
        <v>74377.98</v>
      </c>
      <c r="AE8" s="38" t="n">
        <v>90136.03999999999</v>
      </c>
      <c r="AF8" s="38" t="n">
        <v>81715.39</v>
      </c>
      <c r="AG8" s="38" t="n">
        <v>85494.06</v>
      </c>
      <c r="AH8" s="38" t="n">
        <v>91076.72</v>
      </c>
      <c r="AI8" s="117" t="n">
        <v>91076.72</v>
      </c>
      <c r="AJ8" s="118" t="n">
        <v>91076.72</v>
      </c>
      <c r="AK8" s="118" t="n">
        <v>91076.72</v>
      </c>
      <c r="AL8" s="118" t="n">
        <v>91076.72</v>
      </c>
      <c r="AM8" s="119" t="n">
        <v>91076.72</v>
      </c>
      <c r="AN8" s="117" t="n">
        <v>91076.72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27056.38</v>
      </c>
      <c r="C9" s="35" t="n">
        <v>27056.38</v>
      </c>
      <c r="D9" s="35" t="n">
        <v>27641.21</v>
      </c>
      <c r="E9" s="35" t="n">
        <v>20062.71</v>
      </c>
      <c r="F9" s="35" t="n">
        <v>20062.71</v>
      </c>
      <c r="G9" s="35" t="n">
        <v>20062.71</v>
      </c>
      <c r="H9" s="35" t="n">
        <v>53755.95</v>
      </c>
      <c r="I9" s="35" t="n">
        <v>0</v>
      </c>
      <c r="J9" s="35" t="n">
        <v>24868.19</v>
      </c>
      <c r="K9" s="35" t="n">
        <v>24868.19</v>
      </c>
      <c r="L9" s="35" t="n">
        <v>53954.23</v>
      </c>
      <c r="M9" s="35" t="n">
        <v>54512.01</v>
      </c>
      <c r="N9" s="36">
        <f>SUM(B9:M9)</f>
        <v/>
      </c>
      <c r="O9" s="37" t="n">
        <v>38841.31</v>
      </c>
      <c r="P9" s="37" t="n">
        <v>38841.31</v>
      </c>
      <c r="Q9" s="37" t="n">
        <v>40377.93</v>
      </c>
      <c r="R9" s="37" t="n">
        <v>32949.32</v>
      </c>
      <c r="S9" s="37" t="n">
        <v>32949.32</v>
      </c>
      <c r="T9" s="37" t="n">
        <v>33336.41</v>
      </c>
      <c r="U9" s="37" t="n">
        <v>33078.35</v>
      </c>
      <c r="V9" s="38" t="n">
        <v>0</v>
      </c>
      <c r="W9" s="38" t="n">
        <v>30009</v>
      </c>
      <c r="X9" s="38" t="n">
        <v>37283</v>
      </c>
      <c r="Y9" s="38" t="n">
        <v>35976</v>
      </c>
      <c r="Z9" s="38" t="n">
        <v>16335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250</v>
      </c>
      <c r="C10" s="35" t="n">
        <v>150</v>
      </c>
      <c r="D10" s="35" t="n">
        <v>400</v>
      </c>
      <c r="E10" s="35" t="n">
        <v>559.14</v>
      </c>
      <c r="F10" s="35" t="n">
        <v>300</v>
      </c>
      <c r="G10" s="35" t="n">
        <v>300</v>
      </c>
      <c r="H10" s="35" t="n">
        <v>150</v>
      </c>
      <c r="I10" s="35" t="n">
        <v>5287.55</v>
      </c>
      <c r="J10" s="35" t="n">
        <v>150</v>
      </c>
      <c r="K10" s="35" t="n">
        <v>150</v>
      </c>
      <c r="L10" s="35" t="n">
        <v>0</v>
      </c>
      <c r="M10" s="35" t="n">
        <v>300</v>
      </c>
      <c r="N10" s="36">
        <f>SUM(B10:M10)</f>
        <v/>
      </c>
      <c r="O10" s="37" t="n">
        <v>150</v>
      </c>
      <c r="P10" s="37" t="n">
        <v>0</v>
      </c>
      <c r="Q10" s="37" t="n">
        <v>300</v>
      </c>
      <c r="R10" s="37" t="n">
        <v>150</v>
      </c>
      <c r="S10" s="37" t="n">
        <v>0</v>
      </c>
      <c r="T10" s="37" t="n">
        <v>300</v>
      </c>
      <c r="U10" s="37" t="n">
        <v>150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99054.84000000001</v>
      </c>
      <c r="C11" s="42" t="n">
        <v>89561.96000000001</v>
      </c>
      <c r="D11" s="42" t="n">
        <v>101418.69</v>
      </c>
      <c r="E11" s="42" t="n">
        <v>105527.27</v>
      </c>
      <c r="F11" s="42" t="n">
        <v>99296.59</v>
      </c>
      <c r="G11" s="42" t="n">
        <v>96401.51000000001</v>
      </c>
      <c r="H11" s="42" t="n">
        <v>148628.21</v>
      </c>
      <c r="I11" s="42" t="n">
        <v>86681.44</v>
      </c>
      <c r="J11" s="42" t="n">
        <v>92301.73</v>
      </c>
      <c r="K11" s="42" t="n">
        <v>88792</v>
      </c>
      <c r="L11" s="42" t="n">
        <v>109322.33</v>
      </c>
      <c r="M11" s="42" t="n">
        <v>129096.7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31604.86</v>
      </c>
      <c r="C16" s="35" t="n">
        <v>32120.62</v>
      </c>
      <c r="D16" s="35" t="n">
        <v>33783.29</v>
      </c>
      <c r="E16" s="35" t="n">
        <v>39088.61</v>
      </c>
      <c r="F16" s="35" t="n">
        <v>35853.61</v>
      </c>
      <c r="G16" s="35" t="n">
        <v>32713.57</v>
      </c>
      <c r="H16" s="35" t="n">
        <v>38084.64</v>
      </c>
      <c r="I16" s="35" t="n">
        <v>39688.59</v>
      </c>
      <c r="J16" s="35" t="n">
        <v>39229.98</v>
      </c>
      <c r="K16" s="35" t="n">
        <v>38640.36</v>
      </c>
      <c r="L16" s="35" t="n">
        <v>31254.13</v>
      </c>
      <c r="M16" s="35" t="n">
        <v>33683.63</v>
      </c>
      <c r="N16" s="36">
        <f>SUM(B16:M16)</f>
        <v/>
      </c>
      <c r="O16" s="37" t="n">
        <v>31828.8</v>
      </c>
      <c r="P16" s="37" t="n">
        <v>33935.64</v>
      </c>
      <c r="Q16" s="37" t="n">
        <v>36037.77</v>
      </c>
      <c r="R16" s="37" t="n">
        <v>34623.48</v>
      </c>
      <c r="S16" s="37" t="n">
        <v>37995.21</v>
      </c>
      <c r="T16" s="37" t="n">
        <v>37118.77</v>
      </c>
      <c r="U16" s="37" t="n">
        <v>38831.14</v>
      </c>
      <c r="V16" s="38" t="n">
        <v>38831.14</v>
      </c>
      <c r="W16" s="38" t="n">
        <v>38831.14</v>
      </c>
      <c r="X16" s="38" t="n">
        <v>38831.14</v>
      </c>
      <c r="Y16" s="38" t="n">
        <v>38831.14</v>
      </c>
      <c r="Z16" s="38" t="n">
        <v>38831.14</v>
      </c>
      <c r="AA16" s="36">
        <f>SUM(O16:U16)</f>
        <v/>
      </c>
      <c r="AB16" s="36">
        <f>SUM(O16:Z16)</f>
        <v/>
      </c>
      <c r="AC16" s="38" t="n">
        <v>38831.14</v>
      </c>
      <c r="AD16" s="38" t="n">
        <v>38831.14</v>
      </c>
      <c r="AE16" s="38" t="n">
        <v>38831.14</v>
      </c>
      <c r="AF16" s="38" t="n">
        <v>38831.14</v>
      </c>
      <c r="AG16" s="38" t="n">
        <v>38831.14</v>
      </c>
      <c r="AH16" s="38" t="n">
        <v>38831.14</v>
      </c>
      <c r="AI16" s="117" t="n">
        <v>38831.14</v>
      </c>
      <c r="AJ16" s="118" t="n">
        <v>38831.14</v>
      </c>
      <c r="AK16" s="118" t="n">
        <v>38831.14</v>
      </c>
      <c r="AL16" s="118" t="n">
        <v>38831.14</v>
      </c>
      <c r="AM16" s="119" t="n">
        <v>38831.14</v>
      </c>
      <c r="AN16" s="117" t="n">
        <v>38831.14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2507.7</v>
      </c>
      <c r="C17" s="35" t="n">
        <v>2502.98</v>
      </c>
      <c r="D17" s="35" t="n">
        <v>2767.29</v>
      </c>
      <c r="E17" s="35" t="n">
        <v>4489.64</v>
      </c>
      <c r="F17" s="35" t="n">
        <v>3897.7</v>
      </c>
      <c r="G17" s="35" t="n">
        <v>3435.72</v>
      </c>
      <c r="H17" s="35" t="n">
        <v>3882.52</v>
      </c>
      <c r="I17" s="35" t="n">
        <v>3661.25</v>
      </c>
      <c r="J17" s="35" t="n">
        <v>3574.09</v>
      </c>
      <c r="K17" s="35" t="n">
        <v>3581.38</v>
      </c>
      <c r="L17" s="35" t="n">
        <v>2779.53</v>
      </c>
      <c r="M17" s="35" t="n">
        <v>3180.07</v>
      </c>
      <c r="N17" s="36">
        <f>SUM(B17:M17)</f>
        <v/>
      </c>
      <c r="O17" s="37" t="n">
        <v>2814.7</v>
      </c>
      <c r="P17" s="37" t="n">
        <v>2809.23</v>
      </c>
      <c r="Q17" s="37" t="n">
        <v>3029.45</v>
      </c>
      <c r="R17" s="37" t="n">
        <v>2929.49</v>
      </c>
      <c r="S17" s="37" t="n">
        <v>3346.09</v>
      </c>
      <c r="T17" s="37" t="n">
        <v>3339.3</v>
      </c>
      <c r="U17" s="37" t="n">
        <v>3476.28</v>
      </c>
      <c r="V17" s="38" t="n">
        <v>3476.28</v>
      </c>
      <c r="W17" s="38" t="n">
        <v>3476.28</v>
      </c>
      <c r="X17" s="38" t="n">
        <v>3476.28</v>
      </c>
      <c r="Y17" s="38" t="n">
        <v>3476.28</v>
      </c>
      <c r="Z17" s="38" t="n">
        <v>3476.28</v>
      </c>
      <c r="AA17" s="36">
        <f>SUM(O17:U17)</f>
        <v/>
      </c>
      <c r="AB17" s="36">
        <f>SUM(O17:Z17)</f>
        <v/>
      </c>
      <c r="AC17" s="38" t="n">
        <v>3476.28</v>
      </c>
      <c r="AD17" s="38" t="n">
        <v>3476.28</v>
      </c>
      <c r="AE17" s="38" t="n">
        <v>3476.28</v>
      </c>
      <c r="AF17" s="38" t="n">
        <v>3476.28</v>
      </c>
      <c r="AG17" s="38" t="n">
        <v>3476.28</v>
      </c>
      <c r="AH17" s="38" t="n">
        <v>3476.28</v>
      </c>
      <c r="AI17" s="117" t="n">
        <v>3476.28</v>
      </c>
      <c r="AJ17" s="118" t="n">
        <v>3476.28</v>
      </c>
      <c r="AK17" s="118" t="n">
        <v>3476.28</v>
      </c>
      <c r="AL17" s="118" t="n">
        <v>3476.28</v>
      </c>
      <c r="AM17" s="119" t="n">
        <v>3476.28</v>
      </c>
      <c r="AN17" s="117" t="n">
        <v>3476.28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578.26</v>
      </c>
      <c r="C18" s="35" t="n">
        <v>576.6</v>
      </c>
      <c r="D18" s="35" t="n">
        <v>553.41</v>
      </c>
      <c r="E18" s="35" t="n">
        <v>642.37</v>
      </c>
      <c r="F18" s="35" t="n">
        <v>614.2</v>
      </c>
      <c r="G18" s="35" t="n">
        <v>527.5599999999999</v>
      </c>
      <c r="H18" s="35" t="n">
        <v>611.47</v>
      </c>
      <c r="I18" s="35" t="n">
        <v>558.66</v>
      </c>
      <c r="J18" s="35" t="n">
        <v>482.76</v>
      </c>
      <c r="K18" s="35" t="n">
        <v>259.94</v>
      </c>
      <c r="L18" s="35" t="n">
        <v>246.15</v>
      </c>
      <c r="M18" s="35" t="n">
        <v>444.9</v>
      </c>
      <c r="N18" s="36">
        <f>SUM(B18:M18)</f>
        <v/>
      </c>
      <c r="O18" s="37" t="n">
        <v>382.29</v>
      </c>
      <c r="P18" s="37" t="n">
        <v>365.94</v>
      </c>
      <c r="Q18" s="37" t="n">
        <v>332.41</v>
      </c>
      <c r="R18" s="37" t="n">
        <v>422.05</v>
      </c>
      <c r="S18" s="37" t="n">
        <v>453.76</v>
      </c>
      <c r="T18" s="37" t="n">
        <v>473.26</v>
      </c>
      <c r="U18" s="37" t="n">
        <v>523.85</v>
      </c>
      <c r="V18" s="38" t="n">
        <v>523.85</v>
      </c>
      <c r="W18" s="38" t="n">
        <v>523.85</v>
      </c>
      <c r="X18" s="38" t="n">
        <v>523.85</v>
      </c>
      <c r="Y18" s="38" t="n">
        <v>523.85</v>
      </c>
      <c r="Z18" s="38" t="n">
        <v>523.85</v>
      </c>
      <c r="AA18" s="36">
        <f>SUM(O18:U18)</f>
        <v/>
      </c>
      <c r="AB18" s="36">
        <f>SUM(O18:Z18)</f>
        <v/>
      </c>
      <c r="AC18" s="38" t="n">
        <v>523.85</v>
      </c>
      <c r="AD18" s="38" t="n">
        <v>523.85</v>
      </c>
      <c r="AE18" s="38" t="n">
        <v>523.85</v>
      </c>
      <c r="AF18" s="38" t="n">
        <v>523.85</v>
      </c>
      <c r="AG18" s="38" t="n">
        <v>523.85</v>
      </c>
      <c r="AH18" s="38" t="n">
        <v>523.85</v>
      </c>
      <c r="AI18" s="117" t="n">
        <v>523.85</v>
      </c>
      <c r="AJ18" s="118" t="n">
        <v>523.85</v>
      </c>
      <c r="AK18" s="118" t="n">
        <v>523.85</v>
      </c>
      <c r="AL18" s="118" t="n">
        <v>523.85</v>
      </c>
      <c r="AM18" s="119" t="n">
        <v>523.85</v>
      </c>
      <c r="AN18" s="117" t="n">
        <v>523.85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108.42</v>
      </c>
      <c r="C19" s="35" t="n">
        <v>232.56</v>
      </c>
      <c r="D19" s="35" t="n">
        <v>0</v>
      </c>
      <c r="E19" s="35" t="n">
        <v>98.81999999999999</v>
      </c>
      <c r="F19" s="35" t="n">
        <v>126.27</v>
      </c>
      <c r="G19" s="35" t="n">
        <v>106.73</v>
      </c>
      <c r="H19" s="35" t="n">
        <v>101.82</v>
      </c>
      <c r="I19" s="35" t="n">
        <v>0</v>
      </c>
      <c r="J19" s="35" t="n">
        <v>119.88</v>
      </c>
      <c r="K19" s="35" t="n">
        <v>408.72</v>
      </c>
      <c r="L19" s="35" t="n">
        <v>115.32</v>
      </c>
      <c r="M19" s="35" t="n">
        <v>114.6</v>
      </c>
      <c r="N19" s="36">
        <f>SUM(B19:M19)</f>
        <v/>
      </c>
      <c r="O19" s="37" t="n">
        <v>0</v>
      </c>
      <c r="P19" s="37" t="n">
        <v>148.85</v>
      </c>
      <c r="Q19" s="37" t="n">
        <v>239.4</v>
      </c>
      <c r="R19" s="37" t="n">
        <v>133.86</v>
      </c>
      <c r="S19" s="37" t="n">
        <v>0</v>
      </c>
      <c r="T19" s="37" t="n">
        <v>133.8</v>
      </c>
      <c r="U19" s="37" t="n">
        <v>34.7</v>
      </c>
      <c r="V19" s="38" t="n">
        <v>88</v>
      </c>
      <c r="W19" s="38" t="n">
        <v>88</v>
      </c>
      <c r="X19" s="38" t="n">
        <v>88</v>
      </c>
      <c r="Y19" s="38" t="n">
        <v>88</v>
      </c>
      <c r="Z19" s="38" t="n">
        <v>88</v>
      </c>
      <c r="AA19" s="36">
        <f>SUM(O19:U19)</f>
        <v/>
      </c>
      <c r="AB19" s="36">
        <f>SUM(O19:Z19)</f>
        <v/>
      </c>
      <c r="AC19" s="38" t="n">
        <v>88</v>
      </c>
      <c r="AD19" s="38" t="n">
        <v>88</v>
      </c>
      <c r="AE19" s="38" t="n">
        <v>88</v>
      </c>
      <c r="AF19" s="38" t="n">
        <v>88</v>
      </c>
      <c r="AG19" s="38" t="n">
        <v>88</v>
      </c>
      <c r="AH19" s="38" t="n">
        <v>88</v>
      </c>
      <c r="AI19" s="117" t="n">
        <v>88</v>
      </c>
      <c r="AJ19" s="118" t="n">
        <v>88</v>
      </c>
      <c r="AK19" s="118" t="n">
        <v>88</v>
      </c>
      <c r="AL19" s="118" t="n">
        <v>88</v>
      </c>
      <c r="AM19" s="119" t="n">
        <v>88</v>
      </c>
      <c r="AN19" s="117" t="n">
        <v>88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68.22</v>
      </c>
      <c r="C20" s="35" t="n">
        <v>50</v>
      </c>
      <c r="D20" s="35" t="n">
        <v>0</v>
      </c>
      <c r="E20" s="35" t="n">
        <v>0</v>
      </c>
      <c r="F20" s="35" t="n">
        <v>31.2</v>
      </c>
      <c r="G20" s="35" t="n">
        <v>11.35</v>
      </c>
      <c r="H20" s="35" t="n">
        <v>37.2</v>
      </c>
      <c r="I20" s="35" t="n">
        <v>0</v>
      </c>
      <c r="J20" s="35" t="n">
        <v>114</v>
      </c>
      <c r="K20" s="35" t="n">
        <v>0</v>
      </c>
      <c r="L20" s="35" t="n">
        <v>114</v>
      </c>
      <c r="M20" s="35" t="n">
        <v>-11.28999999999996</v>
      </c>
      <c r="N20" s="36">
        <f>SUM(B20:M20)</f>
        <v/>
      </c>
      <c r="O20" s="37" t="n">
        <v>150</v>
      </c>
      <c r="P20" s="37" t="n">
        <v>0</v>
      </c>
      <c r="Q20" s="37" t="n">
        <v>0</v>
      </c>
      <c r="R20" s="37" t="n">
        <v>750</v>
      </c>
      <c r="S20" s="37" t="n">
        <v>0</v>
      </c>
      <c r="T20" s="37" t="n">
        <v>60</v>
      </c>
      <c r="U20" s="37" t="n">
        <v>361.26</v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117" t="n">
        <v>50</v>
      </c>
      <c r="AJ20" s="118" t="n">
        <v>50</v>
      </c>
      <c r="AK20" s="118" t="n">
        <v>50</v>
      </c>
      <c r="AL20" s="118" t="n">
        <v>50</v>
      </c>
      <c r="AM20" s="119" t="n">
        <v>50</v>
      </c>
      <c r="AN20" s="117" t="n">
        <v>50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304.95</v>
      </c>
      <c r="C21" s="35" t="n">
        <v>264.71</v>
      </c>
      <c r="D21" s="35" t="n">
        <v>188.52</v>
      </c>
      <c r="E21" s="35" t="n">
        <v>236.83</v>
      </c>
      <c r="F21" s="35" t="n">
        <v>480.61</v>
      </c>
      <c r="G21" s="35" t="n">
        <v>227.41</v>
      </c>
      <c r="H21" s="35" t="n">
        <v>311.65</v>
      </c>
      <c r="I21" s="35" t="n">
        <v>17.06</v>
      </c>
      <c r="J21" s="35" t="n">
        <v>76.78999999999999</v>
      </c>
      <c r="K21" s="35" t="n">
        <v>131.31</v>
      </c>
      <c r="L21" s="35" t="n">
        <v>263.85</v>
      </c>
      <c r="M21" s="35" t="n">
        <v>64.3</v>
      </c>
      <c r="N21" s="36">
        <f>SUM(B21:M21)</f>
        <v/>
      </c>
      <c r="O21" s="37" t="n">
        <v>364.02</v>
      </c>
      <c r="P21" s="37" t="n">
        <v>154.27</v>
      </c>
      <c r="Q21" s="37" t="n">
        <v>156.87</v>
      </c>
      <c r="R21" s="37" t="n">
        <v>236.43</v>
      </c>
      <c r="S21" s="37" t="n">
        <v>152.97</v>
      </c>
      <c r="T21" s="37" t="n">
        <v>284.9</v>
      </c>
      <c r="U21" s="37" t="n">
        <v>149.53</v>
      </c>
      <c r="V21" s="38" t="n">
        <v>180</v>
      </c>
      <c r="W21" s="38" t="n">
        <v>180</v>
      </c>
      <c r="X21" s="38" t="n">
        <v>180</v>
      </c>
      <c r="Y21" s="38" t="n">
        <v>180</v>
      </c>
      <c r="Z21" s="38" t="n">
        <v>180</v>
      </c>
      <c r="AA21" s="36">
        <f>SUM(O21:U21)</f>
        <v/>
      </c>
      <c r="AB21" s="36">
        <f>SUM(O21:Z21)</f>
        <v/>
      </c>
      <c r="AC21" s="38" t="n">
        <v>180</v>
      </c>
      <c r="AD21" s="38" t="n">
        <v>180</v>
      </c>
      <c r="AE21" s="38" t="n">
        <v>180</v>
      </c>
      <c r="AF21" s="38" t="n">
        <v>180</v>
      </c>
      <c r="AG21" s="38" t="n">
        <v>180</v>
      </c>
      <c r="AH21" s="38" t="n">
        <v>180</v>
      </c>
      <c r="AI21" s="117" t="n">
        <v>180</v>
      </c>
      <c r="AJ21" s="118" t="n">
        <v>180</v>
      </c>
      <c r="AK21" s="118" t="n">
        <v>180</v>
      </c>
      <c r="AL21" s="118" t="n">
        <v>180</v>
      </c>
      <c r="AM21" s="119" t="n">
        <v>180</v>
      </c>
      <c r="AN21" s="117" t="n">
        <v>180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3352.38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 t="n">
        <v>0</v>
      </c>
      <c r="P22" s="37" t="n">
        <v>3528.1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8.109999999999999</v>
      </c>
      <c r="I23" s="35" t="n">
        <v>0</v>
      </c>
      <c r="J23" s="35" t="n">
        <v>23.49</v>
      </c>
      <c r="K23" s="35" t="n">
        <v>6.28</v>
      </c>
      <c r="L23" s="35" t="n">
        <v>0</v>
      </c>
      <c r="M23" s="35" t="n">
        <v>95.38</v>
      </c>
      <c r="N23" s="36">
        <f>SUM(B23:M23)</f>
        <v/>
      </c>
      <c r="O23" s="37" t="n">
        <v>45.76</v>
      </c>
      <c r="P23" s="37" t="n">
        <v>81.02</v>
      </c>
      <c r="Q23" s="37" t="n">
        <v>37.24</v>
      </c>
      <c r="R23" s="37" t="n">
        <v>94.41</v>
      </c>
      <c r="S23" s="37" t="n">
        <v>80.88</v>
      </c>
      <c r="T23" s="37" t="n">
        <v>56.6</v>
      </c>
      <c r="U23" s="37" t="n">
        <v>122.2</v>
      </c>
      <c r="V23" s="38" t="n">
        <v>75</v>
      </c>
      <c r="W23" s="38" t="n">
        <v>75</v>
      </c>
      <c r="X23" s="38" t="n">
        <v>75</v>
      </c>
      <c r="Y23" s="38" t="n">
        <v>75</v>
      </c>
      <c r="Z23" s="38" t="n">
        <v>75</v>
      </c>
      <c r="AA23" s="36">
        <f>SUM(O23:U23)</f>
        <v/>
      </c>
      <c r="AB23" s="36">
        <f>SUM(O23:Z23)</f>
        <v/>
      </c>
      <c r="AC23" s="38" t="n">
        <v>75</v>
      </c>
      <c r="AD23" s="38" t="n">
        <v>75</v>
      </c>
      <c r="AE23" s="38" t="n">
        <v>75</v>
      </c>
      <c r="AF23" s="38" t="n">
        <v>75</v>
      </c>
      <c r="AG23" s="38" t="n">
        <v>75</v>
      </c>
      <c r="AH23" s="38" t="n">
        <v>75</v>
      </c>
      <c r="AI23" s="117" t="n">
        <v>75</v>
      </c>
      <c r="AJ23" s="118" t="n">
        <v>75</v>
      </c>
      <c r="AK23" s="118" t="n">
        <v>75</v>
      </c>
      <c r="AL23" s="118" t="n">
        <v>75</v>
      </c>
      <c r="AM23" s="119" t="n">
        <v>75</v>
      </c>
      <c r="AN23" s="117" t="n">
        <v>75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226.03</v>
      </c>
      <c r="G24" s="35" t="n">
        <v>0</v>
      </c>
      <c r="H24" s="35" t="n">
        <v>249.41</v>
      </c>
      <c r="I24" s="35" t="n">
        <v>0</v>
      </c>
      <c r="J24" s="35" t="n">
        <v>0</v>
      </c>
      <c r="K24" s="35" t="n">
        <v>4590.68</v>
      </c>
      <c r="L24" s="35" t="n">
        <v>3008.5</v>
      </c>
      <c r="M24" s="35" t="n">
        <v>0</v>
      </c>
      <c r="N24" s="36">
        <f>SUM(B24:M24)</f>
        <v/>
      </c>
      <c r="O24" s="37" t="n">
        <v>1286.01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7" t="n">
        <v>0</v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35172.41</v>
      </c>
      <c r="C25" s="42" t="n">
        <v>35747.46999999999</v>
      </c>
      <c r="D25" s="42" t="n">
        <v>37292.51</v>
      </c>
      <c r="E25" s="42" t="n">
        <v>44556.27</v>
      </c>
      <c r="F25" s="42" t="n">
        <v>44581.99999999999</v>
      </c>
      <c r="G25" s="42" t="n">
        <v>37022.34</v>
      </c>
      <c r="H25" s="42" t="n">
        <v>43286.82</v>
      </c>
      <c r="I25" s="42" t="n">
        <v>43925.56</v>
      </c>
      <c r="J25" s="42" t="n">
        <v>43620.99000000001</v>
      </c>
      <c r="K25" s="42" t="n">
        <v>47618.67</v>
      </c>
      <c r="L25" s="42" t="n">
        <v>37781.48</v>
      </c>
      <c r="M25" s="42" t="n">
        <v>37571.59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2289.58</v>
      </c>
      <c r="C27" s="35" t="n">
        <v>2546.22</v>
      </c>
      <c r="D27" s="35" t="n">
        <v>2519.94</v>
      </c>
      <c r="E27" s="35" t="n">
        <v>2197.72</v>
      </c>
      <c r="F27" s="35" t="n">
        <v>3033.92</v>
      </c>
      <c r="G27" s="35" t="n">
        <v>2423.51</v>
      </c>
      <c r="H27" s="35" t="n">
        <v>2384.5</v>
      </c>
      <c r="I27" s="35" t="n">
        <v>3214.98</v>
      </c>
      <c r="J27" s="35" t="n">
        <v>2401.27</v>
      </c>
      <c r="K27" s="35" t="n">
        <v>3123.55</v>
      </c>
      <c r="L27" s="35" t="n">
        <v>2139.83</v>
      </c>
      <c r="M27" s="35" t="n">
        <v>1819.24</v>
      </c>
      <c r="N27" s="36">
        <f>SUM(B27:M27)</f>
        <v/>
      </c>
      <c r="O27" s="37" t="n">
        <v>1461.98</v>
      </c>
      <c r="P27" s="37" t="n">
        <v>1803.02</v>
      </c>
      <c r="Q27" s="37" t="n">
        <v>1441.43</v>
      </c>
      <c r="R27" s="37" t="n">
        <v>1269.6</v>
      </c>
      <c r="S27" s="37" t="n">
        <v>1831.11</v>
      </c>
      <c r="T27" s="37" t="n">
        <v>2098.22</v>
      </c>
      <c r="U27" s="37" t="n">
        <v>2298.43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150.47</v>
      </c>
      <c r="C28" s="35" t="n">
        <v>158.38</v>
      </c>
      <c r="D28" s="35" t="n">
        <v>149.6</v>
      </c>
      <c r="E28" s="35" t="n">
        <v>525.9299999999999</v>
      </c>
      <c r="F28" s="35" t="n">
        <v>276.46</v>
      </c>
      <c r="G28" s="35" t="n">
        <v>459.8100000000001</v>
      </c>
      <c r="H28" s="35" t="n">
        <v>618.96</v>
      </c>
      <c r="I28" s="35" t="n">
        <v>0</v>
      </c>
      <c r="J28" s="35" t="n">
        <v>157.63</v>
      </c>
      <c r="K28" s="35" t="n">
        <v>157.78</v>
      </c>
      <c r="L28" s="35" t="n">
        <v>433.98</v>
      </c>
      <c r="M28" s="35" t="n">
        <v>160.93</v>
      </c>
      <c r="N28" s="36">
        <f>SUM(B28:M28)</f>
        <v/>
      </c>
      <c r="O28" s="37" t="n">
        <v>322.01</v>
      </c>
      <c r="P28" s="37" t="n">
        <v>20.41</v>
      </c>
      <c r="Q28" s="37" t="n">
        <v>909.8</v>
      </c>
      <c r="R28" s="37" t="n">
        <v>451.0299999999999</v>
      </c>
      <c r="S28" s="37" t="n">
        <v>117.11</v>
      </c>
      <c r="T28" s="37" t="n">
        <v>27.56</v>
      </c>
      <c r="U28" s="37" t="n">
        <v>155.11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7" t="n">
        <v>50</v>
      </c>
      <c r="AJ28" s="118" t="n">
        <v>50</v>
      </c>
      <c r="AK28" s="118" t="n">
        <v>50</v>
      </c>
      <c r="AL28" s="118" t="n">
        <v>50</v>
      </c>
      <c r="AM28" s="119" t="n">
        <v>50</v>
      </c>
      <c r="AN28" s="117" t="n">
        <v>50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265.61</v>
      </c>
      <c r="C29" s="35" t="n">
        <v>319.94</v>
      </c>
      <c r="D29" s="35" t="n">
        <v>271.53</v>
      </c>
      <c r="E29" s="35" t="n">
        <v>23.32</v>
      </c>
      <c r="F29" s="35" t="n">
        <v>4.64</v>
      </c>
      <c r="G29" s="35" t="n">
        <v>27.53</v>
      </c>
      <c r="H29" s="35" t="n">
        <v>0</v>
      </c>
      <c r="I29" s="35" t="n">
        <v>0</v>
      </c>
      <c r="J29" s="35" t="n">
        <v>6</v>
      </c>
      <c r="K29" s="35" t="n">
        <v>204.23</v>
      </c>
      <c r="L29" s="35" t="n">
        <v>22.49</v>
      </c>
      <c r="M29" s="35" t="n">
        <v>233.2</v>
      </c>
      <c r="N29" s="36">
        <f>SUM(B29:M29)</f>
        <v/>
      </c>
      <c r="O29" s="37" t="n">
        <v>13.68</v>
      </c>
      <c r="P29" s="37" t="n">
        <v>256.29</v>
      </c>
      <c r="Q29" s="37" t="n">
        <v>62.83</v>
      </c>
      <c r="R29" s="37" t="n">
        <v>37.49</v>
      </c>
      <c r="S29" s="37" t="n">
        <v>11.09</v>
      </c>
      <c r="T29" s="37" t="n">
        <v>150.56</v>
      </c>
      <c r="U29" s="37" t="n">
        <v>175.69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28.68</v>
      </c>
      <c r="C30" s="35" t="n">
        <v>99.43000000000001</v>
      </c>
      <c r="D30" s="35" t="n">
        <v>62.8</v>
      </c>
      <c r="E30" s="35" t="n">
        <v>18.53</v>
      </c>
      <c r="F30" s="35" t="n">
        <v>58.69</v>
      </c>
      <c r="G30" s="35" t="n">
        <v>7.64</v>
      </c>
      <c r="H30" s="35" t="n">
        <v>76.06</v>
      </c>
      <c r="I30" s="35" t="n">
        <v>48.85</v>
      </c>
      <c r="J30" s="35" t="n">
        <v>0</v>
      </c>
      <c r="K30" s="35" t="n">
        <v>112.19</v>
      </c>
      <c r="L30" s="35" t="n">
        <v>108.87</v>
      </c>
      <c r="M30" s="35" t="n">
        <v>0</v>
      </c>
      <c r="N30" s="36">
        <f>SUM(B30:M30)</f>
        <v/>
      </c>
      <c r="O30" s="37" t="n">
        <v>58.06</v>
      </c>
      <c r="P30" s="37" t="n">
        <v>58.6</v>
      </c>
      <c r="Q30" s="37" t="n">
        <v>46.33</v>
      </c>
      <c r="R30" s="37" t="n">
        <v>12.97</v>
      </c>
      <c r="S30" s="37" t="n">
        <v>120.18</v>
      </c>
      <c r="T30" s="37" t="n">
        <v>22.92</v>
      </c>
      <c r="U30" s="37" t="n">
        <v>43.05</v>
      </c>
      <c r="V30" s="38" t="n">
        <v>90</v>
      </c>
      <c r="W30" s="38" t="n">
        <v>90</v>
      </c>
      <c r="X30" s="38" t="n">
        <v>90</v>
      </c>
      <c r="Y30" s="38" t="n">
        <v>90</v>
      </c>
      <c r="Z30" s="38" t="n">
        <v>90</v>
      </c>
      <c r="AA30" s="36">
        <f>SUM(O30:U30)</f>
        <v/>
      </c>
      <c r="AB30" s="36">
        <f>SUM(O30:Z30)</f>
        <v/>
      </c>
      <c r="AC30" s="38" t="n">
        <v>90</v>
      </c>
      <c r="AD30" s="38" t="n">
        <v>90</v>
      </c>
      <c r="AE30" s="38" t="n">
        <v>90</v>
      </c>
      <c r="AF30" s="38" t="n">
        <v>90</v>
      </c>
      <c r="AG30" s="38" t="n">
        <v>90</v>
      </c>
      <c r="AH30" s="38" t="n">
        <v>90</v>
      </c>
      <c r="AI30" s="117" t="n">
        <v>90</v>
      </c>
      <c r="AJ30" s="118" t="n">
        <v>90</v>
      </c>
      <c r="AK30" s="118" t="n">
        <v>90</v>
      </c>
      <c r="AL30" s="118" t="n">
        <v>90</v>
      </c>
      <c r="AM30" s="119" t="n">
        <v>90</v>
      </c>
      <c r="AN30" s="117" t="n">
        <v>90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160.7</v>
      </c>
      <c r="C31" s="35" t="n">
        <v>123.84</v>
      </c>
      <c r="D31" s="35" t="n">
        <v>222.23</v>
      </c>
      <c r="E31" s="35" t="n">
        <v>28.49</v>
      </c>
      <c r="F31" s="35" t="n">
        <v>71.57000000000001</v>
      </c>
      <c r="G31" s="35" t="n">
        <v>71.31999999999999</v>
      </c>
      <c r="H31" s="35" t="n">
        <v>80.70999999999999</v>
      </c>
      <c r="I31" s="35" t="n">
        <v>3.95</v>
      </c>
      <c r="J31" s="35" t="n">
        <v>12.98</v>
      </c>
      <c r="K31" s="35" t="n">
        <v>267.22</v>
      </c>
      <c r="L31" s="35" t="n">
        <v>151.94</v>
      </c>
      <c r="M31" s="35" t="n">
        <v>10.99</v>
      </c>
      <c r="N31" s="36">
        <f>SUM(B31:M31)</f>
        <v/>
      </c>
      <c r="O31" s="37" t="n">
        <v>84.18000000000001</v>
      </c>
      <c r="P31" s="37" t="n">
        <v>56.22</v>
      </c>
      <c r="Q31" s="37" t="n">
        <v>65.83</v>
      </c>
      <c r="R31" s="37" t="n">
        <v>102.29</v>
      </c>
      <c r="S31" s="37" t="n">
        <v>259.6</v>
      </c>
      <c r="T31" s="37" t="n">
        <v>44.01</v>
      </c>
      <c r="U31" s="37" t="n">
        <v>53.56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7" t="n">
        <v>50</v>
      </c>
      <c r="AJ31" s="118" t="n">
        <v>50</v>
      </c>
      <c r="AK31" s="118" t="n">
        <v>50</v>
      </c>
      <c r="AL31" s="118" t="n">
        <v>50</v>
      </c>
      <c r="AM31" s="119" t="n">
        <v>50</v>
      </c>
      <c r="AN31" s="117" t="n">
        <v>50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418.32</v>
      </c>
      <c r="C32" s="35" t="n">
        <v>226.31</v>
      </c>
      <c r="D32" s="35" t="n">
        <v>105.24</v>
      </c>
      <c r="E32" s="35" t="n">
        <v>357.01</v>
      </c>
      <c r="F32" s="35" t="n">
        <v>282.85</v>
      </c>
      <c r="G32" s="35" t="n">
        <v>276.79</v>
      </c>
      <c r="H32" s="35" t="n">
        <v>241.13</v>
      </c>
      <c r="I32" s="35" t="n">
        <v>7</v>
      </c>
      <c r="J32" s="35" t="n">
        <v>251.25</v>
      </c>
      <c r="K32" s="35" t="n">
        <v>196.15</v>
      </c>
      <c r="L32" s="35" t="n">
        <v>468.95</v>
      </c>
      <c r="M32" s="35" t="n">
        <v>683.21</v>
      </c>
      <c r="N32" s="36">
        <f>SUM(B32:M32)</f>
        <v/>
      </c>
      <c r="O32" s="37" t="n">
        <v>511.53</v>
      </c>
      <c r="P32" s="37" t="n">
        <v>341.6</v>
      </c>
      <c r="Q32" s="37" t="n">
        <v>320.13</v>
      </c>
      <c r="R32" s="37" t="n">
        <v>615.91</v>
      </c>
      <c r="S32" s="37" t="n">
        <v>581.7900000000001</v>
      </c>
      <c r="T32" s="37" t="n">
        <v>474.05</v>
      </c>
      <c r="U32" s="37" t="n">
        <v>146.24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SUMIF('MER TB'!$R:$R,'MER P&amp;L'!$A33,'MER TB'!C:C)</f>
        <v/>
      </c>
      <c r="P33" s="37">
        <f>SUMIF('MER TB'!$R:$R,'MER P&amp;L'!$A33,'MER TB'!D:D)</f>
        <v/>
      </c>
      <c r="Q33" s="37">
        <f>SUMIF('MER TB'!$R:$R,'MER P&amp;L'!$A33,'MER TB'!E:E)</f>
        <v/>
      </c>
      <c r="R33" s="37">
        <f>SUMIF('MER TB'!$R:$R,'MER P&amp;L'!$A33,'MER TB'!F:F)</f>
        <v/>
      </c>
      <c r="S33" s="37">
        <f>SUMIF('MER TB'!$R:$R,'MER P&amp;L'!$A33,'MER TB'!G:G)</f>
        <v/>
      </c>
      <c r="T33" s="37">
        <f>SUMIF('MER TB'!$R:$R,'MER P&amp;L'!$A33,'MER TB'!H:H)</f>
        <v/>
      </c>
      <c r="U33" s="37">
        <f>SUMIF('MER TB'!$R:$R,'MER P&amp;L'!$A33,'MER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3313.36</v>
      </c>
      <c r="C34" s="42" t="n">
        <v>3474.12</v>
      </c>
      <c r="D34" s="42" t="n">
        <v>3331.34</v>
      </c>
      <c r="E34" s="42" t="n">
        <v>3151</v>
      </c>
      <c r="F34" s="42" t="n">
        <v>3728.13</v>
      </c>
      <c r="G34" s="42" t="n">
        <v>3266.6</v>
      </c>
      <c r="H34" s="42" t="n">
        <v>3401.36</v>
      </c>
      <c r="I34" s="42" t="n">
        <v>3274.78</v>
      </c>
      <c r="J34" s="42" t="n">
        <v>2829.13</v>
      </c>
      <c r="K34" s="42" t="n">
        <v>4061.12</v>
      </c>
      <c r="L34" s="42" t="n">
        <v>3326.059999999999</v>
      </c>
      <c r="M34" s="42" t="n">
        <v>2907.57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SUMIF('MER TB'!$R:$R,'MER P&amp;L'!$A36,'MER TB'!C:C)</f>
        <v/>
      </c>
      <c r="P36" s="37">
        <f>SUMIF('MER TB'!$R:$R,'MER P&amp;L'!$A36,'MER TB'!D:D)</f>
        <v/>
      </c>
      <c r="Q36" s="37">
        <f>SUMIF('MER TB'!$R:$R,'MER P&amp;L'!$A36,'MER TB'!E:E)</f>
        <v/>
      </c>
      <c r="R36" s="37">
        <f>SUMIF('MER TB'!$R:$R,'MER P&amp;L'!$A36,'MER TB'!F:F)</f>
        <v/>
      </c>
      <c r="S36" s="37">
        <f>SUMIF('MER TB'!$R:$R,'MER P&amp;L'!$A36,'MER TB'!G:G)</f>
        <v/>
      </c>
      <c r="T36" s="37">
        <f>SUMIF('MER TB'!$R:$R,'MER P&amp;L'!$A36,'MER TB'!H:H)</f>
        <v/>
      </c>
      <c r="U36" s="37">
        <f>SUMIF('MER TB'!$R:$R,'MER P&amp;L'!$A36,'MER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3094</v>
      </c>
      <c r="C37" s="35" t="n">
        <v>3094</v>
      </c>
      <c r="D37" s="35" t="n">
        <v>3094</v>
      </c>
      <c r="E37" s="35" t="n">
        <v>3145</v>
      </c>
      <c r="F37" s="35" t="n">
        <v>3145</v>
      </c>
      <c r="G37" s="35" t="n">
        <v>3145</v>
      </c>
      <c r="H37" s="35" t="n">
        <v>3145</v>
      </c>
      <c r="I37" s="35" t="n">
        <v>3145</v>
      </c>
      <c r="J37" s="35" t="n">
        <v>3145</v>
      </c>
      <c r="K37" s="35" t="n">
        <v>3145</v>
      </c>
      <c r="L37" s="35" t="n">
        <v>3145</v>
      </c>
      <c r="M37" s="35" t="n">
        <v>3145</v>
      </c>
      <c r="N37" s="36">
        <f>SUM(B37:M37)</f>
        <v/>
      </c>
      <c r="O37" s="37" t="n">
        <v>3145</v>
      </c>
      <c r="P37" s="37" t="n">
        <v>3145</v>
      </c>
      <c r="Q37" s="37" t="n">
        <v>3145</v>
      </c>
      <c r="R37" s="37" t="n">
        <v>3021.67</v>
      </c>
      <c r="S37" s="37" t="n">
        <v>3021.67</v>
      </c>
      <c r="T37" s="37" t="n">
        <v>3021.67</v>
      </c>
      <c r="U37" s="37" t="n">
        <v>3021.67</v>
      </c>
      <c r="V37" s="38" t="n">
        <v>3022</v>
      </c>
      <c r="W37" s="38" t="n">
        <v>3022</v>
      </c>
      <c r="X37" s="38" t="n">
        <v>3022</v>
      </c>
      <c r="Y37" s="38" t="n">
        <v>3022</v>
      </c>
      <c r="Z37" s="38" t="n">
        <v>3022</v>
      </c>
      <c r="AA37" s="36">
        <f>SUM(O37:U37)</f>
        <v/>
      </c>
      <c r="AB37" s="36">
        <f>SUM(O37:Z37)</f>
        <v/>
      </c>
      <c r="AC37" s="38" t="n">
        <v>3022</v>
      </c>
      <c r="AD37" s="38" t="n">
        <v>3022</v>
      </c>
      <c r="AE37" s="38" t="n">
        <v>3022</v>
      </c>
      <c r="AF37" s="38" t="n">
        <v>3022</v>
      </c>
      <c r="AG37" s="38" t="n">
        <v>3022</v>
      </c>
      <c r="AH37" s="38" t="n">
        <v>3022</v>
      </c>
      <c r="AI37" s="117" t="n">
        <v>3022</v>
      </c>
      <c r="AJ37" s="118" t="n">
        <v>3022</v>
      </c>
      <c r="AK37" s="118" t="n">
        <v>3022</v>
      </c>
      <c r="AL37" s="118" t="n">
        <v>3022</v>
      </c>
      <c r="AM37" s="119" t="n">
        <v>3022</v>
      </c>
      <c r="AN37" s="117" t="n">
        <v>3022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1090.6</v>
      </c>
      <c r="C38" s="35" t="n">
        <v>72.00000000000045</v>
      </c>
      <c r="D38" s="35" t="n">
        <v>2060.91</v>
      </c>
      <c r="E38" s="35" t="n">
        <v>1227.22</v>
      </c>
      <c r="F38" s="35" t="n">
        <v>800.8800000000001</v>
      </c>
      <c r="G38" s="35" t="n">
        <v>1086.41</v>
      </c>
      <c r="H38" s="35" t="n">
        <v>648.46</v>
      </c>
      <c r="I38" s="35" t="n">
        <v>655.5999999999999</v>
      </c>
      <c r="J38" s="35" t="n">
        <v>1518.48</v>
      </c>
      <c r="K38" s="35" t="n">
        <v>795.6700000000001</v>
      </c>
      <c r="L38" s="35" t="n">
        <v>740.5999999999999</v>
      </c>
      <c r="M38" s="35" t="n">
        <v>1205.02</v>
      </c>
      <c r="N38" s="36">
        <f>SUM(B38:M38)</f>
        <v/>
      </c>
      <c r="O38" s="37" t="n">
        <v>985.79</v>
      </c>
      <c r="P38" s="37" t="n">
        <v>1036.83</v>
      </c>
      <c r="Q38" s="37" t="n">
        <v>1302.1</v>
      </c>
      <c r="R38" s="37" t="n">
        <v>1010.56</v>
      </c>
      <c r="S38" s="37" t="n">
        <v>808.67</v>
      </c>
      <c r="T38" s="37" t="n">
        <v>470.01</v>
      </c>
      <c r="U38" s="37" t="n">
        <v>732.4000000000001</v>
      </c>
      <c r="V38" s="38" t="n">
        <v>996</v>
      </c>
      <c r="W38" s="38" t="n">
        <v>996</v>
      </c>
      <c r="X38" s="38" t="n">
        <v>996</v>
      </c>
      <c r="Y38" s="38" t="n">
        <v>996</v>
      </c>
      <c r="Z38" s="38" t="n">
        <v>996</v>
      </c>
      <c r="AA38" s="36">
        <f>SUM(O38:U38)</f>
        <v/>
      </c>
      <c r="AB38" s="36">
        <f>SUM(O38:Z38)</f>
        <v/>
      </c>
      <c r="AC38" s="38" t="n">
        <v>996</v>
      </c>
      <c r="AD38" s="38" t="n">
        <v>996</v>
      </c>
      <c r="AE38" s="38" t="n">
        <v>996</v>
      </c>
      <c r="AF38" s="38" t="n">
        <v>996</v>
      </c>
      <c r="AG38" s="38" t="n">
        <v>996</v>
      </c>
      <c r="AH38" s="38" t="n">
        <v>996</v>
      </c>
      <c r="AI38" s="117" t="n">
        <v>996</v>
      </c>
      <c r="AJ38" s="118" t="n">
        <v>996</v>
      </c>
      <c r="AK38" s="118" t="n">
        <v>996</v>
      </c>
      <c r="AL38" s="118" t="n">
        <v>996</v>
      </c>
      <c r="AM38" s="119" t="n">
        <v>996</v>
      </c>
      <c r="AN38" s="117" t="n">
        <v>996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222</v>
      </c>
      <c r="C39" s="35" t="n">
        <v>0</v>
      </c>
      <c r="D39" s="35" t="n">
        <v>2295.47</v>
      </c>
      <c r="E39" s="35" t="n">
        <v>59.2</v>
      </c>
      <c r="F39" s="35" t="n">
        <v>102.84</v>
      </c>
      <c r="G39" s="35" t="n">
        <v>156.31</v>
      </c>
      <c r="H39" s="35" t="n">
        <v>269.93</v>
      </c>
      <c r="I39" s="35" t="n">
        <v>7.38</v>
      </c>
      <c r="J39" s="35" t="n">
        <v>10.62</v>
      </c>
      <c r="K39" s="35" t="n">
        <v>114.23</v>
      </c>
      <c r="L39" s="35" t="n">
        <v>36</v>
      </c>
      <c r="M39" s="35" t="n">
        <v>108</v>
      </c>
      <c r="N39" s="36">
        <f>SUM(B39:M39)</f>
        <v/>
      </c>
      <c r="O39" s="37" t="n">
        <v>0</v>
      </c>
      <c r="P39" s="37" t="n">
        <v>3635.32</v>
      </c>
      <c r="Q39" s="37" t="n">
        <v>1337.4</v>
      </c>
      <c r="R39" s="37" t="n">
        <v>110.18</v>
      </c>
      <c r="S39" s="37" t="n">
        <v>120.98</v>
      </c>
      <c r="T39" s="37" t="n">
        <v>0</v>
      </c>
      <c r="U39" s="37" t="n">
        <v>917.1200000000001</v>
      </c>
      <c r="V39" s="38" t="n"/>
      <c r="W39" s="38" t="n">
        <v>3500</v>
      </c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910.8999999999999</v>
      </c>
      <c r="C40" s="35" t="n">
        <v>436.73</v>
      </c>
      <c r="D40" s="35" t="n">
        <v>608.49</v>
      </c>
      <c r="E40" s="35" t="n">
        <v>631.55</v>
      </c>
      <c r="F40" s="35" t="n">
        <v>660.9300000000001</v>
      </c>
      <c r="G40" s="35" t="n">
        <v>1356.2</v>
      </c>
      <c r="H40" s="35" t="n">
        <v>461</v>
      </c>
      <c r="I40" s="35" t="n">
        <v>439.54</v>
      </c>
      <c r="J40" s="35" t="n">
        <v>1191.48</v>
      </c>
      <c r="K40" s="35" t="n">
        <v>462.57</v>
      </c>
      <c r="L40" s="35" t="n">
        <v>228.42</v>
      </c>
      <c r="M40" s="35" t="n">
        <v>464.64</v>
      </c>
      <c r="N40" s="36">
        <f>SUM(B40:M40)</f>
        <v/>
      </c>
      <c r="O40" s="37" t="n">
        <v>354.19</v>
      </c>
      <c r="P40" s="37" t="n">
        <v>49.12</v>
      </c>
      <c r="Q40" s="37" t="n">
        <v>456.79</v>
      </c>
      <c r="R40" s="37" t="n">
        <v>280.03</v>
      </c>
      <c r="S40" s="37" t="n">
        <v>401.15</v>
      </c>
      <c r="T40" s="37" t="n">
        <v>459.4</v>
      </c>
      <c r="U40" s="37" t="n">
        <v>5.63</v>
      </c>
      <c r="V40" s="38" t="n">
        <v>333</v>
      </c>
      <c r="W40" s="38" t="n">
        <v>333</v>
      </c>
      <c r="X40" s="38" t="n">
        <v>333</v>
      </c>
      <c r="Y40" s="38" t="n">
        <v>333</v>
      </c>
      <c r="Z40" s="38" t="n">
        <v>333</v>
      </c>
      <c r="AA40" s="36">
        <f>SUM(O40:U40)</f>
        <v/>
      </c>
      <c r="AB40" s="36">
        <f>SUM(O40:Z40)</f>
        <v/>
      </c>
      <c r="AC40" s="38" t="n">
        <v>333</v>
      </c>
      <c r="AD40" s="38" t="n">
        <v>333</v>
      </c>
      <c r="AE40" s="38" t="n">
        <v>333</v>
      </c>
      <c r="AF40" s="38" t="n">
        <v>333</v>
      </c>
      <c r="AG40" s="38" t="n">
        <v>333</v>
      </c>
      <c r="AH40" s="38" t="n">
        <v>333</v>
      </c>
      <c r="AI40" s="117" t="n">
        <v>333</v>
      </c>
      <c r="AJ40" s="118" t="n">
        <v>333</v>
      </c>
      <c r="AK40" s="118" t="n">
        <v>333</v>
      </c>
      <c r="AL40" s="118" t="n">
        <v>333</v>
      </c>
      <c r="AM40" s="119" t="n">
        <v>333</v>
      </c>
      <c r="AN40" s="117" t="n">
        <v>333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377.59</v>
      </c>
      <c r="C41" s="35" t="n">
        <v>583.16</v>
      </c>
      <c r="D41" s="35" t="n">
        <v>730.2299999999999</v>
      </c>
      <c r="E41" s="35" t="n">
        <v>334.81</v>
      </c>
      <c r="F41" s="35" t="n">
        <v>283.5700000000001</v>
      </c>
      <c r="G41" s="35" t="n">
        <v>414.48</v>
      </c>
      <c r="H41" s="35" t="n">
        <v>361.07</v>
      </c>
      <c r="I41" s="35" t="n">
        <v>449.9</v>
      </c>
      <c r="J41" s="35" t="n">
        <v>780.8099999999999</v>
      </c>
      <c r="K41" s="35" t="n">
        <v>411.19</v>
      </c>
      <c r="L41" s="35" t="n">
        <v>428.31</v>
      </c>
      <c r="M41" s="35" t="n">
        <v>481.72</v>
      </c>
      <c r="N41" s="36">
        <f>SUM(B41:M41)</f>
        <v/>
      </c>
      <c r="O41" s="37" t="n">
        <v>428.3</v>
      </c>
      <c r="P41" s="37" t="n">
        <v>529.11</v>
      </c>
      <c r="Q41" s="37" t="n">
        <v>481.72</v>
      </c>
      <c r="R41" s="37" t="n">
        <v>536.35</v>
      </c>
      <c r="S41" s="37" t="n">
        <v>455.32</v>
      </c>
      <c r="T41" s="37" t="n">
        <v>346.66</v>
      </c>
      <c r="U41" s="37" t="n">
        <v>620.08</v>
      </c>
      <c r="V41" s="38" t="n">
        <v>474</v>
      </c>
      <c r="W41" s="38" t="n">
        <v>474</v>
      </c>
      <c r="X41" s="38" t="n">
        <v>474</v>
      </c>
      <c r="Y41" s="38" t="n">
        <v>474</v>
      </c>
      <c r="Z41" s="38" t="n">
        <v>474</v>
      </c>
      <c r="AA41" s="36">
        <f>SUM(O41:U41)</f>
        <v/>
      </c>
      <c r="AB41" s="36">
        <f>SUM(O41:Z41)</f>
        <v/>
      </c>
      <c r="AC41" s="38" t="n">
        <v>474</v>
      </c>
      <c r="AD41" s="38" t="n">
        <v>474</v>
      </c>
      <c r="AE41" s="38" t="n">
        <v>474</v>
      </c>
      <c r="AF41" s="38" t="n">
        <v>474</v>
      </c>
      <c r="AG41" s="38" t="n">
        <v>474</v>
      </c>
      <c r="AH41" s="38" t="n">
        <v>474</v>
      </c>
      <c r="AI41" s="117" t="n">
        <v>474</v>
      </c>
      <c r="AJ41" s="118" t="n">
        <v>474</v>
      </c>
      <c r="AK41" s="118" t="n">
        <v>474</v>
      </c>
      <c r="AL41" s="118" t="n">
        <v>474</v>
      </c>
      <c r="AM41" s="119" t="n">
        <v>474</v>
      </c>
      <c r="AN41" s="117" t="n">
        <v>474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71.09999999999999</v>
      </c>
      <c r="C42" s="35" t="n">
        <v>84.2</v>
      </c>
      <c r="D42" s="35" t="n">
        <v>53.57</v>
      </c>
      <c r="E42" s="35" t="n">
        <v>40.14</v>
      </c>
      <c r="F42" s="35" t="n">
        <v>67.65000000000001</v>
      </c>
      <c r="G42" s="35" t="n">
        <v>49.08</v>
      </c>
      <c r="H42" s="35" t="n">
        <v>71.48999999999999</v>
      </c>
      <c r="I42" s="35" t="n">
        <v>270.78</v>
      </c>
      <c r="J42" s="35" t="n">
        <v>102.83</v>
      </c>
      <c r="K42" s="35" t="n">
        <v>91.92</v>
      </c>
      <c r="L42" s="35" t="n">
        <v>54.05</v>
      </c>
      <c r="M42" s="35" t="n">
        <v>43.75</v>
      </c>
      <c r="N42" s="36">
        <f>SUM(B42:M42)</f>
        <v/>
      </c>
      <c r="O42" s="37" t="n">
        <v>86.89</v>
      </c>
      <c r="P42" s="37" t="n">
        <v>86.22</v>
      </c>
      <c r="Q42" s="37" t="n">
        <v>84.04000000000001</v>
      </c>
      <c r="R42" s="37" t="n">
        <v>78.89</v>
      </c>
      <c r="S42" s="37" t="n">
        <v>111.28</v>
      </c>
      <c r="T42" s="37" t="n">
        <v>81.90000000000001</v>
      </c>
      <c r="U42" s="37" t="n">
        <v>104.47</v>
      </c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382</v>
      </c>
      <c r="P43" s="37" t="n">
        <v>485</v>
      </c>
      <c r="Q43" s="37" t="n">
        <v>290</v>
      </c>
      <c r="R43" s="37" t="n">
        <v>252</v>
      </c>
      <c r="S43" s="37" t="n">
        <v>174</v>
      </c>
      <c r="T43" s="37" t="n">
        <v>0</v>
      </c>
      <c r="U43" s="37" t="n">
        <v>0</v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SUMIF('MER TB'!$R:$R,'MER P&amp;L'!$A44,'MER TB'!C:C)</f>
        <v/>
      </c>
      <c r="P44" s="37">
        <f>SUMIF('MER TB'!$R:$R,'MER P&amp;L'!$A44,'MER TB'!D:D)</f>
        <v/>
      </c>
      <c r="Q44" s="37">
        <f>SUMIF('MER TB'!$R:$R,'MER P&amp;L'!$A44,'MER TB'!E:E)</f>
        <v/>
      </c>
      <c r="R44" s="37">
        <f>SUMIF('MER TB'!$R:$R,'MER P&amp;L'!$A44,'MER TB'!F:F)</f>
        <v/>
      </c>
      <c r="S44" s="37">
        <f>SUMIF('MER TB'!$R:$R,'MER P&amp;L'!$A44,'MER TB'!G:G)</f>
        <v/>
      </c>
      <c r="T44" s="37">
        <f>SUMIF('MER TB'!$R:$R,'MER P&amp;L'!$A44,'MER TB'!H:H)</f>
        <v/>
      </c>
      <c r="U44" s="37">
        <f>SUMIF('MER TB'!$R:$R,'MER P&amp;L'!$A44,'MER TB'!I:I)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270.44</v>
      </c>
      <c r="E45" s="35" t="n">
        <v>0</v>
      </c>
      <c r="F45" s="35" t="n">
        <v>0</v>
      </c>
      <c r="G45" s="35" t="n">
        <v>265</v>
      </c>
      <c r="H45" s="35" t="n">
        <v>0</v>
      </c>
      <c r="I45" s="35" t="n">
        <v>45</v>
      </c>
      <c r="J45" s="35" t="n">
        <v>41.25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174</v>
      </c>
      <c r="P45" s="37" t="n">
        <v>0</v>
      </c>
      <c r="Q45" s="37" t="n">
        <v>0</v>
      </c>
      <c r="R45" s="37" t="n">
        <v>171</v>
      </c>
      <c r="S45" s="37" t="n">
        <v>0</v>
      </c>
      <c r="T45" s="37" t="n">
        <v>220</v>
      </c>
      <c r="U45" s="37" t="n">
        <v>13.5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7" t="n">
        <v>100</v>
      </c>
      <c r="AJ45" s="118" t="n">
        <v>100</v>
      </c>
      <c r="AK45" s="118" t="n">
        <v>100</v>
      </c>
      <c r="AL45" s="118" t="n">
        <v>100</v>
      </c>
      <c r="AM45" s="119" t="n">
        <v>100</v>
      </c>
      <c r="AN45" s="117" t="n">
        <v>100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SUMIF('MER TB'!$R:$R,'MER P&amp;L'!$A46,'MER TB'!C:C)</f>
        <v/>
      </c>
      <c r="P46" s="37">
        <f>SUMIF('MER TB'!$R:$R,'MER P&amp;L'!$A46,'MER TB'!D:D)</f>
        <v/>
      </c>
      <c r="Q46" s="37">
        <f>SUMIF('MER TB'!$R:$R,'MER P&amp;L'!$A46,'MER TB'!E:E)</f>
        <v/>
      </c>
      <c r="R46" s="37">
        <f>SUMIF('MER TB'!$R:$R,'MER P&amp;L'!$A46,'MER TB'!F:F)</f>
        <v/>
      </c>
      <c r="S46" s="37">
        <f>SUMIF('MER TB'!$R:$R,'MER P&amp;L'!$A46,'MER TB'!G:G)</f>
        <v/>
      </c>
      <c r="T46" s="37">
        <f>SUMIF('MER TB'!$R:$R,'MER P&amp;L'!$A46,'MER TB'!H:H)</f>
        <v/>
      </c>
      <c r="U46" s="37">
        <f>SUMIF('MER TB'!$R:$R,'MER P&amp;L'!$A46,'MER TB'!I:I)</f>
        <v/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5766.190000000001</v>
      </c>
      <c r="C47" s="42" t="n">
        <v>4270.09</v>
      </c>
      <c r="D47" s="42" t="n">
        <v>9113.110000000001</v>
      </c>
      <c r="E47" s="42" t="n">
        <v>5437.920000000001</v>
      </c>
      <c r="F47" s="42" t="n">
        <v>5060.87</v>
      </c>
      <c r="G47" s="42" t="n">
        <v>6472.48</v>
      </c>
      <c r="H47" s="42" t="n">
        <v>4956.949999999999</v>
      </c>
      <c r="I47" s="42" t="n">
        <v>5013.2</v>
      </c>
      <c r="J47" s="42" t="n">
        <v>6790.469999999999</v>
      </c>
      <c r="K47" s="42" t="n">
        <v>5020.58</v>
      </c>
      <c r="L47" s="42" t="n">
        <v>4632.38</v>
      </c>
      <c r="M47" s="42" t="n">
        <v>5448.130000000001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44251.96</v>
      </c>
      <c r="C48" s="23" t="n">
        <v>43491.67999999999</v>
      </c>
      <c r="D48" s="23" t="n">
        <v>49736.96000000001</v>
      </c>
      <c r="E48" s="23" t="n">
        <v>53145.19</v>
      </c>
      <c r="F48" s="23" t="n">
        <v>53370.99999999999</v>
      </c>
      <c r="G48" s="23" t="n">
        <v>46761.42</v>
      </c>
      <c r="H48" s="23" t="n">
        <v>51645.13</v>
      </c>
      <c r="I48" s="23" t="n">
        <v>52213.53999999999</v>
      </c>
      <c r="J48" s="23" t="n">
        <v>53240.59</v>
      </c>
      <c r="K48" s="23" t="n">
        <v>56700.37</v>
      </c>
      <c r="L48" s="23" t="n">
        <v>45739.92</v>
      </c>
      <c r="M48" s="23" t="n">
        <v>45927.28999999999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54802.88000000001</v>
      </c>
      <c r="C50" s="55" t="n">
        <v>46070.28000000001</v>
      </c>
      <c r="D50" s="55" t="n">
        <v>51681.73</v>
      </c>
      <c r="E50" s="55" t="n">
        <v>52382.08</v>
      </c>
      <c r="F50" s="55" t="n">
        <v>45925.59000000001</v>
      </c>
      <c r="G50" s="55" t="n">
        <v>49640.09000000001</v>
      </c>
      <c r="H50" s="55" t="n">
        <v>96983.07999999999</v>
      </c>
      <c r="I50" s="55" t="n">
        <v>34467.90000000001</v>
      </c>
      <c r="J50" s="55" t="n">
        <v>39061.13999999999</v>
      </c>
      <c r="K50" s="55" t="n">
        <v>32091.63</v>
      </c>
      <c r="L50" s="55" t="n">
        <v>63582.40999999999</v>
      </c>
      <c r="M50" s="55" t="n">
        <v>83169.40999999999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SUMIF('MER TB'!$R:$R,'MER P&amp;L'!$A53,'MER TB'!C:C)</f>
        <v/>
      </c>
      <c r="P53" s="37">
        <f>SUMIF('MER TB'!$R:$R,'MER P&amp;L'!$A53,'MER TB'!D:D)</f>
        <v/>
      </c>
      <c r="Q53" s="37">
        <f>SUMIF('MER TB'!$R:$R,'MER P&amp;L'!$A53,'MER TB'!E:E)</f>
        <v/>
      </c>
      <c r="R53" s="37">
        <f>SUMIF('MER TB'!$R:$R,'MER P&amp;L'!$A53,'MER TB'!F:F)</f>
        <v/>
      </c>
      <c r="S53" s="37">
        <f>SUMIF('MER TB'!$R:$R,'MER P&amp;L'!$A53,'MER TB'!G:G)</f>
        <v/>
      </c>
      <c r="T53" s="37">
        <f>SUMIF('MER TB'!$R:$R,'MER P&amp;L'!$A53,'MER TB'!H:H)</f>
        <v/>
      </c>
      <c r="U53" s="37">
        <f>SUMIF('MER TB'!$R:$R,'MER P&amp;L'!$A53,'MER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SUMIF('MER TB'!$R:$R,'MER P&amp;L'!$A54,'MER TB'!C:C)</f>
        <v/>
      </c>
      <c r="P54" s="37">
        <f>SUMIF('MER TB'!$R:$R,'MER P&amp;L'!$A54,'MER TB'!D:D)</f>
        <v/>
      </c>
      <c r="Q54" s="37">
        <f>SUMIF('MER TB'!$R:$R,'MER P&amp;L'!$A54,'MER TB'!E:E)</f>
        <v/>
      </c>
      <c r="R54" s="37">
        <f>SUMIF('MER TB'!$R:$R,'MER P&amp;L'!$A54,'MER TB'!F:F)</f>
        <v/>
      </c>
      <c r="S54" s="37">
        <f>SUMIF('MER TB'!$R:$R,'MER P&amp;L'!$A54,'MER TB'!G:G)</f>
        <v/>
      </c>
      <c r="T54" s="37">
        <f>SUMIF('MER TB'!$R:$R,'MER P&amp;L'!$A54,'MER TB'!H:H)</f>
        <v/>
      </c>
      <c r="U54" s="37">
        <f>SUMIF('MER TB'!$R:$R,'MER P&amp;L'!$A54,'MER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SUMIF('MER TB'!$R:$R,'MER P&amp;L'!$A55,'MER TB'!C:C)</f>
        <v/>
      </c>
      <c r="P55" s="37">
        <f>SUMIF('MER TB'!$R:$R,'MER P&amp;L'!$A55,'MER TB'!D:D)</f>
        <v/>
      </c>
      <c r="Q55" s="37">
        <f>SUMIF('MER TB'!$R:$R,'MER P&amp;L'!$A55,'MER TB'!E:E)</f>
        <v/>
      </c>
      <c r="R55" s="37">
        <f>SUMIF('MER TB'!$R:$R,'MER P&amp;L'!$A55,'MER TB'!F:F)</f>
        <v/>
      </c>
      <c r="S55" s="37">
        <f>SUMIF('MER TB'!$R:$R,'MER P&amp;L'!$A55,'MER TB'!G:G)</f>
        <v/>
      </c>
      <c r="T55" s="37">
        <f>SUMIF('MER TB'!$R:$R,'MER P&amp;L'!$A55,'MER TB'!H:H)</f>
        <v/>
      </c>
      <c r="U55" s="37">
        <f>SUMIF('MER TB'!$R:$R,'MER P&amp;L'!$A55,'MER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SUMIF('MER TB'!$R:$R,'MER P&amp;L'!$A56,'MER TB'!C:C)</f>
        <v/>
      </c>
      <c r="P56" s="37">
        <f>SUMIF('MER TB'!$R:$R,'MER P&amp;L'!$A56,'MER TB'!D:D)</f>
        <v/>
      </c>
      <c r="Q56" s="37">
        <f>SUMIF('MER TB'!$R:$R,'MER P&amp;L'!$A56,'MER TB'!E:E)</f>
        <v/>
      </c>
      <c r="R56" s="37">
        <f>SUMIF('MER TB'!$R:$R,'MER P&amp;L'!$A56,'MER TB'!F:F)</f>
        <v/>
      </c>
      <c r="S56" s="37">
        <f>SUMIF('MER TB'!$R:$R,'MER P&amp;L'!$A56,'MER TB'!G:G)</f>
        <v/>
      </c>
      <c r="T56" s="37">
        <f>SUMIF('MER TB'!$R:$R,'MER P&amp;L'!$A56,'MER TB'!H:H)</f>
        <v/>
      </c>
      <c r="U56" s="37">
        <f>SUMIF('MER TB'!$R:$R,'MER P&amp;L'!$A56,'MER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450</v>
      </c>
      <c r="N57" s="36">
        <f>SUM(B57:M57)</f>
        <v/>
      </c>
      <c r="O57" s="37">
        <f>SUMIF('MER TB'!$R:$R,'MER P&amp;L'!$A57,'MER TB'!C:C)</f>
        <v/>
      </c>
      <c r="P57" s="37">
        <f>SUMIF('MER TB'!$R:$R,'MER P&amp;L'!$A57,'MER TB'!D:D)</f>
        <v/>
      </c>
      <c r="Q57" s="37">
        <f>SUMIF('MER TB'!$R:$R,'MER P&amp;L'!$A57,'MER TB'!E:E)</f>
        <v/>
      </c>
      <c r="R57" s="37">
        <f>SUMIF('MER TB'!$R:$R,'MER P&amp;L'!$A57,'MER TB'!F:F)</f>
        <v/>
      </c>
      <c r="S57" s="37">
        <f>SUMIF('MER TB'!$R:$R,'MER P&amp;L'!$A57,'MER TB'!G:G)</f>
        <v/>
      </c>
      <c r="T57" s="37">
        <f>SUMIF('MER TB'!$R:$R,'MER P&amp;L'!$A57,'MER TB'!H:H)</f>
        <v/>
      </c>
      <c r="U57" s="37">
        <f>SUMIF('MER TB'!$R:$R,'MER P&amp;L'!$A57,'MER TB'!I:I)</f>
        <v/>
      </c>
      <c r="V57" s="38" t="n"/>
      <c r="W57" s="38" t="n"/>
      <c r="X57" s="38" t="n"/>
      <c r="Y57" s="38" t="n"/>
      <c r="Z57" s="38">
        <f>30*18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SUMIF('MER TB'!$R:$R,'MER P&amp;L'!$A58,'MER TB'!C:C)</f>
        <v/>
      </c>
      <c r="P58" s="37">
        <f>SUMIF('MER TB'!$R:$R,'MER P&amp;L'!$A58,'MER TB'!D:D)</f>
        <v/>
      </c>
      <c r="Q58" s="37">
        <f>SUMIF('MER TB'!$R:$R,'MER P&amp;L'!$A58,'MER TB'!E:E)</f>
        <v/>
      </c>
      <c r="R58" s="37">
        <f>SUMIF('MER TB'!$R:$R,'MER P&amp;L'!$A58,'MER TB'!F:F)</f>
        <v/>
      </c>
      <c r="S58" s="37">
        <f>SUMIF('MER TB'!$R:$R,'MER P&amp;L'!$A58,'MER TB'!G:G)</f>
        <v/>
      </c>
      <c r="T58" s="37">
        <f>SUMIF('MER TB'!$R:$R,'MER P&amp;L'!$A58,'MER TB'!H:H)</f>
        <v/>
      </c>
      <c r="U58" s="37">
        <f>SUMIF('MER TB'!$R:$R,'MER P&amp;L'!$A58,'MER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8.4</v>
      </c>
      <c r="C60" s="35" t="n">
        <v>6.6</v>
      </c>
      <c r="D60" s="35" t="n">
        <v>6.6</v>
      </c>
      <c r="E60" s="35" t="n">
        <v>9.6</v>
      </c>
      <c r="F60" s="35" t="n">
        <v>10.8</v>
      </c>
      <c r="G60" s="35" t="n">
        <v>9.600000000000001</v>
      </c>
      <c r="H60" s="35" t="n">
        <v>9</v>
      </c>
      <c r="I60" s="35" t="n">
        <v>6</v>
      </c>
      <c r="J60" s="35" t="n">
        <v>9.599999999999998</v>
      </c>
      <c r="K60" s="35" t="n">
        <v>77.2</v>
      </c>
      <c r="L60" s="35" t="n">
        <v>6.600000000000001</v>
      </c>
      <c r="M60" s="35" t="n">
        <v>7.800000000000001</v>
      </c>
      <c r="N60" s="36">
        <f>SUM(B60:M60)</f>
        <v/>
      </c>
      <c r="O60" s="37" t="n">
        <v>7.199999999999999</v>
      </c>
      <c r="P60" s="37" t="n">
        <v>6.600000000000001</v>
      </c>
      <c r="Q60" s="37" t="n">
        <v>7.8</v>
      </c>
      <c r="R60" s="37" t="n">
        <v>6</v>
      </c>
      <c r="S60" s="37" t="n">
        <v>7.199999999999999</v>
      </c>
      <c r="T60" s="37" t="n">
        <v>8.399999999999999</v>
      </c>
      <c r="U60" s="37" t="n">
        <v>7.199999999999999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7.970000000000001</v>
      </c>
      <c r="C61" s="35" t="n">
        <v>14.98</v>
      </c>
      <c r="D61" s="35" t="n">
        <v>30.38</v>
      </c>
      <c r="E61" s="35" t="n">
        <v>0</v>
      </c>
      <c r="F61" s="35" t="n">
        <v>28.17</v>
      </c>
      <c r="G61" s="35" t="n">
        <v>48.89</v>
      </c>
      <c r="H61" s="35" t="n">
        <v>8.98</v>
      </c>
      <c r="I61" s="35" t="n">
        <v>0</v>
      </c>
      <c r="J61" s="35" t="n">
        <v>0</v>
      </c>
      <c r="K61" s="35" t="n">
        <v>0</v>
      </c>
      <c r="L61" s="35" t="n">
        <v>18.97</v>
      </c>
      <c r="M61" s="35" t="n">
        <v>0</v>
      </c>
      <c r="N61" s="36">
        <f>SUM(B61:M61)</f>
        <v/>
      </c>
      <c r="O61" s="37">
        <f>SUMIF('MER TB'!$R:$R,'MER P&amp;L'!$A61,'MER TB'!C:C)</f>
        <v/>
      </c>
      <c r="P61" s="37">
        <f>SUMIF('MER TB'!$R:$R,'MER P&amp;L'!$A61,'MER TB'!D:D)</f>
        <v/>
      </c>
      <c r="Q61" s="37">
        <f>SUMIF('MER TB'!$R:$R,'MER P&amp;L'!$A61,'MER TB'!E:E)</f>
        <v/>
      </c>
      <c r="R61" s="37">
        <f>SUMIF('MER TB'!$R:$R,'MER P&amp;L'!$A61,'MER TB'!F:F)</f>
        <v/>
      </c>
      <c r="S61" s="37">
        <f>SUMIF('MER TB'!$R:$R,'MER P&amp;L'!$A61,'MER TB'!G:G)</f>
        <v/>
      </c>
      <c r="T61" s="37">
        <f>SUMIF('MER TB'!$R:$R,'MER P&amp;L'!$A61,'MER TB'!H:H)</f>
        <v/>
      </c>
      <c r="U61" s="37">
        <f>SUMIF('MER TB'!$R:$R,'MER P&amp;L'!$A61,'MER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132</v>
      </c>
      <c r="C62" s="35" t="n">
        <v>110</v>
      </c>
      <c r="D62" s="35" t="n">
        <v>172.91</v>
      </c>
      <c r="E62" s="35" t="n">
        <v>129.17</v>
      </c>
      <c r="F62" s="35" t="n">
        <v>452.34</v>
      </c>
      <c r="G62" s="35" t="n">
        <v>186</v>
      </c>
      <c r="H62" s="35" t="n">
        <v>222.8</v>
      </c>
      <c r="I62" s="35" t="n">
        <v>301.93</v>
      </c>
      <c r="J62" s="35" t="n">
        <v>174.26</v>
      </c>
      <c r="K62" s="35" t="n">
        <v>318.6</v>
      </c>
      <c r="L62" s="35" t="n">
        <v>501</v>
      </c>
      <c r="M62" s="35" t="n">
        <v>438</v>
      </c>
      <c r="N62" s="36">
        <f>SUM(B62:M62)</f>
        <v/>
      </c>
      <c r="O62" s="37" t="n">
        <v>556</v>
      </c>
      <c r="P62" s="37" t="n">
        <v>566</v>
      </c>
      <c r="Q62" s="37" t="n">
        <v>60</v>
      </c>
      <c r="R62" s="37" t="n">
        <v>164</v>
      </c>
      <c r="S62" s="37" t="n">
        <v>195</v>
      </c>
      <c r="T62" s="37" t="n">
        <v>135</v>
      </c>
      <c r="U62" s="37" t="n">
        <v>337</v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SUMIF('MER TB'!$R:$R,'MER P&amp;L'!$A63,'MER TB'!C:C)</f>
        <v/>
      </c>
      <c r="P63" s="37">
        <f>SUMIF('MER TB'!$R:$R,'MER P&amp;L'!$A63,'MER TB'!D:D)</f>
        <v/>
      </c>
      <c r="Q63" s="37">
        <f>SUMIF('MER TB'!$R:$R,'MER P&amp;L'!$A63,'MER TB'!E:E)</f>
        <v/>
      </c>
      <c r="R63" s="37">
        <f>SUMIF('MER TB'!$R:$R,'MER P&amp;L'!$A63,'MER TB'!F:F)</f>
        <v/>
      </c>
      <c r="S63" s="37">
        <f>SUMIF('MER TB'!$R:$R,'MER P&amp;L'!$A63,'MER TB'!G:G)</f>
        <v/>
      </c>
      <c r="T63" s="37">
        <f>SUMIF('MER TB'!$R:$R,'MER P&amp;L'!$A63,'MER TB'!H:H)</f>
        <v/>
      </c>
      <c r="U63" s="37">
        <f>SUMIF('MER TB'!$R:$R,'MER P&amp;L'!$A63,'MER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SUMIF('MER TB'!$R:$R,'MER P&amp;L'!$A64,'MER TB'!C:C)</f>
        <v/>
      </c>
      <c r="P64" s="37">
        <f>SUMIF('MER TB'!$R:$R,'MER P&amp;L'!$A64,'MER TB'!D:D)</f>
        <v/>
      </c>
      <c r="Q64" s="37">
        <f>SUMIF('MER TB'!$R:$R,'MER P&amp;L'!$A64,'MER TB'!E:E)</f>
        <v/>
      </c>
      <c r="R64" s="37">
        <f>SUMIF('MER TB'!$R:$R,'MER P&amp;L'!$A64,'MER TB'!F:F)</f>
        <v/>
      </c>
      <c r="S64" s="37">
        <f>SUMIF('MER TB'!$R:$R,'MER P&amp;L'!$A64,'MER TB'!G:G)</f>
        <v/>
      </c>
      <c r="T64" s="37">
        <f>SUMIF('MER TB'!$R:$R,'MER P&amp;L'!$A64,'MER TB'!H:H)</f>
        <v/>
      </c>
      <c r="U64" s="37">
        <f>SUMIF('MER TB'!$R:$R,'MER P&amp;L'!$A64,'MER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SUMIF('MER TB'!$R:$R,'MER P&amp;L'!$A65,'MER TB'!C:C)</f>
        <v/>
      </c>
      <c r="P65" s="37">
        <f>SUMIF('MER TB'!$R:$R,'MER P&amp;L'!$A65,'MER TB'!D:D)</f>
        <v/>
      </c>
      <c r="Q65" s="37">
        <f>SUMIF('MER TB'!$R:$R,'MER P&amp;L'!$A65,'MER TB'!E:E)</f>
        <v/>
      </c>
      <c r="R65" s="37">
        <f>SUMIF('MER TB'!$R:$R,'MER P&amp;L'!$A65,'MER TB'!F:F)</f>
        <v/>
      </c>
      <c r="S65" s="37">
        <f>SUMIF('MER TB'!$R:$R,'MER P&amp;L'!$A65,'MER TB'!G:G)</f>
        <v/>
      </c>
      <c r="T65" s="37">
        <f>SUMIF('MER TB'!$R:$R,'MER P&amp;L'!$A65,'MER TB'!H:H)</f>
        <v/>
      </c>
      <c r="U65" s="37">
        <f>SUMIF('MER TB'!$R:$R,'MER P&amp;L'!$A65,'MER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SUMIF('MER TB'!$R:$R,'MER P&amp;L'!$A66,'MER TB'!C:C)</f>
        <v/>
      </c>
      <c r="P66" s="37">
        <f>SUMIF('MER TB'!$R:$R,'MER P&amp;L'!$A66,'MER TB'!D:D)</f>
        <v/>
      </c>
      <c r="Q66" s="37">
        <f>SUMIF('MER TB'!$R:$R,'MER P&amp;L'!$A66,'MER TB'!E:E)</f>
        <v/>
      </c>
      <c r="R66" s="37">
        <f>SUMIF('MER TB'!$R:$R,'MER P&amp;L'!$A66,'MER TB'!F:F)</f>
        <v/>
      </c>
      <c r="S66" s="37">
        <f>SUMIF('MER TB'!$R:$R,'MER P&amp;L'!$A66,'MER TB'!G:G)</f>
        <v/>
      </c>
      <c r="T66" s="37">
        <f>SUMIF('MER TB'!$R:$R,'MER P&amp;L'!$A66,'MER TB'!H:H)</f>
        <v/>
      </c>
      <c r="U66" s="37">
        <f>SUMIF('MER TB'!$R:$R,'MER P&amp;L'!$A66,'MER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SUMIF('MER TB'!$R:$R,'MER P&amp;L'!$A67,'MER TB'!C:C)</f>
        <v/>
      </c>
      <c r="P67" s="37">
        <f>SUMIF('MER TB'!$R:$R,'MER P&amp;L'!$A67,'MER TB'!D:D)</f>
        <v/>
      </c>
      <c r="Q67" s="37">
        <f>SUMIF('MER TB'!$R:$R,'MER P&amp;L'!$A67,'MER TB'!E:E)</f>
        <v/>
      </c>
      <c r="R67" s="37">
        <f>SUMIF('MER TB'!$R:$R,'MER P&amp;L'!$A67,'MER TB'!F:F)</f>
        <v/>
      </c>
      <c r="S67" s="37">
        <f>SUMIF('MER TB'!$R:$R,'MER P&amp;L'!$A67,'MER TB'!G:G)</f>
        <v/>
      </c>
      <c r="T67" s="37">
        <f>SUMIF('MER TB'!$R:$R,'MER P&amp;L'!$A67,'MER TB'!H:H)</f>
        <v/>
      </c>
      <c r="U67" s="37">
        <f>SUMIF('MER TB'!$R:$R,'MER P&amp;L'!$A67,'MER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SUMIF('MER TB'!$R:$R,'MER P&amp;L'!$A68,'MER TB'!C:C)</f>
        <v/>
      </c>
      <c r="P68" s="37">
        <f>SUMIF('MER TB'!$R:$R,'MER P&amp;L'!$A68,'MER TB'!D:D)</f>
        <v/>
      </c>
      <c r="Q68" s="37">
        <f>SUMIF('MER TB'!$R:$R,'MER P&amp;L'!$A68,'MER TB'!E:E)</f>
        <v/>
      </c>
      <c r="R68" s="37">
        <f>SUMIF('MER TB'!$R:$R,'MER P&amp;L'!$A68,'MER TB'!F:F)</f>
        <v/>
      </c>
      <c r="S68" s="37">
        <f>SUMIF('MER TB'!$R:$R,'MER P&amp;L'!$A68,'MER TB'!G:G)</f>
        <v/>
      </c>
      <c r="T68" s="37">
        <f>SUMIF('MER TB'!$R:$R,'MER P&amp;L'!$A68,'MER TB'!H:H)</f>
        <v/>
      </c>
      <c r="U68" s="37">
        <f>SUMIF('MER TB'!$R:$R,'MER P&amp;L'!$A68,'MER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349.75</v>
      </c>
      <c r="C69" s="42" t="n">
        <v>332.96</v>
      </c>
      <c r="D69" s="42" t="n">
        <v>411.27</v>
      </c>
      <c r="E69" s="42" t="n">
        <v>340.15</v>
      </c>
      <c r="F69" s="42" t="n">
        <v>692.6900000000001</v>
      </c>
      <c r="G69" s="42" t="n">
        <v>445.87</v>
      </c>
      <c r="H69" s="42" t="n">
        <v>442.16</v>
      </c>
      <c r="I69" s="42" t="n">
        <v>509.31</v>
      </c>
      <c r="J69" s="42" t="n">
        <v>385.24</v>
      </c>
      <c r="K69" s="42" t="n">
        <v>610.6</v>
      </c>
      <c r="L69" s="42" t="n">
        <v>741.37</v>
      </c>
      <c r="M69" s="42" t="n">
        <v>1110.6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54453.13000000001</v>
      </c>
      <c r="C70" s="55" t="n">
        <v>45737.32000000001</v>
      </c>
      <c r="D70" s="55" t="n">
        <v>51270.46</v>
      </c>
      <c r="E70" s="55" t="n">
        <v>52041.93</v>
      </c>
      <c r="F70" s="55" t="n">
        <v>45232.90000000001</v>
      </c>
      <c r="G70" s="55" t="n">
        <v>49194.22000000001</v>
      </c>
      <c r="H70" s="55" t="n">
        <v>96540.91999999998</v>
      </c>
      <c r="I70" s="55" t="n">
        <v>33958.59000000001</v>
      </c>
      <c r="J70" s="55" t="n">
        <v>38675.89999999999</v>
      </c>
      <c r="K70" s="55" t="n">
        <v>31481.03</v>
      </c>
      <c r="L70" s="55" t="n">
        <v>62841.03999999999</v>
      </c>
      <c r="M70" s="55" t="n">
        <v>82058.80999999998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60">
        <f>SUM(O71:T71)</f>
        <v/>
      </c>
      <c r="AB71" s="56" t="n"/>
      <c r="AC71" s="8" t="n"/>
      <c r="AD71" s="8" t="n"/>
      <c r="AE71" s="8" t="n"/>
      <c r="AF71" s="8" t="n"/>
      <c r="AG71" s="8" t="n"/>
      <c r="AH71" s="8" t="n"/>
      <c r="AI71" s="148" t="n">
        <v>0</v>
      </c>
      <c r="AJ71" s="148" t="n">
        <v>0</v>
      </c>
      <c r="AK71" s="148" t="n">
        <v>0</v>
      </c>
      <c r="AL71" s="148" t="n">
        <v>0</v>
      </c>
      <c r="AM71" s="148" t="n">
        <v>0</v>
      </c>
      <c r="AN71" s="148" t="n">
        <v>0</v>
      </c>
      <c r="AO71" s="149">
        <f>SUM(AC71:AH71)+SUM(AI71:AN71)</f>
        <v/>
      </c>
      <c r="AP71" s="145">
        <f>IF(AB71&lt;&gt;0,(AO71-AB71)/ABS(AB71),0)</f>
        <v/>
      </c>
    </row>
    <row r="72">
      <c r="A72" s="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148" t="n">
        <v>0</v>
      </c>
      <c r="AJ72" s="148" t="n">
        <v>0</v>
      </c>
      <c r="AK72" s="148" t="n">
        <v>0</v>
      </c>
      <c r="AL72" s="148" t="n">
        <v>0</v>
      </c>
      <c r="AM72" s="148" t="n">
        <v>0</v>
      </c>
      <c r="AN72" s="148" t="n">
        <v>0</v>
      </c>
      <c r="AO72" s="149">
        <f>SUM(AC72:AH72)+SUM(AI72:AN72)</f>
        <v/>
      </c>
      <c r="AP72" s="145">
        <f>IF(AB72&lt;&gt;0,(AO72-AB72)/ABS(AB72),0)</f>
        <v/>
      </c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148" t="n">
        <v>0</v>
      </c>
      <c r="AJ73" s="148" t="n">
        <v>0</v>
      </c>
      <c r="AK73" s="148" t="n">
        <v>0</v>
      </c>
      <c r="AL73" s="148" t="n">
        <v>0</v>
      </c>
      <c r="AM73" s="148" t="n">
        <v>0</v>
      </c>
      <c r="AN73" s="148" t="n">
        <v>0</v>
      </c>
      <c r="AO73" s="149">
        <f>SUM(AC73:AH73)+SUM(AI73:AN73)</f>
        <v/>
      </c>
      <c r="AP73" s="145">
        <f>IF(AB73&lt;&gt;0,(AO73-AB73)/ABS(AB73),0)</f>
        <v/>
      </c>
    </row>
    <row r="74">
      <c r="A74" s="60" t="inlineStr">
        <is>
          <t>Direct - Sales</t>
        </is>
      </c>
      <c r="B74" s="60" t="n">
        <v>99054.84000000001</v>
      </c>
      <c r="C74" s="60" t="n">
        <v>89561.96000000001</v>
      </c>
      <c r="D74" s="60" t="n">
        <v>101418.69</v>
      </c>
      <c r="E74" s="60" t="n">
        <v>105527.27</v>
      </c>
      <c r="F74" s="60" t="n">
        <v>99296.59</v>
      </c>
      <c r="G74" s="60" t="n">
        <v>96401.51000000001</v>
      </c>
      <c r="H74" s="60" t="n">
        <v>148628.21</v>
      </c>
      <c r="I74" s="60" t="n">
        <v>86681.44</v>
      </c>
      <c r="J74" s="60" t="n">
        <v>92301.73</v>
      </c>
      <c r="K74" s="60" t="n">
        <v>88792</v>
      </c>
      <c r="L74" s="60" t="n">
        <v>109322.33</v>
      </c>
      <c r="M74" s="8" t="n"/>
      <c r="N74" s="8" t="n"/>
      <c r="O74" s="60">
        <f>-SUMIF('MER TB'!$T:$T,'MER P&amp;L'!$A74,'MER TB'!C:C)</f>
        <v/>
      </c>
      <c r="P74" s="60">
        <f>-SUMIF('MER TB'!$T:$T,'MER P&amp;L'!$A74,'MER TB'!D:D)</f>
        <v/>
      </c>
      <c r="Q74" s="60">
        <f>-SUMIF('MER TB'!$T:$T,'MER P&amp;L'!$A74,'MER TB'!E:E)</f>
        <v/>
      </c>
      <c r="R74" s="60">
        <f>-SUMIF('MER TB'!$T:$T,'MER P&amp;L'!$A74,'MER TB'!F:F)</f>
        <v/>
      </c>
      <c r="S74" s="60">
        <f>-SUMIF('MER TB'!$T:$T,'MER P&amp;L'!$A74,'MER TB'!G:G)</f>
        <v/>
      </c>
      <c r="T74" s="60">
        <f>-SUMIF('MER TB'!$T:$T,'MER P&amp;L'!$A74,'MER TB'!H:H)</f>
        <v/>
      </c>
      <c r="U74" s="60">
        <f>-SUMIF('MER TB'!$T:$T,'MER P&amp;L'!$A74,'MER TB'!I:I)</f>
        <v/>
      </c>
      <c r="V74" s="60">
        <f>-SUMIF('MER TB'!$T:$T,'MER P&amp;L'!$A74,'MER TB'!J:J)</f>
        <v/>
      </c>
      <c r="W74" s="60">
        <f>-SUMIF('MER TB'!$T:$T,'MER P&amp;L'!$A74,'MER TB'!K:K)</f>
        <v/>
      </c>
      <c r="X74" s="60">
        <f>-SUMIF('MER TB'!$T:$T,'MER P&amp;L'!$A74,'MER TB'!L:L)</f>
        <v/>
      </c>
      <c r="Y74" s="60">
        <f>-SUMIF('MER TB'!$T:$T,'MER P&amp;L'!$A74,'MER TB'!M:M)</f>
        <v/>
      </c>
      <c r="Z74" s="60">
        <f>-SUMIF('MER TB'!$T:$T,'MER P&amp;L'!$A74,'MER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148" t="n">
        <v>0</v>
      </c>
      <c r="AJ74" s="148" t="n">
        <v>0</v>
      </c>
      <c r="AK74" s="148" t="n">
        <v>0</v>
      </c>
      <c r="AL74" s="148" t="n">
        <v>0</v>
      </c>
      <c r="AM74" s="148" t="n">
        <v>0</v>
      </c>
      <c r="AN74" s="148" t="n">
        <v>0</v>
      </c>
      <c r="AO74" s="149">
        <f>SUM(AC74:AH74)+SUM(AI74:AN74)</f>
        <v/>
      </c>
      <c r="AP74" s="145">
        <f>IF(AB74&lt;&gt;0,(AO74-AB74)/ABS(AB74),0)</f>
        <v/>
      </c>
    </row>
    <row r="75">
      <c r="A75" s="34" t="inlineStr">
        <is>
          <t>Direct - Staff Cost</t>
        </is>
      </c>
      <c r="B75" s="18" t="n">
        <v>-35172.41</v>
      </c>
      <c r="C75" s="18" t="n">
        <v>-35747.46999999999</v>
      </c>
      <c r="D75" s="18" t="n">
        <v>-37292.51</v>
      </c>
      <c r="E75" s="18" t="n">
        <v>-44556.27</v>
      </c>
      <c r="F75" s="18" t="n">
        <v>-44581.99999999999</v>
      </c>
      <c r="G75" s="18" t="n">
        <v>-37022.34</v>
      </c>
      <c r="H75" s="18" t="n">
        <v>-43286.82</v>
      </c>
      <c r="I75" s="18" t="n">
        <v>-43925.56</v>
      </c>
      <c r="J75" s="18" t="n">
        <v>-43620.99000000001</v>
      </c>
      <c r="K75" s="18" t="n">
        <v>-47618.67</v>
      </c>
      <c r="L75" s="18" t="n">
        <v>-37781.48</v>
      </c>
      <c r="M75" s="18" t="n"/>
      <c r="N75" s="8" t="n"/>
      <c r="O75" s="60">
        <f>-SUMIF('MER TB'!$T:$T,'MER P&amp;L'!$A75,'MER TB'!C:C)</f>
        <v/>
      </c>
      <c r="P75" s="60">
        <f>-SUMIF('MER TB'!$T:$T,'MER P&amp;L'!$A75,'MER TB'!D:D)</f>
        <v/>
      </c>
      <c r="Q75" s="60">
        <f>-SUMIF('MER TB'!$T:$T,'MER P&amp;L'!$A75,'MER TB'!E:E)</f>
        <v/>
      </c>
      <c r="R75" s="60">
        <f>-SUMIF('MER TB'!$T:$T,'MER P&amp;L'!$A75,'MER TB'!F:F)</f>
        <v/>
      </c>
      <c r="S75" s="60">
        <f>-SUMIF('MER TB'!$T:$T,'MER P&amp;L'!$A75,'MER TB'!G:G)</f>
        <v/>
      </c>
      <c r="T75" s="60">
        <f>-SUMIF('MER TB'!$T:$T,'MER P&amp;L'!$A75,'MER TB'!H:H)</f>
        <v/>
      </c>
      <c r="U75" s="60">
        <f>-SUMIF('MER TB'!$T:$T,'MER P&amp;L'!$A75,'MER TB'!I:I)</f>
        <v/>
      </c>
      <c r="V75" s="60">
        <f>-SUMIF('MER TB'!$T:$T,'MER P&amp;L'!$A75,'MER TB'!J:J)</f>
        <v/>
      </c>
      <c r="W75" s="60">
        <f>-SUMIF('MER TB'!$T:$T,'MER P&amp;L'!$A75,'MER TB'!K:K)</f>
        <v/>
      </c>
      <c r="X75" s="60">
        <f>-SUMIF('MER TB'!$T:$T,'MER P&amp;L'!$A75,'MER TB'!L:L)</f>
        <v/>
      </c>
      <c r="Y75" s="60">
        <f>-SUMIF('MER TB'!$T:$T,'MER P&amp;L'!$A75,'MER TB'!M:M)</f>
        <v/>
      </c>
      <c r="Z75" s="60">
        <f>-SUMIF('MER TB'!$T:$T,'MER P&amp;L'!$A75,'MER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148" t="n">
        <v>0</v>
      </c>
      <c r="AJ75" s="148" t="n">
        <v>0</v>
      </c>
      <c r="AK75" s="148" t="n">
        <v>0</v>
      </c>
      <c r="AL75" s="148" t="n">
        <v>0</v>
      </c>
      <c r="AM75" s="148" t="n">
        <v>0</v>
      </c>
      <c r="AN75" s="148" t="n">
        <v>0</v>
      </c>
      <c r="AO75" s="149">
        <f>SUM(AC75:AH75)+SUM(AI75:AN75)</f>
        <v/>
      </c>
      <c r="AP75" s="145">
        <f>IF(AB75&lt;&gt;0,(AO75-AB75)/ABS(AB75),0)</f>
        <v/>
      </c>
    </row>
    <row r="76">
      <c r="A76" s="60" t="inlineStr">
        <is>
          <t>Direct - Childcare Cost</t>
        </is>
      </c>
      <c r="B76" s="18" t="n">
        <v>-3313.36</v>
      </c>
      <c r="C76" s="18" t="n">
        <v>-3474.12</v>
      </c>
      <c r="D76" s="18" t="n">
        <v>-3331.34</v>
      </c>
      <c r="E76" s="18" t="n">
        <v>-3151</v>
      </c>
      <c r="F76" s="18" t="n">
        <v>-3728.13</v>
      </c>
      <c r="G76" s="18" t="n">
        <v>-3266.6</v>
      </c>
      <c r="H76" s="18" t="n">
        <v>-3401.36</v>
      </c>
      <c r="I76" s="18" t="n">
        <v>-3274.78</v>
      </c>
      <c r="J76" s="18" t="n">
        <v>-2829.13</v>
      </c>
      <c r="K76" s="18" t="n">
        <v>-4061.12</v>
      </c>
      <c r="L76" s="18" t="n">
        <v>-3326.06</v>
      </c>
      <c r="M76" s="18" t="n">
        <v>-2907.57</v>
      </c>
      <c r="N76" s="8" t="n"/>
      <c r="O76" s="60">
        <f>-SUMIF('MER TB'!$T:$T,'MER P&amp;L'!$A76,'MER TB'!C:C)</f>
        <v/>
      </c>
      <c r="P76" s="60">
        <f>-SUMIF('MER TB'!$T:$T,'MER P&amp;L'!$A76,'MER TB'!D:D)</f>
        <v/>
      </c>
      <c r="Q76" s="60">
        <f>-SUMIF('MER TB'!$T:$T,'MER P&amp;L'!$A76,'MER TB'!E:E)</f>
        <v/>
      </c>
      <c r="R76" s="60">
        <f>-SUMIF('MER TB'!$T:$T,'MER P&amp;L'!$A76,'MER TB'!F:F)</f>
        <v/>
      </c>
      <c r="S76" s="60">
        <f>-SUMIF('MER TB'!$T:$T,'MER P&amp;L'!$A76,'MER TB'!G:G)</f>
        <v/>
      </c>
      <c r="T76" s="60">
        <f>-SUMIF('MER TB'!$T:$T,'MER P&amp;L'!$A76,'MER TB'!H:H)</f>
        <v/>
      </c>
      <c r="U76" s="60">
        <f>-SUMIF('MER TB'!$T:$T,'MER P&amp;L'!$A76,'MER TB'!I:I)</f>
        <v/>
      </c>
      <c r="V76" s="60">
        <f>-SUMIF('MER TB'!$T:$T,'MER P&amp;L'!$A76,'MER TB'!J:J)</f>
        <v/>
      </c>
      <c r="W76" s="60">
        <f>-SUMIF('MER TB'!$T:$T,'MER P&amp;L'!$A76,'MER TB'!K:K)</f>
        <v/>
      </c>
      <c r="X76" s="60">
        <f>-SUMIF('MER TB'!$T:$T,'MER P&amp;L'!$A76,'MER TB'!L:L)</f>
        <v/>
      </c>
      <c r="Y76" s="60">
        <f>-SUMIF('MER TB'!$T:$T,'MER P&amp;L'!$A76,'MER TB'!M:M)</f>
        <v/>
      </c>
      <c r="Z76" s="60">
        <f>-SUMIF('MER TB'!$T:$T,'MER P&amp;L'!$A76,'MER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148" t="n">
        <v>0</v>
      </c>
      <c r="AJ76" s="148" t="n">
        <v>0</v>
      </c>
      <c r="AK76" s="148" t="n">
        <v>0</v>
      </c>
      <c r="AL76" s="148" t="n">
        <v>0</v>
      </c>
      <c r="AM76" s="148" t="n">
        <v>0</v>
      </c>
      <c r="AN76" s="148" t="n">
        <v>0</v>
      </c>
      <c r="AO76" s="149">
        <f>SUM(AC76:AH76)+SUM(AI76:AN76)</f>
        <v/>
      </c>
      <c r="AP76" s="145">
        <f>IF(AB76&lt;&gt;0,(AO76-AB76)/ABS(AB76),0)</f>
        <v/>
      </c>
    </row>
    <row r="77">
      <c r="A77" s="60" t="inlineStr">
        <is>
          <t>Direct - Premises &amp; Admin</t>
        </is>
      </c>
      <c r="B77" s="18" t="n">
        <v>-5766.190000000001</v>
      </c>
      <c r="C77" s="18" t="n">
        <v>-4270.09</v>
      </c>
      <c r="D77" s="18" t="n">
        <v>-9113.110000000001</v>
      </c>
      <c r="E77" s="18" t="n">
        <v>-5437.920000000001</v>
      </c>
      <c r="F77" s="18" t="n">
        <v>-5060.87</v>
      </c>
      <c r="G77" s="18" t="n">
        <v>-6472.48</v>
      </c>
      <c r="H77" s="18" t="n">
        <v>-4956.949999999999</v>
      </c>
      <c r="I77" s="18" t="n">
        <v>-5013.2</v>
      </c>
      <c r="J77" s="18" t="n">
        <v>-6790.469999999999</v>
      </c>
      <c r="K77" s="18" t="n">
        <v>-5020.58</v>
      </c>
      <c r="L77" s="18" t="n">
        <v>-4632.38</v>
      </c>
      <c r="M77" s="18" t="n">
        <v>-5448.130000000001</v>
      </c>
      <c r="N77" s="8" t="n"/>
      <c r="O77" s="60">
        <f>-SUMIF('MER TB'!$T:$T,'MER P&amp;L'!$A77,'MER TB'!C:C)</f>
        <v/>
      </c>
      <c r="P77" s="60">
        <f>-SUMIF('MER TB'!$T:$T,'MER P&amp;L'!$A77,'MER TB'!D:D)</f>
        <v/>
      </c>
      <c r="Q77" s="60">
        <f>-SUMIF('MER TB'!$T:$T,'MER P&amp;L'!$A77,'MER TB'!E:E)</f>
        <v/>
      </c>
      <c r="R77" s="60">
        <f>-SUMIF('MER TB'!$T:$T,'MER P&amp;L'!$A77,'MER TB'!F:F)</f>
        <v/>
      </c>
      <c r="S77" s="60">
        <f>-SUMIF('MER TB'!$T:$T,'MER P&amp;L'!$A77,'MER TB'!G:G)</f>
        <v/>
      </c>
      <c r="T77" s="60">
        <f>-SUMIF('MER TB'!$T:$T,'MER P&amp;L'!$A77,'MER TB'!H:H)</f>
        <v/>
      </c>
      <c r="U77" s="60">
        <f>-SUMIF('MER TB'!$T:$T,'MER P&amp;L'!$A77,'MER TB'!I:I)</f>
        <v/>
      </c>
      <c r="V77" s="60">
        <f>-SUMIF('MER TB'!$T:$T,'MER P&amp;L'!$A77,'MER TB'!J:J)</f>
        <v/>
      </c>
      <c r="W77" s="60">
        <f>-SUMIF('MER TB'!$T:$T,'MER P&amp;L'!$A77,'MER TB'!K:K)</f>
        <v/>
      </c>
      <c r="X77" s="60">
        <f>-SUMIF('MER TB'!$T:$T,'MER P&amp;L'!$A77,'MER TB'!L:L)</f>
        <v/>
      </c>
      <c r="Y77" s="60">
        <f>-SUMIF('MER TB'!$T:$T,'MER P&amp;L'!$A77,'MER TB'!M:M)</f>
        <v/>
      </c>
      <c r="Z77" s="60">
        <f>-SUMIF('MER TB'!$T:$T,'MER P&amp;L'!$A77,'MER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148" t="n">
        <v>0</v>
      </c>
      <c r="AJ77" s="148" t="n">
        <v>0</v>
      </c>
      <c r="AK77" s="148" t="n">
        <v>0</v>
      </c>
      <c r="AL77" s="148" t="n">
        <v>0</v>
      </c>
      <c r="AM77" s="148" t="n">
        <v>0</v>
      </c>
      <c r="AN77" s="148" t="n">
        <v>0</v>
      </c>
      <c r="AO77" s="149">
        <f>SUM(AC77:AH77)+SUM(AI77:AN77)</f>
        <v/>
      </c>
      <c r="AP77" s="145">
        <f>IF(AB77&lt;&gt;0,(AO77-AB77)/ABS(AB77),0)</f>
        <v/>
      </c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-SUMIF('MER TB'!$T:$T,'MER P&amp;L'!$A78,'MER TB'!C:C)</f>
        <v/>
      </c>
      <c r="P78" s="60">
        <f>-SUMIF('MER TB'!$T:$T,'MER P&amp;L'!$A78,'MER TB'!D:D)</f>
        <v/>
      </c>
      <c r="Q78" s="60">
        <f>-SUMIF('MER TB'!$T:$T,'MER P&amp;L'!$A78,'MER TB'!E:E)</f>
        <v/>
      </c>
      <c r="R78" s="60">
        <f>-SUMIF('MER TB'!$T:$T,'MER P&amp;L'!$A78,'MER TB'!F:F)</f>
        <v/>
      </c>
      <c r="S78" s="60">
        <f>-SUMIF('MER TB'!$T:$T,'MER P&amp;L'!$A78,'MER TB'!G:G)</f>
        <v/>
      </c>
      <c r="T78" s="60">
        <f>-SUMIF('MER TB'!$T:$T,'MER P&amp;L'!$A78,'MER TB'!H:H)</f>
        <v/>
      </c>
      <c r="U78" s="60">
        <f>-SUMIF('MER TB'!$T:$T,'MER P&amp;L'!$A78,'MER TB'!I:I)</f>
        <v/>
      </c>
      <c r="V78" s="60">
        <f>-SUMIF('MER TB'!$T:$T,'MER P&amp;L'!$A78,'MER TB'!J:J)</f>
        <v/>
      </c>
      <c r="W78" s="60">
        <f>-SUMIF('MER TB'!$T:$T,'MER P&amp;L'!$A78,'MER TB'!K:K)</f>
        <v/>
      </c>
      <c r="X78" s="60">
        <f>-SUMIF('MER TB'!$T:$T,'MER P&amp;L'!$A78,'MER TB'!L:L)</f>
        <v/>
      </c>
      <c r="Y78" s="60">
        <f>-SUMIF('MER TB'!$T:$T,'MER P&amp;L'!$A78,'MER TB'!M:M)</f>
        <v/>
      </c>
      <c r="Z78" s="60">
        <f>-SUMIF('MER TB'!$T:$T,'MER P&amp;L'!$A78,'MER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148" t="n">
        <v>0</v>
      </c>
      <c r="AJ78" s="148" t="n">
        <v>0</v>
      </c>
      <c r="AK78" s="148" t="n">
        <v>0</v>
      </c>
      <c r="AL78" s="148" t="n">
        <v>0</v>
      </c>
      <c r="AM78" s="148" t="n">
        <v>0</v>
      </c>
      <c r="AN78" s="148" t="n">
        <v>0</v>
      </c>
      <c r="AO78" s="149">
        <f>SUM(AC78:AH78)+SUM(AI78:AN78)</f>
        <v/>
      </c>
      <c r="AP78" s="145">
        <f>IF(AB78&lt;&gt;0,(AO78-AB78)/ABS(AB78),0)</f>
        <v/>
      </c>
    </row>
    <row r="79">
      <c r="A79" s="60" t="inlineStr">
        <is>
          <t>In-Direct - Overheads</t>
        </is>
      </c>
      <c r="B79" s="18" t="n">
        <v>-349.75</v>
      </c>
      <c r="C79" s="18" t="n">
        <v>-332.96</v>
      </c>
      <c r="D79" s="18" t="n">
        <v>-411.27</v>
      </c>
      <c r="E79" s="18" t="n">
        <v>-340.15</v>
      </c>
      <c r="F79" s="18" t="n">
        <v>-692.6900000000001</v>
      </c>
      <c r="G79" s="18" t="n">
        <v>-445.87</v>
      </c>
      <c r="H79" s="18" t="n">
        <v>-442.16</v>
      </c>
      <c r="I79" s="18" t="n">
        <v>-509.31</v>
      </c>
      <c r="J79" s="18" t="n">
        <v>-385.24</v>
      </c>
      <c r="K79" s="18" t="n">
        <v>-610.6</v>
      </c>
      <c r="L79" s="18" t="n">
        <v>-741.37</v>
      </c>
      <c r="M79" s="18" t="n">
        <v>-1110.6</v>
      </c>
      <c r="N79" s="8" t="n"/>
      <c r="O79" s="60">
        <f>-SUMIF('MER TB'!$T:$T,'MER P&amp;L'!$A79,'MER TB'!C:C)</f>
        <v/>
      </c>
      <c r="P79" s="60">
        <f>-SUMIF('MER TB'!$T:$T,'MER P&amp;L'!$A79,'MER TB'!D:D)</f>
        <v/>
      </c>
      <c r="Q79" s="60">
        <f>-SUMIF('MER TB'!$T:$T,'MER P&amp;L'!$A79,'MER TB'!E:E)</f>
        <v/>
      </c>
      <c r="R79" s="60">
        <f>-SUMIF('MER TB'!$T:$T,'MER P&amp;L'!$A79,'MER TB'!F:F)</f>
        <v/>
      </c>
      <c r="S79" s="60">
        <f>-SUMIF('MER TB'!$T:$T,'MER P&amp;L'!$A79,'MER TB'!G:G)</f>
        <v/>
      </c>
      <c r="T79" s="60">
        <f>-SUMIF('MER TB'!$T:$T,'MER P&amp;L'!$A79,'MER TB'!H:H)</f>
        <v/>
      </c>
      <c r="U79" s="60">
        <f>-SUMIF('MER TB'!$T:$T,'MER P&amp;L'!$A79,'MER TB'!I:I)</f>
        <v/>
      </c>
      <c r="V79" s="60">
        <f>-SUMIF('MER TB'!$T:$T,'MER P&amp;L'!$A79,'MER TB'!J:J)</f>
        <v/>
      </c>
      <c r="W79" s="60">
        <f>-SUMIF('MER TB'!$T:$T,'MER P&amp;L'!$A79,'MER TB'!K:K)</f>
        <v/>
      </c>
      <c r="X79" s="60">
        <f>-SUMIF('MER TB'!$T:$T,'MER P&amp;L'!$A79,'MER TB'!L:L)</f>
        <v/>
      </c>
      <c r="Y79" s="60">
        <f>-SUMIF('MER TB'!$T:$T,'MER P&amp;L'!$A79,'MER TB'!M:M)</f>
        <v/>
      </c>
      <c r="Z79" s="60">
        <f>-SUMIF('MER TB'!$T:$T,'MER P&amp;L'!$A79,'MER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148" t="n">
        <v>0</v>
      </c>
      <c r="AJ79" s="148" t="n">
        <v>0</v>
      </c>
      <c r="AK79" s="148" t="n">
        <v>0</v>
      </c>
      <c r="AL79" s="148" t="n">
        <v>0</v>
      </c>
      <c r="AM79" s="148" t="n">
        <v>0</v>
      </c>
      <c r="AN79" s="148" t="n">
        <v>0</v>
      </c>
      <c r="AO79" s="149">
        <f>SUM(AC79:AH79)+SUM(AI79:AN79)</f>
        <v/>
      </c>
      <c r="AP79" s="145">
        <f>IF(AB79&lt;&gt;0,(AO79-AB79)/ABS(AB79),0)</f>
        <v/>
      </c>
    </row>
    <row r="80" ht="15.75" customHeight="1">
      <c r="A80" s="8" t="n"/>
      <c r="B80" s="67" t="n">
        <v>54453.13000000001</v>
      </c>
      <c r="C80" s="67" t="n">
        <v>45737.32000000001</v>
      </c>
      <c r="D80" s="67" t="n">
        <v>51270.46</v>
      </c>
      <c r="E80" s="67" t="n">
        <v>52041.93</v>
      </c>
      <c r="F80" s="67" t="n">
        <v>45232.90000000001</v>
      </c>
      <c r="G80" s="67" t="n">
        <v>49194.22000000001</v>
      </c>
      <c r="H80" s="67" t="n">
        <v>96540.91999999998</v>
      </c>
      <c r="I80" s="67" t="n">
        <v>33958.59000000001</v>
      </c>
      <c r="J80" s="67" t="n">
        <v>38675.89999999999</v>
      </c>
      <c r="K80" s="67" t="n">
        <v>31481.03</v>
      </c>
      <c r="L80" s="67" t="n">
        <v>62841.03999999998</v>
      </c>
      <c r="M80" s="67" t="n">
        <v>-9466.300000000001</v>
      </c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134" t="n">
        <v>0</v>
      </c>
      <c r="AJ80" s="153" t="n">
        <v>0</v>
      </c>
      <c r="AK80" s="153" t="n">
        <v>0</v>
      </c>
      <c r="AL80" s="153" t="n">
        <v>0</v>
      </c>
      <c r="AM80" s="153" t="n">
        <v>0</v>
      </c>
      <c r="AN80" s="153" t="n">
        <v>0</v>
      </c>
      <c r="AO80" s="154">
        <f>SUM(AC80:AH80)+SUM(AI80:AN80)</f>
        <v/>
      </c>
      <c r="AP80" s="155">
        <f>IF(AB80&lt;&gt;0,(AO80-AB80)/ABS(AB80),0)</f>
        <v/>
      </c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0</v>
      </c>
      <c r="K81" s="18" t="n">
        <v>0</v>
      </c>
      <c r="L81" s="18" t="n">
        <v>0</v>
      </c>
      <c r="M81" s="18" t="n">
        <v>91525.10999999999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0</v>
      </c>
      <c r="G83" s="18" t="n">
        <v>0</v>
      </c>
      <c r="H83" s="18" t="n">
        <v>0</v>
      </c>
      <c r="I83" s="18" t="n">
        <v>0</v>
      </c>
      <c r="J83" s="18" t="n">
        <v>0</v>
      </c>
      <c r="K83" s="18" t="n">
        <v>0</v>
      </c>
      <c r="L83" s="18" t="n">
        <v>0</v>
      </c>
      <c r="M83" s="18" t="n">
        <v>-91525.10999999994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48" t="n">
        <v>0</v>
      </c>
      <c r="AJ83" s="148" t="n">
        <v>0</v>
      </c>
      <c r="AK83" s="148" t="n">
        <v>0</v>
      </c>
      <c r="AL83" s="148" t="n">
        <v>0</v>
      </c>
      <c r="AM83" s="148" t="n">
        <v>0</v>
      </c>
      <c r="AN83" s="148" t="n">
        <v>0</v>
      </c>
      <c r="AO83" s="149">
        <f>SUM(AC83:AH83)+SUM(AI83:AN83)</f>
        <v/>
      </c>
      <c r="AP83" s="145">
        <f>IF(AB83&lt;&gt;0,(AO83-AB83)/ABS(AB83),0)</f>
        <v/>
      </c>
    </row>
    <row r="84">
      <c r="A84" s="8" t="n"/>
      <c r="B84" s="18" t="n">
        <v>-54453.13000000002</v>
      </c>
      <c r="C84" s="18" t="n">
        <v>-45737.32000000001</v>
      </c>
      <c r="D84" s="18" t="n">
        <v>-51270.45999999998</v>
      </c>
      <c r="E84" s="18" t="n">
        <v>-52041.93000000001</v>
      </c>
      <c r="F84" s="18" t="n">
        <v>-45232.90000000001</v>
      </c>
      <c r="G84" s="18" t="n">
        <v>-49194.22000000001</v>
      </c>
      <c r="H84" s="18" t="n">
        <v>-96540.91999999995</v>
      </c>
      <c r="I84" s="18" t="n">
        <v>-33958.59</v>
      </c>
      <c r="J84" s="18" t="n">
        <v>-38675.89999999999</v>
      </c>
      <c r="K84" s="18" t="n">
        <v>-31481.02999999999</v>
      </c>
      <c r="L84" s="18" t="n">
        <v>-62841.03999999997</v>
      </c>
      <c r="M84" s="18" t="n">
        <v>-82058.80999999994</v>
      </c>
      <c r="N84" s="8" t="n"/>
      <c r="O84" s="60">
        <f>SUM('MER TB'!C2:C43)</f>
        <v/>
      </c>
      <c r="P84" s="60">
        <f>SUM('MER TB'!D2:D43)</f>
        <v/>
      </c>
      <c r="Q84" s="60">
        <f>SUM('MER TB'!E2:E43)</f>
        <v/>
      </c>
      <c r="R84" s="60">
        <f>SUM('MER TB'!F2:F43)</f>
        <v/>
      </c>
      <c r="S84" s="60">
        <f>SUM('MER TB'!G2:G43)</f>
        <v/>
      </c>
      <c r="T84" s="60">
        <f>SUM('MER TB'!H2:H43)</f>
        <v/>
      </c>
      <c r="U84" s="60">
        <f>SUM('MER TB'!I2:I43)</f>
        <v/>
      </c>
      <c r="V84" s="60">
        <f>SUM('MER TB'!J2:J43)</f>
        <v/>
      </c>
      <c r="W84" s="60">
        <f>SUM('MER TB'!K2:K43)</f>
        <v/>
      </c>
      <c r="X84" s="60">
        <f>SUM('MER TB'!L2:L43)</f>
        <v/>
      </c>
      <c r="Y84" s="60">
        <f>SUM('MER TB'!M2:M43)</f>
        <v/>
      </c>
      <c r="Z84" s="60">
        <f>SUM('MER TB'!N2:N43)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48" t="n">
        <v>0</v>
      </c>
      <c r="AJ84" s="148" t="n">
        <v>0</v>
      </c>
      <c r="AK84" s="148" t="n">
        <v>0</v>
      </c>
      <c r="AL84" s="148" t="n">
        <v>0</v>
      </c>
      <c r="AM84" s="148" t="n">
        <v>0</v>
      </c>
      <c r="AN84" s="148" t="n">
        <v>0</v>
      </c>
      <c r="AO84" s="149">
        <f>SUM(AC84:AH84)+SUM(AI84:AN84)</f>
        <v/>
      </c>
      <c r="AP84" s="145">
        <f>IF(AB84&lt;&gt;0,(AO84-AB84)/ABS(AB84),0)</f>
        <v/>
      </c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mergeCells count="1">
    <mergeCell ref="AI1:AQ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5703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Northumberland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9069.939999999999</v>
      </c>
      <c r="C8" s="35" t="n">
        <v>18430.57</v>
      </c>
      <c r="D8" s="35" t="n">
        <v>17723.33</v>
      </c>
      <c r="E8" s="35" t="n">
        <v>21760.34</v>
      </c>
      <c r="F8" s="35" t="n">
        <v>17055.59</v>
      </c>
      <c r="G8" s="35" t="n">
        <v>16125.92</v>
      </c>
      <c r="H8" s="35" t="n">
        <v>23858.59</v>
      </c>
      <c r="I8" s="35" t="n">
        <v>22339.21</v>
      </c>
      <c r="J8" s="35" t="n">
        <v>12468.85</v>
      </c>
      <c r="K8" s="35" t="n">
        <v>12041.45</v>
      </c>
      <c r="L8" s="35" t="n">
        <v>10680.4</v>
      </c>
      <c r="M8" s="35" t="n">
        <v>13644.19</v>
      </c>
      <c r="N8" s="36">
        <f>SUM(B8:M8)</f>
        <v/>
      </c>
      <c r="O8" s="37" t="n">
        <v>8949.66</v>
      </c>
      <c r="P8" s="37" t="n">
        <v>9181.280000000001</v>
      </c>
      <c r="Q8" s="37" t="n">
        <v>11609.4</v>
      </c>
      <c r="R8" s="37" t="n">
        <v>13485.1</v>
      </c>
      <c r="S8" s="37" t="n">
        <v>10334.4</v>
      </c>
      <c r="T8" s="37" t="n">
        <v>12530</v>
      </c>
      <c r="U8" s="37" t="n">
        <v>18402.22</v>
      </c>
      <c r="V8" s="38" t="n">
        <v>18925.87</v>
      </c>
      <c r="W8" s="38" t="n">
        <v>13665</v>
      </c>
      <c r="X8" s="38" t="n">
        <v>13098</v>
      </c>
      <c r="Y8" s="38" t="n">
        <v>12480</v>
      </c>
      <c r="Z8" s="38" t="n">
        <v>17634</v>
      </c>
      <c r="AA8" s="36">
        <f>SUM(O8:U8)</f>
        <v/>
      </c>
      <c r="AB8" s="36">
        <f>SUM(O8:Z8)</f>
        <v/>
      </c>
      <c r="AC8" s="38" t="n">
        <v>34239.39</v>
      </c>
      <c r="AD8" s="38" t="n">
        <v>30110.59</v>
      </c>
      <c r="AE8" s="38" t="n">
        <v>36653.68</v>
      </c>
      <c r="AF8" s="38" t="n">
        <v>33019.73</v>
      </c>
      <c r="AG8" s="38" t="n">
        <v>38452</v>
      </c>
      <c r="AH8" s="38" t="n">
        <v>38834.29</v>
      </c>
      <c r="AI8" s="117" t="n">
        <v>38834.29</v>
      </c>
      <c r="AJ8" s="118" t="n">
        <v>38834.29</v>
      </c>
      <c r="AK8" s="118" t="n">
        <v>38834.29</v>
      </c>
      <c r="AL8" s="118" t="n">
        <v>38834.29</v>
      </c>
      <c r="AM8" s="119" t="n">
        <v>38834.29</v>
      </c>
      <c r="AN8" s="117" t="n">
        <v>38834.29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8345.08</v>
      </c>
      <c r="C9" s="35" t="n">
        <v>5508.8</v>
      </c>
      <c r="D9" s="35" t="n">
        <v>18679.4</v>
      </c>
      <c r="E9" s="35" t="n">
        <v>7516.08</v>
      </c>
      <c r="F9" s="35" t="n">
        <v>7516.08</v>
      </c>
      <c r="G9" s="35" t="n">
        <v>15698.85</v>
      </c>
      <c r="H9" s="35" t="n">
        <v>15698.85</v>
      </c>
      <c r="I9" s="35" t="n">
        <v>0</v>
      </c>
      <c r="J9" s="35" t="n">
        <v>10762.08</v>
      </c>
      <c r="K9" s="35" t="n">
        <v>10762.08</v>
      </c>
      <c r="L9" s="35" t="n">
        <v>12208.56</v>
      </c>
      <c r="M9" s="35" t="n">
        <v>12628.56</v>
      </c>
      <c r="N9" s="36">
        <f>SUM(B9:M9)</f>
        <v/>
      </c>
      <c r="O9" s="37" t="n">
        <v>10719.8</v>
      </c>
      <c r="P9" s="37" t="n">
        <v>13055.3</v>
      </c>
      <c r="Q9" s="37" t="n">
        <v>13055.3</v>
      </c>
      <c r="R9" s="37" t="n">
        <v>8798.4</v>
      </c>
      <c r="S9" s="37" t="n">
        <v>8798.4</v>
      </c>
      <c r="T9" s="37" t="n">
        <v>12706.2</v>
      </c>
      <c r="U9" s="37" t="n">
        <v>10101</v>
      </c>
      <c r="V9" s="38" t="n">
        <v>0</v>
      </c>
      <c r="W9" s="38" t="n">
        <v>17966</v>
      </c>
      <c r="X9" s="38" t="n">
        <v>21983</v>
      </c>
      <c r="Y9" s="38" t="n">
        <v>20994</v>
      </c>
      <c r="Z9" s="38" t="n">
        <v>9662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1570.68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-SUMIF('XNDN TB'!$R:$R,'NDN P&amp;L'!$A10,'XNDN TB'!C:C)</f>
        <v/>
      </c>
      <c r="P10" s="37">
        <f>-SUMIF('XNDN TB'!$R:$R,'NDN P&amp;L'!$A10,'XNDN TB'!D:D)</f>
        <v/>
      </c>
      <c r="Q10" s="37">
        <f>-SUMIF('XNDN TB'!$R:$R,'NDN P&amp;L'!$A10,'XNDN TB'!E:E)</f>
        <v/>
      </c>
      <c r="R10" s="37">
        <f>-SUMIF('XNDN TB'!$R:$R,'NDN P&amp;L'!$A10,'XNDN TB'!F:F)</f>
        <v/>
      </c>
      <c r="S10" s="37">
        <f>-SUMIF('XNDN TB'!$R:$R,'NDN P&amp;L'!$A10,'XNDN TB'!G:G)</f>
        <v/>
      </c>
      <c r="T10" s="37">
        <f>-SUMIF('XNDN TB'!$R:$R,'NDN P&amp;L'!$A10,'XNDN TB'!H:H)</f>
        <v/>
      </c>
      <c r="U10" s="37">
        <f>-SUMIF('NDN TB'!$R:$R,'NDN P&amp;L'!$A10,'NDN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17415.02</v>
      </c>
      <c r="C11" s="42" t="n">
        <v>23939.37</v>
      </c>
      <c r="D11" s="42" t="n">
        <v>36402.73</v>
      </c>
      <c r="E11" s="42" t="n">
        <v>29276.42</v>
      </c>
      <c r="F11" s="42" t="n">
        <v>24571.67</v>
      </c>
      <c r="G11" s="42" t="n">
        <v>31824.77</v>
      </c>
      <c r="H11" s="42" t="n">
        <v>39557.44</v>
      </c>
      <c r="I11" s="42" t="n">
        <v>23909.89</v>
      </c>
      <c r="J11" s="42" t="n">
        <v>23230.93</v>
      </c>
      <c r="K11" s="42" t="n">
        <v>22803.53</v>
      </c>
      <c r="L11" s="42" t="n">
        <v>22888.96</v>
      </c>
      <c r="M11" s="42" t="n">
        <v>26272.75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15019.61</v>
      </c>
      <c r="C16" s="35" t="n">
        <v>16737.5</v>
      </c>
      <c r="D16" s="35" t="n">
        <v>20296.41</v>
      </c>
      <c r="E16" s="35" t="n">
        <v>19844.91</v>
      </c>
      <c r="F16" s="35" t="n">
        <v>20514.57</v>
      </c>
      <c r="G16" s="35" t="n">
        <v>18806.18</v>
      </c>
      <c r="H16" s="35" t="n">
        <v>18874.99</v>
      </c>
      <c r="I16" s="35" t="n">
        <v>15404.24</v>
      </c>
      <c r="J16" s="35" t="n">
        <v>13827.73</v>
      </c>
      <c r="K16" s="35" t="n">
        <v>12859</v>
      </c>
      <c r="L16" s="35" t="n">
        <v>12573.97</v>
      </c>
      <c r="M16" s="35" t="n">
        <v>13485.76</v>
      </c>
      <c r="N16" s="36">
        <f>SUM(B16:M16)</f>
        <v/>
      </c>
      <c r="O16" s="37" t="n">
        <v>14774.04</v>
      </c>
      <c r="P16" s="37" t="n">
        <v>13940.85</v>
      </c>
      <c r="Q16" s="37" t="n">
        <v>17482.69</v>
      </c>
      <c r="R16" s="37" t="n">
        <v>18467.07</v>
      </c>
      <c r="S16" s="37" t="n">
        <v>19414.37</v>
      </c>
      <c r="T16" s="37" t="n">
        <v>20554.86</v>
      </c>
      <c r="U16" s="37" t="n">
        <v>20507.25</v>
      </c>
      <c r="V16" s="38" t="n">
        <v>20507.25</v>
      </c>
      <c r="W16" s="38" t="n">
        <v>20507.25</v>
      </c>
      <c r="X16" s="38" t="n">
        <v>20507.25</v>
      </c>
      <c r="Y16" s="38" t="n">
        <v>20507.25</v>
      </c>
      <c r="Z16" s="38" t="n">
        <v>20507.25</v>
      </c>
      <c r="AA16" s="36">
        <f>SUM(O16:U16)</f>
        <v/>
      </c>
      <c r="AB16" s="36">
        <f>SUM(O16:Z16)</f>
        <v/>
      </c>
      <c r="AC16" s="38" t="n">
        <v>20507.25</v>
      </c>
      <c r="AD16" s="38" t="n">
        <v>20507.25</v>
      </c>
      <c r="AE16" s="38" t="n">
        <v>20507.25</v>
      </c>
      <c r="AF16" s="38" t="n">
        <v>20507.25</v>
      </c>
      <c r="AG16" s="38" t="n">
        <v>20507.25</v>
      </c>
      <c r="AH16" s="38" t="n">
        <v>20507.25</v>
      </c>
      <c r="AI16" s="117" t="n">
        <v>20507.25</v>
      </c>
      <c r="AJ16" s="118" t="n">
        <v>20507.25</v>
      </c>
      <c r="AK16" s="118" t="n">
        <v>20507.25</v>
      </c>
      <c r="AL16" s="118" t="n">
        <v>20507.25</v>
      </c>
      <c r="AM16" s="119" t="n">
        <v>20507.25</v>
      </c>
      <c r="AN16" s="117" t="n">
        <v>20507.25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1126.07</v>
      </c>
      <c r="C17" s="35" t="n">
        <v>1360.14</v>
      </c>
      <c r="D17" s="35" t="n">
        <v>1404.5</v>
      </c>
      <c r="E17" s="35" t="n">
        <v>1975.71</v>
      </c>
      <c r="F17" s="35" t="n">
        <v>2049.66</v>
      </c>
      <c r="G17" s="35" t="n">
        <v>1811.17</v>
      </c>
      <c r="H17" s="35" t="n">
        <v>1985.01</v>
      </c>
      <c r="I17" s="35" t="n">
        <v>1552.22</v>
      </c>
      <c r="J17" s="35" t="n">
        <v>1459.53</v>
      </c>
      <c r="K17" s="35" t="n">
        <v>1396.13</v>
      </c>
      <c r="L17" s="35" t="n">
        <v>1362.29</v>
      </c>
      <c r="M17" s="35" t="n">
        <v>1508.86</v>
      </c>
      <c r="N17" s="36">
        <f>SUM(B17:M17)</f>
        <v/>
      </c>
      <c r="O17" s="37" t="n">
        <v>1686</v>
      </c>
      <c r="P17" s="37" t="n">
        <v>1501.44</v>
      </c>
      <c r="Q17" s="37" t="n">
        <v>1885.63</v>
      </c>
      <c r="R17" s="37" t="n">
        <v>1894.36</v>
      </c>
      <c r="S17" s="37" t="n">
        <v>1931.05</v>
      </c>
      <c r="T17" s="37" t="n">
        <v>1993.72</v>
      </c>
      <c r="U17" s="37" t="n">
        <v>2095.05</v>
      </c>
      <c r="V17" s="38" t="n">
        <v>2095.05</v>
      </c>
      <c r="W17" s="38" t="n">
        <v>2095.05</v>
      </c>
      <c r="X17" s="38" t="n">
        <v>2095.05</v>
      </c>
      <c r="Y17" s="38" t="n">
        <v>2095.05</v>
      </c>
      <c r="Z17" s="38" t="n">
        <v>2095.05</v>
      </c>
      <c r="AA17" s="36">
        <f>SUM(O17:U17)</f>
        <v/>
      </c>
      <c r="AB17" s="36">
        <f>SUM(O17:Z17)</f>
        <v/>
      </c>
      <c r="AC17" s="38" t="n">
        <v>2095.05</v>
      </c>
      <c r="AD17" s="38" t="n">
        <v>2095.05</v>
      </c>
      <c r="AE17" s="38" t="n">
        <v>2095.05</v>
      </c>
      <c r="AF17" s="38" t="n">
        <v>2095.05</v>
      </c>
      <c r="AG17" s="38" t="n">
        <v>2095.05</v>
      </c>
      <c r="AH17" s="38" t="n">
        <v>2095.05</v>
      </c>
      <c r="AI17" s="117" t="n">
        <v>2095.05</v>
      </c>
      <c r="AJ17" s="118" t="n">
        <v>2095.05</v>
      </c>
      <c r="AK17" s="118" t="n">
        <v>2095.05</v>
      </c>
      <c r="AL17" s="118" t="n">
        <v>2095.05</v>
      </c>
      <c r="AM17" s="119" t="n">
        <v>2095.05</v>
      </c>
      <c r="AN17" s="117" t="n">
        <v>2095.05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301.87</v>
      </c>
      <c r="C18" s="35" t="n">
        <v>352.12</v>
      </c>
      <c r="D18" s="35" t="n">
        <v>362.42</v>
      </c>
      <c r="E18" s="35" t="n">
        <v>373.48</v>
      </c>
      <c r="F18" s="35" t="n">
        <v>388.28</v>
      </c>
      <c r="G18" s="35" t="n">
        <v>340.58</v>
      </c>
      <c r="H18" s="35" t="n">
        <v>375.35</v>
      </c>
      <c r="I18" s="35" t="n">
        <v>275.05</v>
      </c>
      <c r="J18" s="35" t="n">
        <v>234.69</v>
      </c>
      <c r="K18" s="35" t="n">
        <v>230.34</v>
      </c>
      <c r="L18" s="35" t="n">
        <v>251.05</v>
      </c>
      <c r="M18" s="35" t="n">
        <v>230.68</v>
      </c>
      <c r="N18" s="36">
        <f>SUM(B18:M18)</f>
        <v/>
      </c>
      <c r="O18" s="37" t="n">
        <v>318.63</v>
      </c>
      <c r="P18" s="37" t="n">
        <v>261.27</v>
      </c>
      <c r="Q18" s="37" t="n">
        <v>299.64</v>
      </c>
      <c r="R18" s="37" t="n">
        <v>303.21</v>
      </c>
      <c r="S18" s="37" t="n">
        <v>364.56</v>
      </c>
      <c r="T18" s="37" t="n">
        <v>361.3</v>
      </c>
      <c r="U18" s="37" t="n">
        <v>345.35</v>
      </c>
      <c r="V18" s="38" t="n">
        <v>345.35</v>
      </c>
      <c r="W18" s="38" t="n">
        <v>345.35</v>
      </c>
      <c r="X18" s="38" t="n">
        <v>345.35</v>
      </c>
      <c r="Y18" s="38" t="n">
        <v>345.35</v>
      </c>
      <c r="Z18" s="38" t="n">
        <v>345.35</v>
      </c>
      <c r="AA18" s="36">
        <f>SUM(O18:U18)</f>
        <v/>
      </c>
      <c r="AB18" s="36">
        <f>SUM(O18:Z18)</f>
        <v/>
      </c>
      <c r="AC18" s="38" t="n">
        <v>345.35</v>
      </c>
      <c r="AD18" s="38" t="n">
        <v>345.35</v>
      </c>
      <c r="AE18" s="38" t="n">
        <v>345.35</v>
      </c>
      <c r="AF18" s="38" t="n">
        <v>345.35</v>
      </c>
      <c r="AG18" s="38" t="n">
        <v>345.35</v>
      </c>
      <c r="AH18" s="38" t="n">
        <v>345.35</v>
      </c>
      <c r="AI18" s="117" t="n">
        <v>345.35</v>
      </c>
      <c r="AJ18" s="118" t="n">
        <v>345.35</v>
      </c>
      <c r="AK18" s="118" t="n">
        <v>345.35</v>
      </c>
      <c r="AL18" s="118" t="n">
        <v>345.35</v>
      </c>
      <c r="AM18" s="119" t="n">
        <v>345.35</v>
      </c>
      <c r="AN18" s="117" t="n">
        <v>345.35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244.02</v>
      </c>
      <c r="D19" s="35" t="n">
        <v>69.48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128.12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49.74</v>
      </c>
      <c r="P19" s="37" t="n">
        <v>0</v>
      </c>
      <c r="Q19" s="37" t="n">
        <v>8.99</v>
      </c>
      <c r="R19" s="37" t="n">
        <v>118.56</v>
      </c>
      <c r="S19" s="37" t="n">
        <v>0</v>
      </c>
      <c r="T19" s="37" t="n">
        <v>0</v>
      </c>
      <c r="U19" s="37" t="n">
        <v>0</v>
      </c>
      <c r="V19" s="38" t="n">
        <v>34</v>
      </c>
      <c r="W19" s="38" t="n">
        <v>34</v>
      </c>
      <c r="X19" s="38" t="n">
        <v>34</v>
      </c>
      <c r="Y19" s="38" t="n">
        <v>34</v>
      </c>
      <c r="Z19" s="38" t="n">
        <v>34</v>
      </c>
      <c r="AA19" s="36">
        <f>SUM(O19:U19)</f>
        <v/>
      </c>
      <c r="AB19" s="36">
        <f>SUM(O19:Z19)</f>
        <v/>
      </c>
      <c r="AC19" s="38" t="n">
        <v>34</v>
      </c>
      <c r="AD19" s="38" t="n">
        <v>34</v>
      </c>
      <c r="AE19" s="38" t="n">
        <v>34</v>
      </c>
      <c r="AF19" s="38" t="n">
        <v>34</v>
      </c>
      <c r="AG19" s="38" t="n">
        <v>34</v>
      </c>
      <c r="AH19" s="38" t="n">
        <v>34</v>
      </c>
      <c r="AI19" s="117" t="n">
        <v>34</v>
      </c>
      <c r="AJ19" s="118" t="n">
        <v>34</v>
      </c>
      <c r="AK19" s="118" t="n">
        <v>34</v>
      </c>
      <c r="AL19" s="118" t="n">
        <v>34</v>
      </c>
      <c r="AM19" s="119" t="n">
        <v>34</v>
      </c>
      <c r="AN19" s="117" t="n">
        <v>34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81</v>
      </c>
      <c r="C20" s="35" t="n">
        <v>0</v>
      </c>
      <c r="D20" s="35" t="n">
        <v>0</v>
      </c>
      <c r="E20" s="35" t="n">
        <v>0</v>
      </c>
      <c r="F20" s="35" t="n">
        <v>40</v>
      </c>
      <c r="G20" s="35" t="n">
        <v>0</v>
      </c>
      <c r="H20" s="35" t="n">
        <v>0</v>
      </c>
      <c r="I20" s="35" t="n">
        <v>120.3</v>
      </c>
      <c r="J20" s="35" t="n">
        <v>0</v>
      </c>
      <c r="K20" s="35" t="n">
        <v>0</v>
      </c>
      <c r="L20" s="35" t="n">
        <v>0</v>
      </c>
      <c r="M20" s="35" t="n">
        <v>0</v>
      </c>
      <c r="N20" s="36">
        <f>SUM(B20:M20)</f>
        <v/>
      </c>
      <c r="O20" s="37" t="n">
        <v>29.97</v>
      </c>
      <c r="P20" s="37" t="n">
        <v>0</v>
      </c>
      <c r="Q20" s="37" t="n">
        <v>59</v>
      </c>
      <c r="R20" s="37" t="n">
        <v>780</v>
      </c>
      <c r="S20" s="37" t="n">
        <v>546</v>
      </c>
      <c r="T20" s="37" t="n">
        <v>0</v>
      </c>
      <c r="U20" s="37" t="n">
        <v>125.82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7" t="n">
        <v>100</v>
      </c>
      <c r="AJ20" s="118" t="n">
        <v>100</v>
      </c>
      <c r="AK20" s="118" t="n">
        <v>100</v>
      </c>
      <c r="AL20" s="118" t="n">
        <v>100</v>
      </c>
      <c r="AM20" s="119" t="n">
        <v>100</v>
      </c>
      <c r="AN20" s="117" t="n">
        <v>100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277.83</v>
      </c>
      <c r="C21" s="35" t="n">
        <v>334.72</v>
      </c>
      <c r="D21" s="35" t="n">
        <v>322.62</v>
      </c>
      <c r="E21" s="35" t="n">
        <v>420.75</v>
      </c>
      <c r="F21" s="35" t="n">
        <v>276.6</v>
      </c>
      <c r="G21" s="35" t="n">
        <v>178.34</v>
      </c>
      <c r="H21" s="35" t="n">
        <v>238.53</v>
      </c>
      <c r="I21" s="35" t="n">
        <v>222.62</v>
      </c>
      <c r="J21" s="35" t="n">
        <v>549.52</v>
      </c>
      <c r="K21" s="35" t="n">
        <v>451.66</v>
      </c>
      <c r="L21" s="35" t="n">
        <v>61.96</v>
      </c>
      <c r="M21" s="35" t="n">
        <v>221.31</v>
      </c>
      <c r="N21" s="36">
        <f>SUM(B21:M21)</f>
        <v/>
      </c>
      <c r="O21" s="37" t="n">
        <v>155.65</v>
      </c>
      <c r="P21" s="37" t="n">
        <v>87.29000000000001</v>
      </c>
      <c r="Q21" s="37" t="n">
        <v>19.06</v>
      </c>
      <c r="R21" s="37" t="n">
        <v>176.18</v>
      </c>
      <c r="S21" s="37" t="n">
        <v>116.69</v>
      </c>
      <c r="T21" s="37" t="n">
        <v>172.18</v>
      </c>
      <c r="U21" s="37" t="n">
        <v>283.13</v>
      </c>
      <c r="V21" s="38" t="n">
        <v>70</v>
      </c>
      <c r="W21" s="38" t="n">
        <v>70</v>
      </c>
      <c r="X21" s="38" t="n">
        <v>70</v>
      </c>
      <c r="Y21" s="38" t="n">
        <v>70</v>
      </c>
      <c r="Z21" s="38" t="n">
        <v>70</v>
      </c>
      <c r="AA21" s="36">
        <f>SUM(O21:U21)</f>
        <v/>
      </c>
      <c r="AB21" s="36">
        <f>SUM(O21:Z21)</f>
        <v/>
      </c>
      <c r="AC21" s="38" t="n">
        <v>70</v>
      </c>
      <c r="AD21" s="38" t="n">
        <v>70</v>
      </c>
      <c r="AE21" s="38" t="n">
        <v>70</v>
      </c>
      <c r="AF21" s="38" t="n">
        <v>70</v>
      </c>
      <c r="AG21" s="38" t="n">
        <v>70</v>
      </c>
      <c r="AH21" s="38" t="n">
        <v>70</v>
      </c>
      <c r="AI21" s="117" t="n">
        <v>70</v>
      </c>
      <c r="AJ21" s="118" t="n">
        <v>70</v>
      </c>
      <c r="AK21" s="118" t="n">
        <v>70</v>
      </c>
      <c r="AL21" s="118" t="n">
        <v>70</v>
      </c>
      <c r="AM21" s="119" t="n">
        <v>70</v>
      </c>
      <c r="AN21" s="117" t="n">
        <v>70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SUMIF('XNDN TB'!$R:$R,'NDN P&amp;L'!$A22,'XNDN TB'!C:C)</f>
        <v/>
      </c>
      <c r="P22" s="37">
        <f>SUMIF('XNDN TB'!$R:$R,'NDN P&amp;L'!$A22,'XNDN TB'!D:D)</f>
        <v/>
      </c>
      <c r="Q22" s="37">
        <f>SUMIF('XNDN TB'!$R:$R,'NDN P&amp;L'!$A22,'XNDN TB'!E:E)</f>
        <v/>
      </c>
      <c r="R22" s="37">
        <f>SUMIF('XNDN TB'!$R:$R,'NDN P&amp;L'!$A22,'XNDN TB'!F:F)</f>
        <v/>
      </c>
      <c r="S22" s="37">
        <f>SUMIF('XNDN TB'!$R:$R,'NDN P&amp;L'!$A22,'XNDN TB'!G:G)</f>
        <v/>
      </c>
      <c r="T22" s="37">
        <f>SUMIF('XNDN TB'!$R:$R,'NDN P&amp;L'!$A22,'XNDN TB'!H:H)</f>
        <v/>
      </c>
      <c r="U22" s="37">
        <f>SUMIF('NDN TB'!$R:$R,'NDN P&amp;L'!$A22,'NDN TB'!I:I)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94.31999999999999</v>
      </c>
      <c r="I23" s="35" t="n">
        <v>111.25</v>
      </c>
      <c r="J23" s="35" t="n">
        <v>84.98999999999999</v>
      </c>
      <c r="K23" s="35" t="n">
        <v>31.36</v>
      </c>
      <c r="L23" s="35" t="n">
        <v>91.53</v>
      </c>
      <c r="M23" s="35" t="n">
        <v>71</v>
      </c>
      <c r="N23" s="36">
        <f>SUM(B23:M23)</f>
        <v/>
      </c>
      <c r="O23" s="37" t="n">
        <v>20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8" t="n">
        <v>29</v>
      </c>
      <c r="W23" s="38" t="n">
        <v>29</v>
      </c>
      <c r="X23" s="38" t="n">
        <v>29</v>
      </c>
      <c r="Y23" s="38" t="n">
        <v>29</v>
      </c>
      <c r="Z23" s="38" t="n">
        <v>29</v>
      </c>
      <c r="AA23" s="36">
        <f>SUM(O23:U23)</f>
        <v/>
      </c>
      <c r="AB23" s="36">
        <f>SUM(O23:Z23)</f>
        <v/>
      </c>
      <c r="AC23" s="38" t="n">
        <v>29</v>
      </c>
      <c r="AD23" s="38" t="n">
        <v>29</v>
      </c>
      <c r="AE23" s="38" t="n">
        <v>29</v>
      </c>
      <c r="AF23" s="38" t="n">
        <v>29</v>
      </c>
      <c r="AG23" s="38" t="n">
        <v>29</v>
      </c>
      <c r="AH23" s="38" t="n">
        <v>29</v>
      </c>
      <c r="AI23" s="117" t="n">
        <v>29</v>
      </c>
      <c r="AJ23" s="118" t="n">
        <v>29</v>
      </c>
      <c r="AK23" s="118" t="n">
        <v>29</v>
      </c>
      <c r="AL23" s="118" t="n">
        <v>29</v>
      </c>
      <c r="AM23" s="119" t="n">
        <v>29</v>
      </c>
      <c r="AN23" s="117" t="n">
        <v>29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662.49</v>
      </c>
      <c r="L24" s="35" t="n">
        <v>0</v>
      </c>
      <c r="M24" s="35" t="n">
        <v>0</v>
      </c>
      <c r="N24" s="36">
        <f>SUM(B24:M24)</f>
        <v/>
      </c>
      <c r="O24" s="37">
        <f>SUMIF('XNDN TB'!$R:$R,'NDN P&amp;L'!$A24,'XNDN TB'!C:C)</f>
        <v/>
      </c>
      <c r="P24" s="37">
        <f>SUMIF('XNDN TB'!$R:$R,'NDN P&amp;L'!$A24,'XNDN TB'!D:D)</f>
        <v/>
      </c>
      <c r="Q24" s="37">
        <f>SUMIF('XNDN TB'!$R:$R,'NDN P&amp;L'!$A24,'XNDN TB'!E:E)</f>
        <v/>
      </c>
      <c r="R24" s="37">
        <f>SUMIF('XNDN TB'!$R:$R,'NDN P&amp;L'!$A24,'XNDN TB'!F:F)</f>
        <v/>
      </c>
      <c r="S24" s="37">
        <f>SUMIF('XNDN TB'!$R:$R,'NDN P&amp;L'!$A24,'XNDN TB'!G:G)</f>
        <v/>
      </c>
      <c r="T24" s="37">
        <f>SUMIF('XNDN TB'!$R:$R,'NDN P&amp;L'!$A24,'XNDN TB'!H:H)</f>
        <v/>
      </c>
      <c r="U24" s="37">
        <f>SUMIF('NDN TB'!$R:$R,'NDN P&amp;L'!$A24,'NDN TB'!I:I)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16806.38</v>
      </c>
      <c r="C25" s="42" t="n">
        <v>19028.5</v>
      </c>
      <c r="D25" s="42" t="n">
        <v>22455.43</v>
      </c>
      <c r="E25" s="42" t="n">
        <v>22614.85</v>
      </c>
      <c r="F25" s="42" t="n">
        <v>23269.11</v>
      </c>
      <c r="G25" s="42" t="n">
        <v>21136.27</v>
      </c>
      <c r="H25" s="42" t="n">
        <v>21568.2</v>
      </c>
      <c r="I25" s="42" t="n">
        <v>17685.68</v>
      </c>
      <c r="J25" s="42" t="n">
        <v>16284.58</v>
      </c>
      <c r="K25" s="42" t="n">
        <v>15630.98</v>
      </c>
      <c r="L25" s="42" t="n">
        <v>14340.8</v>
      </c>
      <c r="M25" s="42" t="n">
        <v>15517.61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938.0799999999999</v>
      </c>
      <c r="C27" s="35" t="n">
        <v>1134.85</v>
      </c>
      <c r="D27" s="35" t="n">
        <v>993.1799999999999</v>
      </c>
      <c r="E27" s="35" t="n">
        <v>999.98</v>
      </c>
      <c r="F27" s="35" t="n">
        <v>1390.12</v>
      </c>
      <c r="G27" s="35" t="n">
        <v>1082.31</v>
      </c>
      <c r="H27" s="35" t="n">
        <v>1244.9</v>
      </c>
      <c r="I27" s="35" t="n">
        <v>1523.75</v>
      </c>
      <c r="J27" s="35" t="n">
        <v>904.37</v>
      </c>
      <c r="K27" s="35" t="n">
        <v>917.85</v>
      </c>
      <c r="L27" s="35" t="n">
        <v>1201.67</v>
      </c>
      <c r="M27" s="35" t="n">
        <v>933.79</v>
      </c>
      <c r="N27" s="36">
        <f>SUM(B27:M27)</f>
        <v/>
      </c>
      <c r="O27" s="37" t="n">
        <v>894.3200000000001</v>
      </c>
      <c r="P27" s="37" t="n">
        <v>587.8</v>
      </c>
      <c r="Q27" s="37" t="n">
        <v>693.1900000000001</v>
      </c>
      <c r="R27" s="37" t="n">
        <v>726.12</v>
      </c>
      <c r="S27" s="37" t="n">
        <v>627.51</v>
      </c>
      <c r="T27" s="37" t="n">
        <v>765.63</v>
      </c>
      <c r="U27" s="37" t="n">
        <v>977.42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29.07</v>
      </c>
      <c r="C28" s="35" t="n">
        <v>176.61</v>
      </c>
      <c r="D28" s="35" t="n">
        <v>111.88</v>
      </c>
      <c r="E28" s="35" t="n">
        <v>203.06</v>
      </c>
      <c r="F28" s="35" t="n">
        <v>178.9</v>
      </c>
      <c r="G28" s="35" t="n">
        <v>67.28999999999999</v>
      </c>
      <c r="H28" s="35" t="n">
        <v>38</v>
      </c>
      <c r="I28" s="35" t="n">
        <v>105.13</v>
      </c>
      <c r="J28" s="35" t="n">
        <v>220.74</v>
      </c>
      <c r="K28" s="35" t="n">
        <v>4.23</v>
      </c>
      <c r="L28" s="35" t="n">
        <v>126.27</v>
      </c>
      <c r="M28" s="35" t="n">
        <v>48.49</v>
      </c>
      <c r="N28" s="36">
        <f>SUM(B28:M28)</f>
        <v/>
      </c>
      <c r="O28" s="37" t="n">
        <v>12.23</v>
      </c>
      <c r="P28" s="37" t="n">
        <v>0</v>
      </c>
      <c r="Q28" s="37" t="n">
        <v>65.03</v>
      </c>
      <c r="R28" s="37" t="n">
        <v>131.86</v>
      </c>
      <c r="S28" s="37" t="n">
        <v>70.84999999999999</v>
      </c>
      <c r="T28" s="37" t="n">
        <v>80.06</v>
      </c>
      <c r="U28" s="37" t="n">
        <v>12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7" t="n">
        <v>50</v>
      </c>
      <c r="AJ28" s="118" t="n">
        <v>50</v>
      </c>
      <c r="AK28" s="118" t="n">
        <v>50</v>
      </c>
      <c r="AL28" s="118" t="n">
        <v>50</v>
      </c>
      <c r="AM28" s="119" t="n">
        <v>50</v>
      </c>
      <c r="AN28" s="117" t="n">
        <v>50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93.71000000000001</v>
      </c>
      <c r="C29" s="35" t="n">
        <v>111.46</v>
      </c>
      <c r="D29" s="35" t="n">
        <v>79.33</v>
      </c>
      <c r="E29" s="35" t="n">
        <v>37.47</v>
      </c>
      <c r="F29" s="35" t="n">
        <v>54.27</v>
      </c>
      <c r="G29" s="35" t="n">
        <v>2.99</v>
      </c>
      <c r="H29" s="35" t="n">
        <v>0</v>
      </c>
      <c r="I29" s="35" t="n">
        <v>2.99</v>
      </c>
      <c r="J29" s="35" t="n">
        <v>0</v>
      </c>
      <c r="K29" s="35" t="n">
        <v>70.45999999999999</v>
      </c>
      <c r="L29" s="35" t="n">
        <v>14.45</v>
      </c>
      <c r="M29" s="35" t="n">
        <v>0</v>
      </c>
      <c r="N29" s="36">
        <f>SUM(B29:M29)</f>
        <v/>
      </c>
      <c r="O29" s="37" t="n">
        <v>30.16</v>
      </c>
      <c r="P29" s="37" t="n">
        <v>0</v>
      </c>
      <c r="Q29" s="37" t="n">
        <v>232.14</v>
      </c>
      <c r="R29" s="37" t="n">
        <v>15.48</v>
      </c>
      <c r="S29" s="37" t="n">
        <v>30.74</v>
      </c>
      <c r="T29" s="37" t="n">
        <v>63.52</v>
      </c>
      <c r="U29" s="37" t="n">
        <v>12.37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 t="n">
        <v>0</v>
      </c>
      <c r="P30" s="37" t="n">
        <v>0</v>
      </c>
      <c r="Q30" s="37" t="n">
        <v>0</v>
      </c>
      <c r="R30" s="37" t="n">
        <v>0</v>
      </c>
      <c r="S30" s="37" t="n">
        <v>0</v>
      </c>
      <c r="T30" s="37" t="n">
        <v>0</v>
      </c>
      <c r="U30" s="37" t="n">
        <v>76.09</v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7" t="n">
        <v>100</v>
      </c>
      <c r="AJ30" s="118" t="n">
        <v>100</v>
      </c>
      <c r="AK30" s="118" t="n">
        <v>100</v>
      </c>
      <c r="AL30" s="118" t="n">
        <v>100</v>
      </c>
      <c r="AM30" s="119" t="n">
        <v>100</v>
      </c>
      <c r="AN30" s="117" t="n">
        <v>100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18.98</v>
      </c>
      <c r="C31" s="35" t="n">
        <v>117.79</v>
      </c>
      <c r="D31" s="35" t="n">
        <v>179.68</v>
      </c>
      <c r="E31" s="35" t="n">
        <v>95.60000000000001</v>
      </c>
      <c r="F31" s="35" t="n">
        <v>321.81</v>
      </c>
      <c r="G31" s="35" t="n">
        <v>0</v>
      </c>
      <c r="H31" s="35" t="n">
        <v>95.58</v>
      </c>
      <c r="I31" s="35" t="n">
        <v>134.96</v>
      </c>
      <c r="J31" s="35" t="n">
        <v>0</v>
      </c>
      <c r="K31" s="35" t="n">
        <v>81.06999999999999</v>
      </c>
      <c r="L31" s="35" t="n">
        <v>40.2</v>
      </c>
      <c r="M31" s="35" t="n">
        <v>117.6</v>
      </c>
      <c r="N31" s="36">
        <f>SUM(B31:M31)</f>
        <v/>
      </c>
      <c r="O31" s="37" t="n">
        <v>0</v>
      </c>
      <c r="P31" s="37" t="n">
        <v>258.16</v>
      </c>
      <c r="Q31" s="37" t="n">
        <v>0</v>
      </c>
      <c r="R31" s="37" t="n">
        <v>44.43</v>
      </c>
      <c r="S31" s="37" t="n">
        <v>39.47</v>
      </c>
      <c r="T31" s="37" t="n">
        <v>167.46</v>
      </c>
      <c r="U31" s="37" t="n">
        <v>0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7" t="n">
        <v>50</v>
      </c>
      <c r="AJ31" s="118" t="n">
        <v>50</v>
      </c>
      <c r="AK31" s="118" t="n">
        <v>50</v>
      </c>
      <c r="AL31" s="118" t="n">
        <v>50</v>
      </c>
      <c r="AM31" s="119" t="n">
        <v>50</v>
      </c>
      <c r="AN31" s="117" t="n">
        <v>50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78.04000000000001</v>
      </c>
      <c r="C32" s="35" t="n">
        <v>164.73</v>
      </c>
      <c r="D32" s="35" t="n">
        <v>79.87</v>
      </c>
      <c r="E32" s="35" t="n">
        <v>266.59</v>
      </c>
      <c r="F32" s="35" t="n">
        <v>132.46</v>
      </c>
      <c r="G32" s="35" t="n">
        <v>237.19</v>
      </c>
      <c r="H32" s="35" t="n">
        <v>188.47</v>
      </c>
      <c r="I32" s="35" t="n">
        <v>232.28</v>
      </c>
      <c r="J32" s="35" t="n">
        <v>228.68</v>
      </c>
      <c r="K32" s="35" t="n">
        <v>110.27</v>
      </c>
      <c r="L32" s="35" t="n">
        <v>16.43</v>
      </c>
      <c r="M32" s="35" t="n">
        <v>191.93</v>
      </c>
      <c r="N32" s="36">
        <f>SUM(B32:M32)</f>
        <v/>
      </c>
      <c r="O32" s="37" t="n">
        <v>109.85</v>
      </c>
      <c r="P32" s="37" t="n">
        <v>126.99</v>
      </c>
      <c r="Q32" s="37" t="n">
        <v>68.91</v>
      </c>
      <c r="R32" s="37" t="n">
        <v>188.57</v>
      </c>
      <c r="S32" s="37" t="n">
        <v>185.38</v>
      </c>
      <c r="T32" s="37" t="n">
        <v>81.98999999999999</v>
      </c>
      <c r="U32" s="37" t="n">
        <v>56.14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SUMIF('XNDN TB'!$R:$R,'NDN P&amp;L'!$A33,'XNDN TB'!C:C)</f>
        <v/>
      </c>
      <c r="P33" s="37">
        <f>SUMIF('XNDN TB'!$R:$R,'NDN P&amp;L'!$A33,'XNDN TB'!D:D)</f>
        <v/>
      </c>
      <c r="Q33" s="37">
        <f>SUMIF('XNDN TB'!$R:$R,'NDN P&amp;L'!$A33,'XNDN TB'!E:E)</f>
        <v/>
      </c>
      <c r="R33" s="37">
        <f>SUMIF('XNDN TB'!$R:$R,'NDN P&amp;L'!$A33,'XNDN TB'!F:F)</f>
        <v/>
      </c>
      <c r="S33" s="37">
        <f>SUMIF('XNDN TB'!$R:$R,'NDN P&amp;L'!$A33,'XNDN TB'!G:G)</f>
        <v/>
      </c>
      <c r="T33" s="37">
        <f>SUMIF('XNDN TB'!$R:$R,'NDN P&amp;L'!$A33,'XNDN TB'!H:H)</f>
        <v/>
      </c>
      <c r="U33" s="37">
        <f>SUMIF('NDN TB'!$R:$R,'NDN P&amp;L'!$A33,'NDN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1157.88</v>
      </c>
      <c r="C34" s="42" t="n">
        <v>1705.44</v>
      </c>
      <c r="D34" s="42" t="n">
        <v>1443.94</v>
      </c>
      <c r="E34" s="42" t="n">
        <v>1602.7</v>
      </c>
      <c r="F34" s="42" t="n">
        <v>2077.56</v>
      </c>
      <c r="G34" s="42" t="n">
        <v>1389.78</v>
      </c>
      <c r="H34" s="42" t="n">
        <v>1566.95</v>
      </c>
      <c r="I34" s="42" t="n">
        <v>1999.11</v>
      </c>
      <c r="J34" s="42" t="n">
        <v>1353.79</v>
      </c>
      <c r="K34" s="42" t="n">
        <v>1183.88</v>
      </c>
      <c r="L34" s="42" t="n">
        <v>1399.02</v>
      </c>
      <c r="M34" s="42" t="n">
        <v>1291.81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1267.25</v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1101.96</v>
      </c>
      <c r="C37" s="35" t="n">
        <v>1101.96</v>
      </c>
      <c r="D37" s="35" t="n">
        <v>1101.96</v>
      </c>
      <c r="E37" s="35" t="n">
        <v>1101.96</v>
      </c>
      <c r="F37" s="35" t="n">
        <v>1101.96</v>
      </c>
      <c r="G37" s="35" t="n">
        <v>1101.96</v>
      </c>
      <c r="H37" s="35" t="n">
        <v>1101.96</v>
      </c>
      <c r="I37" s="35" t="n">
        <v>1101.96</v>
      </c>
      <c r="J37" s="35" t="n">
        <v>1101.96</v>
      </c>
      <c r="K37" s="35" t="n">
        <v>1101.96</v>
      </c>
      <c r="L37" s="35" t="n">
        <v>1101.96</v>
      </c>
      <c r="M37" s="35" t="n">
        <v>1101.96</v>
      </c>
      <c r="N37" s="36">
        <f>SUM(B37:M37)</f>
        <v/>
      </c>
      <c r="O37" s="37" t="n">
        <v>1101.96</v>
      </c>
      <c r="P37" s="37" t="n">
        <v>1101.95</v>
      </c>
      <c r="Q37" s="37" t="n">
        <v>1101.95</v>
      </c>
      <c r="R37" s="37" t="n">
        <v>1267.25</v>
      </c>
      <c r="S37" s="37" t="n">
        <v>1267.25</v>
      </c>
      <c r="T37" s="37" t="n">
        <v>1267.25</v>
      </c>
      <c r="U37" s="37" t="n">
        <v>0</v>
      </c>
      <c r="V37" s="38" t="n">
        <v>1267</v>
      </c>
      <c r="W37" s="38" t="n">
        <v>1267</v>
      </c>
      <c r="X37" s="38" t="n">
        <v>1267</v>
      </c>
      <c r="Y37" s="38" t="n">
        <v>1267</v>
      </c>
      <c r="Z37" s="38" t="n">
        <v>1267</v>
      </c>
      <c r="AA37" s="36">
        <f>SUM(O37:U37)</f>
        <v/>
      </c>
      <c r="AB37" s="36">
        <f>SUM(O37:Z37)</f>
        <v/>
      </c>
      <c r="AC37" s="38" t="n">
        <v>1267</v>
      </c>
      <c r="AD37" s="38" t="n">
        <v>1267</v>
      </c>
      <c r="AE37" s="38" t="n">
        <v>1267</v>
      </c>
      <c r="AF37" s="38" t="n">
        <v>1267</v>
      </c>
      <c r="AG37" s="38" t="n">
        <v>1267</v>
      </c>
      <c r="AH37" s="38" t="n">
        <v>1267</v>
      </c>
      <c r="AI37" s="117" t="n">
        <v>1267</v>
      </c>
      <c r="AJ37" s="118" t="n">
        <v>1267</v>
      </c>
      <c r="AK37" s="118" t="n">
        <v>1267</v>
      </c>
      <c r="AL37" s="118" t="n">
        <v>1267</v>
      </c>
      <c r="AM37" s="119" t="n">
        <v>1267</v>
      </c>
      <c r="AN37" s="117" t="n">
        <v>1267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3375.89</v>
      </c>
      <c r="C38" s="35" t="n">
        <v>56.38000000000182</v>
      </c>
      <c r="D38" s="35" t="n">
        <v>2478.53</v>
      </c>
      <c r="E38" s="35" t="n">
        <v>2657.12</v>
      </c>
      <c r="F38" s="35" t="n">
        <v>1738.13</v>
      </c>
      <c r="G38" s="35" t="n">
        <v>942.84</v>
      </c>
      <c r="H38" s="35" t="n">
        <v>1984.28</v>
      </c>
      <c r="I38" s="35" t="n">
        <v>159.04</v>
      </c>
      <c r="J38" s="35" t="n">
        <v>-2054.4</v>
      </c>
      <c r="K38" s="35" t="n">
        <v>2069.1</v>
      </c>
      <c r="L38" s="35" t="n">
        <v>2303.05</v>
      </c>
      <c r="M38" s="35" t="n">
        <v>1297.49</v>
      </c>
      <c r="N38" s="36">
        <f>SUM(B38:M38)</f>
        <v/>
      </c>
      <c r="O38" s="37" t="n">
        <v>1098.56</v>
      </c>
      <c r="P38" s="37" t="n">
        <v>5374.07</v>
      </c>
      <c r="Q38" s="37" t="n">
        <v>2003.16</v>
      </c>
      <c r="R38" s="37" t="n">
        <v>1949.71</v>
      </c>
      <c r="S38" s="37" t="n">
        <v>1937.06</v>
      </c>
      <c r="T38" s="37" t="n">
        <v>2017.5</v>
      </c>
      <c r="U38" s="37" t="n">
        <v>158.35</v>
      </c>
      <c r="V38" s="38" t="n">
        <v>2300</v>
      </c>
      <c r="W38" s="38" t="n">
        <v>2300</v>
      </c>
      <c r="X38" s="38" t="n">
        <v>2300</v>
      </c>
      <c r="Y38" s="38" t="n">
        <v>2300</v>
      </c>
      <c r="Z38" s="38" t="n">
        <v>2300</v>
      </c>
      <c r="AA38" s="36">
        <f>SUM(O38:U38)</f>
        <v/>
      </c>
      <c r="AB38" s="36">
        <f>SUM(O38:Z38)</f>
        <v/>
      </c>
      <c r="AC38" s="38" t="n">
        <v>2300</v>
      </c>
      <c r="AD38" s="38" t="n">
        <v>2300</v>
      </c>
      <c r="AE38" s="38" t="n">
        <v>2300</v>
      </c>
      <c r="AF38" s="38" t="n">
        <v>2300</v>
      </c>
      <c r="AG38" s="38" t="n">
        <v>2300</v>
      </c>
      <c r="AH38" s="38" t="n">
        <v>2300</v>
      </c>
      <c r="AI38" s="117" t="n">
        <v>2300</v>
      </c>
      <c r="AJ38" s="118" t="n">
        <v>2300</v>
      </c>
      <c r="AK38" s="118" t="n">
        <v>2300</v>
      </c>
      <c r="AL38" s="118" t="n">
        <v>2300</v>
      </c>
      <c r="AM38" s="119" t="n">
        <v>2300</v>
      </c>
      <c r="AN38" s="117" t="n">
        <v>2300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17.94</v>
      </c>
      <c r="C39" s="35" t="n">
        <v>37.48</v>
      </c>
      <c r="D39" s="35" t="n">
        <v>566.99</v>
      </c>
      <c r="E39" s="35" t="n">
        <v>245.93</v>
      </c>
      <c r="F39" s="35" t="n">
        <v>270.95</v>
      </c>
      <c r="G39" s="35" t="n">
        <v>671.05</v>
      </c>
      <c r="H39" s="35" t="n">
        <v>0</v>
      </c>
      <c r="I39" s="35" t="n">
        <v>0</v>
      </c>
      <c r="J39" s="35" t="n">
        <v>22.7</v>
      </c>
      <c r="K39" s="35" t="n">
        <v>192.88</v>
      </c>
      <c r="L39" s="35" t="n">
        <v>0</v>
      </c>
      <c r="M39" s="35" t="n">
        <v>125.67</v>
      </c>
      <c r="N39" s="36">
        <f>SUM(B39:M39)</f>
        <v/>
      </c>
      <c r="O39" s="37" t="n">
        <v>0</v>
      </c>
      <c r="P39" s="37" t="n">
        <v>230.16</v>
      </c>
      <c r="Q39" s="37" t="n">
        <v>0</v>
      </c>
      <c r="R39" s="37" t="n">
        <v>0</v>
      </c>
      <c r="S39" s="37" t="n">
        <v>66.56999999999999</v>
      </c>
      <c r="T39" s="37" t="n">
        <v>0</v>
      </c>
      <c r="U39" s="37" t="n">
        <v>153.49</v>
      </c>
      <c r="V39" s="38" t="n">
        <v>2000</v>
      </c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138.22</v>
      </c>
      <c r="C40" s="35" t="n">
        <v>106.33</v>
      </c>
      <c r="D40" s="35" t="n">
        <v>113.34</v>
      </c>
      <c r="E40" s="35" t="n">
        <v>182.89</v>
      </c>
      <c r="F40" s="35" t="n">
        <v>308.21</v>
      </c>
      <c r="G40" s="35" t="n">
        <v>17.18</v>
      </c>
      <c r="H40" s="35" t="n">
        <v>311.14</v>
      </c>
      <c r="I40" s="35" t="n">
        <v>96.34999999999999</v>
      </c>
      <c r="J40" s="35" t="n">
        <v>107.78</v>
      </c>
      <c r="K40" s="35" t="n">
        <v>191.11</v>
      </c>
      <c r="L40" s="35" t="n">
        <v>142.97</v>
      </c>
      <c r="M40" s="35" t="n">
        <v>35.48</v>
      </c>
      <c r="N40" s="36">
        <f>SUM(B40:M40)</f>
        <v/>
      </c>
      <c r="O40" s="37" t="n">
        <v>36.74</v>
      </c>
      <c r="P40" s="37" t="n">
        <v>320.76</v>
      </c>
      <c r="Q40" s="37" t="n">
        <v>0</v>
      </c>
      <c r="R40" s="37" t="n">
        <v>32.27</v>
      </c>
      <c r="S40" s="37" t="n">
        <v>51.33</v>
      </c>
      <c r="T40" s="37" t="n">
        <v>239.69</v>
      </c>
      <c r="U40" s="37" t="n">
        <v>0</v>
      </c>
      <c r="V40" s="38" t="n">
        <v>165</v>
      </c>
      <c r="W40" s="38" t="n">
        <v>165</v>
      </c>
      <c r="X40" s="38" t="n">
        <v>165</v>
      </c>
      <c r="Y40" s="38" t="n">
        <v>165</v>
      </c>
      <c r="Z40" s="38" t="n">
        <v>165</v>
      </c>
      <c r="AA40" s="36">
        <f>SUM(O40:U40)</f>
        <v/>
      </c>
      <c r="AB40" s="36">
        <f>SUM(O40:Z40)</f>
        <v/>
      </c>
      <c r="AC40" s="38" t="n">
        <v>165</v>
      </c>
      <c r="AD40" s="38" t="n">
        <v>165</v>
      </c>
      <c r="AE40" s="38" t="n">
        <v>165</v>
      </c>
      <c r="AF40" s="38" t="n">
        <v>165</v>
      </c>
      <c r="AG40" s="38" t="n">
        <v>165</v>
      </c>
      <c r="AH40" s="38" t="n">
        <v>165</v>
      </c>
      <c r="AI40" s="117" t="n">
        <v>165</v>
      </c>
      <c r="AJ40" s="118" t="n">
        <v>165</v>
      </c>
      <c r="AK40" s="118" t="n">
        <v>165</v>
      </c>
      <c r="AL40" s="118" t="n">
        <v>165</v>
      </c>
      <c r="AM40" s="119" t="n">
        <v>165</v>
      </c>
      <c r="AN40" s="117" t="n">
        <v>165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352.3</v>
      </c>
      <c r="C41" s="35" t="n">
        <v>253.9</v>
      </c>
      <c r="D41" s="35" t="n">
        <v>403.3</v>
      </c>
      <c r="E41" s="35" t="n">
        <v>346.77</v>
      </c>
      <c r="F41" s="35" t="n">
        <v>393.52</v>
      </c>
      <c r="G41" s="35" t="n">
        <v>424.55</v>
      </c>
      <c r="H41" s="35" t="n">
        <v>328.24</v>
      </c>
      <c r="I41" s="35" t="n">
        <v>328.24</v>
      </c>
      <c r="J41" s="35" t="n">
        <v>489.35</v>
      </c>
      <c r="K41" s="35" t="n">
        <v>438.01</v>
      </c>
      <c r="L41" s="35" t="n">
        <v>355.75</v>
      </c>
      <c r="M41" s="35" t="n">
        <v>452.0599999999999</v>
      </c>
      <c r="N41" s="36">
        <f>SUM(B41:M41)</f>
        <v/>
      </c>
      <c r="O41" s="37" t="n">
        <v>355.77</v>
      </c>
      <c r="P41" s="37" t="n">
        <v>341.44</v>
      </c>
      <c r="Q41" s="37" t="n">
        <v>488.15</v>
      </c>
      <c r="R41" s="37" t="n">
        <v>449.49</v>
      </c>
      <c r="S41" s="37" t="n">
        <v>368.45</v>
      </c>
      <c r="T41" s="37" t="n">
        <v>280.5</v>
      </c>
      <c r="U41" s="37" t="n">
        <v>419.47</v>
      </c>
      <c r="V41" s="38" t="n">
        <v>370</v>
      </c>
      <c r="W41" s="38" t="n">
        <v>370</v>
      </c>
      <c r="X41" s="38" t="n">
        <v>370</v>
      </c>
      <c r="Y41" s="38" t="n">
        <v>370</v>
      </c>
      <c r="Z41" s="38" t="n">
        <v>370</v>
      </c>
      <c r="AA41" s="36">
        <f>SUM(O41:U41)</f>
        <v/>
      </c>
      <c r="AB41" s="36">
        <f>SUM(O41:Z41)</f>
        <v/>
      </c>
      <c r="AC41" s="38" t="n">
        <v>370</v>
      </c>
      <c r="AD41" s="38" t="n">
        <v>370</v>
      </c>
      <c r="AE41" s="38" t="n">
        <v>370</v>
      </c>
      <c r="AF41" s="38" t="n">
        <v>370</v>
      </c>
      <c r="AG41" s="38" t="n">
        <v>370</v>
      </c>
      <c r="AH41" s="38" t="n">
        <v>370</v>
      </c>
      <c r="AI41" s="117" t="n">
        <v>370</v>
      </c>
      <c r="AJ41" s="118" t="n">
        <v>370</v>
      </c>
      <c r="AK41" s="118" t="n">
        <v>370</v>
      </c>
      <c r="AL41" s="118" t="n">
        <v>370</v>
      </c>
      <c r="AM41" s="119" t="n">
        <v>370</v>
      </c>
      <c r="AN41" s="117" t="n">
        <v>370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132.08</v>
      </c>
      <c r="C42" s="35" t="n">
        <v>23.77</v>
      </c>
      <c r="D42" s="35" t="n">
        <v>72.49000000000001</v>
      </c>
      <c r="E42" s="35" t="n">
        <v>482.1900000000001</v>
      </c>
      <c r="F42" s="35" t="n">
        <v>465.37</v>
      </c>
      <c r="G42" s="35" t="n">
        <v>479.21</v>
      </c>
      <c r="H42" s="35" t="n">
        <v>-785.59</v>
      </c>
      <c r="I42" s="35" t="n">
        <v>463.76</v>
      </c>
      <c r="J42" s="35" t="n">
        <v>480.54</v>
      </c>
      <c r="K42" s="35" t="n">
        <v>434.84</v>
      </c>
      <c r="L42" s="35" t="n">
        <v>480.36</v>
      </c>
      <c r="M42" s="35" t="n">
        <v>476.84</v>
      </c>
      <c r="N42" s="36">
        <f>SUM(B42:M42)</f>
        <v/>
      </c>
      <c r="O42" s="37" t="n">
        <v>73.36</v>
      </c>
      <c r="P42" s="37" t="n">
        <v>58.85</v>
      </c>
      <c r="Q42" s="37" t="n">
        <v>176.11</v>
      </c>
      <c r="R42" s="37" t="n">
        <v>74.42</v>
      </c>
      <c r="S42" s="37" t="n">
        <v>63.8</v>
      </c>
      <c r="T42" s="37" t="n">
        <v>17.99</v>
      </c>
      <c r="U42" s="37" t="n">
        <v>98.47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517.8099999999999</v>
      </c>
      <c r="P43" s="37" t="n">
        <v>548.75</v>
      </c>
      <c r="Q43" s="37" t="n">
        <v>632.12</v>
      </c>
      <c r="R43" s="37" t="n">
        <v>542.3</v>
      </c>
      <c r="S43" s="37" t="n">
        <v>722.9400000000001</v>
      </c>
      <c r="T43" s="37" t="n">
        <v>485.8</v>
      </c>
      <c r="U43" s="37" t="n">
        <v>878.8</v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SUMIF('XNDN TB'!$R:$R,'NDN P&amp;L'!$A44,'XNDN TB'!C:C)</f>
        <v/>
      </c>
      <c r="P44" s="37">
        <f>SUMIF('XNDN TB'!$R:$R,'NDN P&amp;L'!$A44,'XNDN TB'!D:D)</f>
        <v/>
      </c>
      <c r="Q44" s="37">
        <f>SUMIF('XNDN TB'!$R:$R,'NDN P&amp;L'!$A44,'XNDN TB'!E:E)</f>
        <v/>
      </c>
      <c r="R44" s="37">
        <f>SUMIF('XNDN TB'!$R:$R,'NDN P&amp;L'!$A44,'XNDN TB'!F:F)</f>
        <v/>
      </c>
      <c r="S44" s="37">
        <f>SUMIF('XNDN TB'!$R:$R,'NDN P&amp;L'!$A44,'XNDN TB'!G:G)</f>
        <v/>
      </c>
      <c r="T44" s="37">
        <f>SUMIF('XNDN TB'!$R:$R,'NDN P&amp;L'!$A44,'XNDN TB'!H:H)</f>
        <v/>
      </c>
      <c r="U44" s="37">
        <f>SUMIF('NDN TB'!$R:$R,'NDN P&amp;L'!$A44,'NDN TB'!I:I)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SUMIF('XNDN TB'!$R:$R,'NDN P&amp;L'!$A45,'XNDN TB'!C:C)</f>
        <v/>
      </c>
      <c r="P45" s="37">
        <f>SUMIF('XNDN TB'!$R:$R,'NDN P&amp;L'!$A45,'XNDN TB'!D:D)</f>
        <v/>
      </c>
      <c r="Q45" s="37">
        <f>SUMIF('XNDN TB'!$R:$R,'NDN P&amp;L'!$A45,'XNDN TB'!E:E)</f>
        <v/>
      </c>
      <c r="R45" s="37">
        <f>SUMIF('XNDN TB'!$R:$R,'NDN P&amp;L'!$A45,'XNDN TB'!F:F)</f>
        <v/>
      </c>
      <c r="S45" s="37">
        <f>SUMIF('XNDN TB'!$R:$R,'NDN P&amp;L'!$A45,'XNDN TB'!G:G)</f>
        <v/>
      </c>
      <c r="T45" s="37">
        <f>SUMIF('XNDN TB'!$R:$R,'NDN P&amp;L'!$A45,'XNDN TB'!H:H)</f>
        <v/>
      </c>
      <c r="U45" s="37">
        <f>SUMIF('NDN TB'!$R:$R,'NDN P&amp;L'!$A45,'NDN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7" t="n">
        <v>100</v>
      </c>
      <c r="AJ45" s="118" t="n">
        <v>100</v>
      </c>
      <c r="AK45" s="118" t="n">
        <v>100</v>
      </c>
      <c r="AL45" s="118" t="n">
        <v>100</v>
      </c>
      <c r="AM45" s="119" t="n">
        <v>100</v>
      </c>
      <c r="AN45" s="117" t="n">
        <v>100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SUMIF('XNDN TB'!$R:$R,'NDN P&amp;L'!$A46,'XNDN TB'!C:C)</f>
        <v/>
      </c>
      <c r="P46" s="37">
        <f>SUMIF('XNDN TB'!$R:$R,'NDN P&amp;L'!$A46,'XNDN TB'!D:D)</f>
        <v/>
      </c>
      <c r="Q46" s="37">
        <f>SUMIF('XNDN TB'!$R:$R,'NDN P&amp;L'!$A46,'XNDN TB'!E:E)</f>
        <v/>
      </c>
      <c r="R46" s="37">
        <f>SUMIF('XNDN TB'!$R:$R,'NDN P&amp;L'!$A46,'XNDN TB'!F:F)</f>
        <v/>
      </c>
      <c r="S46" s="37">
        <f>SUMIF('XNDN TB'!$R:$R,'NDN P&amp;L'!$A46,'XNDN TB'!G:G)</f>
        <v/>
      </c>
      <c r="T46" s="37">
        <f>SUMIF('XNDN TB'!$R:$R,'NDN P&amp;L'!$A46,'XNDN TB'!H:H)</f>
        <v/>
      </c>
      <c r="U46" s="37">
        <f>SUMIF('NDN TB'!$R:$R,'NDN P&amp;L'!$A46,'NDN TB'!I:I)</f>
        <v/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5118.39</v>
      </c>
      <c r="C47" s="42" t="n">
        <v>1579.820000000002</v>
      </c>
      <c r="D47" s="42" t="n">
        <v>4736.610000000001</v>
      </c>
      <c r="E47" s="42" t="n">
        <v>5016.860000000001</v>
      </c>
      <c r="F47" s="42" t="n">
        <v>4278.14</v>
      </c>
      <c r="G47" s="42" t="n">
        <v>3636.79</v>
      </c>
      <c r="H47" s="42" t="n">
        <v>2940.03</v>
      </c>
      <c r="I47" s="42" t="n">
        <v>2149.35</v>
      </c>
      <c r="J47" s="42" t="n">
        <v>147.9299999999999</v>
      </c>
      <c r="K47" s="42" t="n">
        <v>4427.900000000001</v>
      </c>
      <c r="L47" s="42" t="n">
        <v>4384.09</v>
      </c>
      <c r="M47" s="42" t="n">
        <v>3489.5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23082.65</v>
      </c>
      <c r="C48" s="23" t="n">
        <v>22313.76</v>
      </c>
      <c r="D48" s="23" t="n">
        <v>28635.98</v>
      </c>
      <c r="E48" s="23" t="n">
        <v>29234.41</v>
      </c>
      <c r="F48" s="23" t="n">
        <v>29624.81</v>
      </c>
      <c r="G48" s="23" t="n">
        <v>26162.84</v>
      </c>
      <c r="H48" s="23" t="n">
        <v>26075.18</v>
      </c>
      <c r="I48" s="23" t="n">
        <v>21834.14</v>
      </c>
      <c r="J48" s="23" t="n">
        <v>17786.3</v>
      </c>
      <c r="K48" s="23" t="n">
        <v>21242.76</v>
      </c>
      <c r="L48" s="23" t="n">
        <v>20123.91</v>
      </c>
      <c r="M48" s="23" t="n">
        <v>20298.92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-5667.630000000005</v>
      </c>
      <c r="C50" s="55" t="n">
        <v>1625.609999999997</v>
      </c>
      <c r="D50" s="55" t="n">
        <v>7766.750000000007</v>
      </c>
      <c r="E50" s="55" t="n">
        <v>42.0099999999984</v>
      </c>
      <c r="F50" s="55" t="n">
        <v>-5053.139999999999</v>
      </c>
      <c r="G50" s="55" t="n">
        <v>5661.93</v>
      </c>
      <c r="H50" s="55" t="n">
        <v>13482.26000000001</v>
      </c>
      <c r="I50" s="55" t="n">
        <v>2075.750000000004</v>
      </c>
      <c r="J50" s="55" t="n">
        <v>5444.629999999997</v>
      </c>
      <c r="K50" s="55" t="n">
        <v>1560.769999999997</v>
      </c>
      <c r="L50" s="55" t="n">
        <v>2765.050000000003</v>
      </c>
      <c r="M50" s="55" t="n">
        <v>5973.829999999998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SUMIF('XNDN TB'!$R:$R,'NDN P&amp;L'!$A53,'XNDN TB'!C:C)</f>
        <v/>
      </c>
      <c r="P53" s="37">
        <f>SUMIF('XNDN TB'!$R:$R,'NDN P&amp;L'!$A53,'XNDN TB'!D:D)</f>
        <v/>
      </c>
      <c r="Q53" s="37">
        <f>SUMIF('XNDN TB'!$R:$R,'NDN P&amp;L'!$A53,'XNDN TB'!E:E)</f>
        <v/>
      </c>
      <c r="R53" s="37">
        <f>SUMIF('XNDN TB'!$R:$R,'NDN P&amp;L'!$A53,'XNDN TB'!F:F)</f>
        <v/>
      </c>
      <c r="S53" s="37">
        <f>SUMIF('XNDN TB'!$R:$R,'NDN P&amp;L'!$A53,'XNDN TB'!G:G)</f>
        <v/>
      </c>
      <c r="T53" s="37">
        <f>SUMIF('XNDN TB'!$R:$R,'NDN P&amp;L'!$A53,'XNDN TB'!H:H)</f>
        <v/>
      </c>
      <c r="U53" s="37">
        <f>SUMIF('NDN TB'!$R:$R,'NDN P&amp;L'!$A53,'NDN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SUMIF('XNDN TB'!$R:$R,'NDN P&amp;L'!$A54,'XNDN TB'!C:C)</f>
        <v/>
      </c>
      <c r="P54" s="37">
        <f>SUMIF('XNDN TB'!$R:$R,'NDN P&amp;L'!$A54,'XNDN TB'!D:D)</f>
        <v/>
      </c>
      <c r="Q54" s="37">
        <f>SUMIF('XNDN TB'!$R:$R,'NDN P&amp;L'!$A54,'XNDN TB'!E:E)</f>
        <v/>
      </c>
      <c r="R54" s="37">
        <f>SUMIF('XNDN TB'!$R:$R,'NDN P&amp;L'!$A54,'XNDN TB'!F:F)</f>
        <v/>
      </c>
      <c r="S54" s="37">
        <f>SUMIF('XNDN TB'!$R:$R,'NDN P&amp;L'!$A54,'XNDN TB'!G:G)</f>
        <v/>
      </c>
      <c r="T54" s="37">
        <f>SUMIF('XNDN TB'!$R:$R,'NDN P&amp;L'!$A54,'XNDN TB'!H:H)</f>
        <v/>
      </c>
      <c r="U54" s="37">
        <f>SUMIF('NDN TB'!$R:$R,'NDN P&amp;L'!$A54,'NDN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SUMIF('XNDN TB'!$R:$R,'NDN P&amp;L'!$A55,'XNDN TB'!C:C)</f>
        <v/>
      </c>
      <c r="P55" s="37">
        <f>SUMIF('XNDN TB'!$R:$R,'NDN P&amp;L'!$A55,'XNDN TB'!D:D)</f>
        <v/>
      </c>
      <c r="Q55" s="37">
        <f>SUMIF('XNDN TB'!$R:$R,'NDN P&amp;L'!$A55,'XNDN TB'!E:E)</f>
        <v/>
      </c>
      <c r="R55" s="37">
        <f>SUMIF('XNDN TB'!$R:$R,'NDN P&amp;L'!$A55,'XNDN TB'!F:F)</f>
        <v/>
      </c>
      <c r="S55" s="37">
        <f>SUMIF('XNDN TB'!$R:$R,'NDN P&amp;L'!$A55,'XNDN TB'!G:G)</f>
        <v/>
      </c>
      <c r="T55" s="37">
        <f>SUMIF('XNDN TB'!$R:$R,'NDN P&amp;L'!$A55,'XNDN TB'!H:H)</f>
        <v/>
      </c>
      <c r="U55" s="37">
        <f>SUMIF('NDN TB'!$R:$R,'NDN P&amp;L'!$A55,'NDN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SUMIF('XNDN TB'!$R:$R,'NDN P&amp;L'!$A56,'XNDN TB'!C:C)</f>
        <v/>
      </c>
      <c r="P56" s="37">
        <f>SUMIF('XNDN TB'!$R:$R,'NDN P&amp;L'!$A56,'XNDN TB'!D:D)</f>
        <v/>
      </c>
      <c r="Q56" s="37">
        <f>SUMIF('XNDN TB'!$R:$R,'NDN P&amp;L'!$A56,'XNDN TB'!E:E)</f>
        <v/>
      </c>
      <c r="R56" s="37">
        <f>SUMIF('XNDN TB'!$R:$R,'NDN P&amp;L'!$A56,'XNDN TB'!F:F)</f>
        <v/>
      </c>
      <c r="S56" s="37">
        <f>SUMIF('XNDN TB'!$R:$R,'NDN P&amp;L'!$A56,'XNDN TB'!G:G)</f>
        <v/>
      </c>
      <c r="T56" s="37">
        <f>SUMIF('XNDN TB'!$R:$R,'NDN P&amp;L'!$A56,'XNDN TB'!H:H)</f>
        <v/>
      </c>
      <c r="U56" s="37">
        <f>SUMIF('NDN TB'!$R:$R,'NDN P&amp;L'!$A56,'NDN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232.41</v>
      </c>
      <c r="M57" s="35" t="n">
        <v>89.56999999999999</v>
      </c>
      <c r="N57" s="36">
        <f>SUM(B57:M57)</f>
        <v/>
      </c>
      <c r="O57" s="37">
        <f>SUMIF('XNDN TB'!$R:$R,'NDN P&amp;L'!$A57,'XNDN TB'!C:C)</f>
        <v/>
      </c>
      <c r="P57" s="37">
        <f>SUMIF('XNDN TB'!$R:$R,'NDN P&amp;L'!$A57,'XNDN TB'!D:D)</f>
        <v/>
      </c>
      <c r="Q57" s="37">
        <f>SUMIF('XNDN TB'!$R:$R,'NDN P&amp;L'!$A57,'XNDN TB'!E:E)</f>
        <v/>
      </c>
      <c r="R57" s="37">
        <f>SUMIF('XNDN TB'!$R:$R,'NDN P&amp;L'!$A57,'XNDN TB'!F:F)</f>
        <v/>
      </c>
      <c r="S57" s="37">
        <f>SUMIF('XNDN TB'!$R:$R,'NDN P&amp;L'!$A57,'XNDN TB'!G:G)</f>
        <v/>
      </c>
      <c r="T57" s="37">
        <f>SUMIF('XNDN TB'!$R:$R,'NDN P&amp;L'!$A57,'XNDN TB'!H:H)</f>
        <v/>
      </c>
      <c r="U57" s="37">
        <f>SUMIF('NDN TB'!$R:$R,'NDN P&amp;L'!$A57,'NDN TB'!I:I)</f>
        <v/>
      </c>
      <c r="V57" s="38" t="n"/>
      <c r="W57" s="38" t="n"/>
      <c r="X57" s="38" t="n"/>
      <c r="Y57" s="38" t="n"/>
      <c r="Z57" s="38">
        <f>7*30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SUMIF('XNDN TB'!$R:$R,'NDN P&amp;L'!$A58,'XNDN TB'!C:C)</f>
        <v/>
      </c>
      <c r="P58" s="37">
        <f>SUMIF('XNDN TB'!$R:$R,'NDN P&amp;L'!$A58,'XNDN TB'!D:D)</f>
        <v/>
      </c>
      <c r="Q58" s="37">
        <f>SUMIF('XNDN TB'!$R:$R,'NDN P&amp;L'!$A58,'XNDN TB'!E:E)</f>
        <v/>
      </c>
      <c r="R58" s="37">
        <f>SUMIF('XNDN TB'!$R:$R,'NDN P&amp;L'!$A58,'XNDN TB'!F:F)</f>
        <v/>
      </c>
      <c r="S58" s="37">
        <f>SUMIF('XNDN TB'!$R:$R,'NDN P&amp;L'!$A58,'XNDN TB'!G:G)</f>
        <v/>
      </c>
      <c r="T58" s="37">
        <f>SUMIF('XNDN TB'!$R:$R,'NDN P&amp;L'!$A58,'XNDN TB'!H:H)</f>
        <v/>
      </c>
      <c r="U58" s="37">
        <f>SUMIF('NDN TB'!$R:$R,'NDN P&amp;L'!$A58,'NDN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201.37</v>
      </c>
      <c r="D59" s="35" t="n">
        <v>201.37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201.37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263.0500000000001</v>
      </c>
      <c r="C60" s="35" t="n">
        <v>10.5</v>
      </c>
      <c r="D60" s="35" t="n">
        <v>145.2</v>
      </c>
      <c r="E60" s="35" t="n">
        <v>3.6</v>
      </c>
      <c r="F60" s="35" t="n">
        <v>3.6</v>
      </c>
      <c r="G60" s="35" t="n">
        <v>45</v>
      </c>
      <c r="H60" s="35" t="n">
        <v>3</v>
      </c>
      <c r="I60" s="35" t="n">
        <v>3</v>
      </c>
      <c r="J60" s="35" t="n">
        <v>3</v>
      </c>
      <c r="K60" s="35" t="n">
        <v>69.39999999999999</v>
      </c>
      <c r="L60" s="35" t="n">
        <v>1.8</v>
      </c>
      <c r="M60" s="35" t="n">
        <v>267.4</v>
      </c>
      <c r="N60" s="36">
        <f>SUM(B60:M60)</f>
        <v/>
      </c>
      <c r="O60" s="37" t="n">
        <v>45</v>
      </c>
      <c r="P60" s="37" t="n">
        <v>0</v>
      </c>
      <c r="Q60" s="37" t="n">
        <v>3</v>
      </c>
      <c r="R60" s="37" t="n">
        <v>50.4</v>
      </c>
      <c r="S60" s="37" t="n">
        <v>2.4</v>
      </c>
      <c r="T60" s="37" t="n">
        <v>-12.43</v>
      </c>
      <c r="U60" s="37" t="n">
        <v>2.4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92.59999999999999</v>
      </c>
      <c r="C61" s="35" t="n">
        <v>29.62</v>
      </c>
      <c r="D61" s="35" t="n">
        <v>5.39</v>
      </c>
      <c r="E61" s="35" t="n">
        <v>0</v>
      </c>
      <c r="F61" s="35" t="n">
        <v>2.79</v>
      </c>
      <c r="G61" s="35" t="n">
        <v>84.48</v>
      </c>
      <c r="H61" s="35" t="n">
        <v>0</v>
      </c>
      <c r="I61" s="35" t="n">
        <v>0</v>
      </c>
      <c r="J61" s="35" t="n">
        <v>0</v>
      </c>
      <c r="K61" s="35" t="n">
        <v>33.48</v>
      </c>
      <c r="L61" s="35" t="n">
        <v>14.56</v>
      </c>
      <c r="M61" s="35" t="n">
        <v>0</v>
      </c>
      <c r="N61" s="36">
        <f>SUM(B61:M61)</f>
        <v/>
      </c>
      <c r="O61" s="37">
        <f>SUMIF('XNDN TB'!$R:$R,'NDN P&amp;L'!$A61,'XNDN TB'!C:C)</f>
        <v/>
      </c>
      <c r="P61" s="37">
        <f>SUMIF('XNDN TB'!$R:$R,'NDN P&amp;L'!$A61,'XNDN TB'!D:D)</f>
        <v/>
      </c>
      <c r="Q61" s="37">
        <f>SUMIF('XNDN TB'!$R:$R,'NDN P&amp;L'!$A61,'XNDN TB'!E:E)</f>
        <v/>
      </c>
      <c r="R61" s="37">
        <f>SUMIF('XNDN TB'!$R:$R,'NDN P&amp;L'!$A61,'XNDN TB'!F:F)</f>
        <v/>
      </c>
      <c r="S61" s="37">
        <f>SUMIF('XNDN TB'!$R:$R,'NDN P&amp;L'!$A61,'XNDN TB'!G:G)</f>
        <v/>
      </c>
      <c r="T61" s="37">
        <f>SUMIF('XNDN TB'!$R:$R,'NDN P&amp;L'!$A61,'XNDN TB'!H:H)</f>
        <v/>
      </c>
      <c r="U61" s="37">
        <f>SUMIF('NDN TB'!$R:$R,'NDN P&amp;L'!$A61,'NDN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15</v>
      </c>
      <c r="C62" s="35" t="n">
        <v>30</v>
      </c>
      <c r="D62" s="35" t="n">
        <v>151</v>
      </c>
      <c r="E62" s="35" t="n">
        <v>0</v>
      </c>
      <c r="F62" s="35" t="n">
        <v>105</v>
      </c>
      <c r="G62" s="35" t="n">
        <v>33</v>
      </c>
      <c r="H62" s="35" t="n">
        <v>0</v>
      </c>
      <c r="I62" s="35" t="n">
        <v>0</v>
      </c>
      <c r="J62" s="35" t="n">
        <v>0</v>
      </c>
      <c r="K62" s="35" t="n">
        <v>90</v>
      </c>
      <c r="L62" s="35" t="n">
        <v>131</v>
      </c>
      <c r="M62" s="35" t="n">
        <v>-14.55</v>
      </c>
      <c r="N62" s="36">
        <f>SUM(B62:M62)</f>
        <v/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35</v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SUMIF('XNDN TB'!$R:$R,'NDN P&amp;L'!$A63,'XNDN TB'!C:C)</f>
        <v/>
      </c>
      <c r="P63" s="37">
        <f>SUMIF('XNDN TB'!$R:$R,'NDN P&amp;L'!$A63,'XNDN TB'!D:D)</f>
        <v/>
      </c>
      <c r="Q63" s="37">
        <f>SUMIF('XNDN TB'!$R:$R,'NDN P&amp;L'!$A63,'XNDN TB'!E:E)</f>
        <v/>
      </c>
      <c r="R63" s="37">
        <f>SUMIF('XNDN TB'!$R:$R,'NDN P&amp;L'!$A63,'XNDN TB'!F:F)</f>
        <v/>
      </c>
      <c r="S63" s="37">
        <f>SUMIF('XNDN TB'!$R:$R,'NDN P&amp;L'!$A63,'XNDN TB'!G:G)</f>
        <v/>
      </c>
      <c r="T63" s="37">
        <f>SUMIF('XNDN TB'!$R:$R,'NDN P&amp;L'!$A63,'XNDN TB'!H:H)</f>
        <v/>
      </c>
      <c r="U63" s="37">
        <f>SUMIF('NDN TB'!$R:$R,'NDN P&amp;L'!$A63,'NDN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SUMIF('XNDN TB'!$R:$R,'NDN P&amp;L'!$A64,'XNDN TB'!C:C)</f>
        <v/>
      </c>
      <c r="P64" s="37">
        <f>SUMIF('XNDN TB'!$R:$R,'NDN P&amp;L'!$A64,'XNDN TB'!D:D)</f>
        <v/>
      </c>
      <c r="Q64" s="37">
        <f>SUMIF('XNDN TB'!$R:$R,'NDN P&amp;L'!$A64,'XNDN TB'!E:E)</f>
        <v/>
      </c>
      <c r="R64" s="37">
        <f>SUMIF('XNDN TB'!$R:$R,'NDN P&amp;L'!$A64,'XNDN TB'!F:F)</f>
        <v/>
      </c>
      <c r="S64" s="37">
        <f>SUMIF('XNDN TB'!$R:$R,'NDN P&amp;L'!$A64,'XNDN TB'!G:G)</f>
        <v/>
      </c>
      <c r="T64" s="37">
        <f>SUMIF('XNDN TB'!$R:$R,'NDN P&amp;L'!$A64,'XNDN TB'!H:H)</f>
        <v/>
      </c>
      <c r="U64" s="37">
        <f>SUMIF('NDN TB'!$R:$R,'NDN P&amp;L'!$A64,'NDN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SUMIF('XNDN TB'!$R:$R,'NDN P&amp;L'!$A65,'XNDN TB'!C:C)</f>
        <v/>
      </c>
      <c r="P65" s="37">
        <f>SUMIF('XNDN TB'!$R:$R,'NDN P&amp;L'!$A65,'XNDN TB'!D:D)</f>
        <v/>
      </c>
      <c r="Q65" s="37">
        <f>SUMIF('XNDN TB'!$R:$R,'NDN P&amp;L'!$A65,'XNDN TB'!E:E)</f>
        <v/>
      </c>
      <c r="R65" s="37">
        <f>SUMIF('XNDN TB'!$R:$R,'NDN P&amp;L'!$A65,'XNDN TB'!F:F)</f>
        <v/>
      </c>
      <c r="S65" s="37">
        <f>SUMIF('XNDN TB'!$R:$R,'NDN P&amp;L'!$A65,'XNDN TB'!G:G)</f>
        <v/>
      </c>
      <c r="T65" s="37">
        <f>SUMIF('XNDN TB'!$R:$R,'NDN P&amp;L'!$A65,'XNDN TB'!H:H)</f>
        <v/>
      </c>
      <c r="U65" s="37">
        <f>SUMIF('NDN TB'!$R:$R,'NDN P&amp;L'!$A65,'NDN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SUMIF('XNDN TB'!$R:$R,'NDN P&amp;L'!$A66,'XNDN TB'!C:C)</f>
        <v/>
      </c>
      <c r="P66" s="37">
        <f>SUMIF('XNDN TB'!$R:$R,'NDN P&amp;L'!$A66,'XNDN TB'!D:D)</f>
        <v/>
      </c>
      <c r="Q66" s="37">
        <f>SUMIF('XNDN TB'!$R:$R,'NDN P&amp;L'!$A66,'XNDN TB'!E:E)</f>
        <v/>
      </c>
      <c r="R66" s="37">
        <f>SUMIF('XNDN TB'!$R:$R,'NDN P&amp;L'!$A66,'XNDN TB'!F:F)</f>
        <v/>
      </c>
      <c r="S66" s="37">
        <f>SUMIF('XNDN TB'!$R:$R,'NDN P&amp;L'!$A66,'XNDN TB'!G:G)</f>
        <v/>
      </c>
      <c r="T66" s="37">
        <f>SUMIF('XNDN TB'!$R:$R,'NDN P&amp;L'!$A66,'XNDN TB'!H:H)</f>
        <v/>
      </c>
      <c r="U66" s="37">
        <f>SUMIF('NDN TB'!$R:$R,'NDN P&amp;L'!$A66,'NDN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SUMIF('XNDN TB'!$R:$R,'NDN P&amp;L'!$A67,'XNDN TB'!C:C)</f>
        <v/>
      </c>
      <c r="P67" s="37">
        <f>SUMIF('XNDN TB'!$R:$R,'NDN P&amp;L'!$A67,'XNDN TB'!D:D)</f>
        <v/>
      </c>
      <c r="Q67" s="37">
        <f>SUMIF('XNDN TB'!$R:$R,'NDN P&amp;L'!$A67,'XNDN TB'!E:E)</f>
        <v/>
      </c>
      <c r="R67" s="37">
        <f>SUMIF('XNDN TB'!$R:$R,'NDN P&amp;L'!$A67,'XNDN TB'!F:F)</f>
        <v/>
      </c>
      <c r="S67" s="37">
        <f>SUMIF('XNDN TB'!$R:$R,'NDN P&amp;L'!$A67,'XNDN TB'!G:G)</f>
        <v/>
      </c>
      <c r="T67" s="37">
        <f>SUMIF('XNDN TB'!$R:$R,'NDN P&amp;L'!$A67,'XNDN TB'!H:H)</f>
        <v/>
      </c>
      <c r="U67" s="37">
        <f>SUMIF('NDN TB'!$R:$R,'NDN P&amp;L'!$A67,'NDN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SUMIF('XNDN TB'!$R:$R,'NDN P&amp;L'!$A68,'XNDN TB'!C:C)</f>
        <v/>
      </c>
      <c r="P68" s="37">
        <f>SUMIF('XNDN TB'!$R:$R,'NDN P&amp;L'!$A68,'XNDN TB'!D:D)</f>
        <v/>
      </c>
      <c r="Q68" s="37">
        <f>SUMIF('XNDN TB'!$R:$R,'NDN P&amp;L'!$A68,'XNDN TB'!E:E)</f>
        <v/>
      </c>
      <c r="R68" s="37">
        <f>SUMIF('XNDN TB'!$R:$R,'NDN P&amp;L'!$A68,'XNDN TB'!F:F)</f>
        <v/>
      </c>
      <c r="S68" s="37">
        <f>SUMIF('XNDN TB'!$R:$R,'NDN P&amp;L'!$A68,'XNDN TB'!G:G)</f>
        <v/>
      </c>
      <c r="T68" s="37">
        <f>SUMIF('XNDN TB'!$R:$R,'NDN P&amp;L'!$A68,'XNDN TB'!H:H)</f>
        <v/>
      </c>
      <c r="U68" s="37">
        <f>SUMIF('NDN TB'!$R:$R,'NDN P&amp;L'!$A68,'NDN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572.0300000000001</v>
      </c>
      <c r="C69" s="42" t="n">
        <v>271.49</v>
      </c>
      <c r="D69" s="42" t="n">
        <v>502.96</v>
      </c>
      <c r="E69" s="42" t="n">
        <v>204.98</v>
      </c>
      <c r="F69" s="42" t="n">
        <v>312.77</v>
      </c>
      <c r="G69" s="42" t="n">
        <v>363.86</v>
      </c>
      <c r="H69" s="42" t="n">
        <v>204.38</v>
      </c>
      <c r="I69" s="42" t="n">
        <v>204.38</v>
      </c>
      <c r="J69" s="42" t="n">
        <v>204.37</v>
      </c>
      <c r="K69" s="42" t="n">
        <v>407.68</v>
      </c>
      <c r="L69" s="42" t="n">
        <v>594.5700000000001</v>
      </c>
      <c r="M69" s="42" t="n">
        <v>557.22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-6239.660000000004</v>
      </c>
      <c r="C70" s="55" t="n">
        <v>1354.119999999997</v>
      </c>
      <c r="D70" s="55" t="n">
        <v>7263.790000000007</v>
      </c>
      <c r="E70" s="55" t="n">
        <v>-162.9700000000016</v>
      </c>
      <c r="F70" s="55" t="n">
        <v>-5365.91</v>
      </c>
      <c r="G70" s="55" t="n">
        <v>5298.070000000001</v>
      </c>
      <c r="H70" s="55" t="n">
        <v>13277.88000000001</v>
      </c>
      <c r="I70" s="55" t="n">
        <v>1871.370000000004</v>
      </c>
      <c r="J70" s="55" t="n">
        <v>5240.259999999997</v>
      </c>
      <c r="K70" s="55" t="n">
        <v>1153.089999999997</v>
      </c>
      <c r="L70" s="55" t="n">
        <v>2170.480000000003</v>
      </c>
      <c r="M70" s="55" t="n">
        <v>5416.609999999998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7">
        <f>SUM(AC72:AH72)+SUM(AI72:AN72)</f>
        <v/>
      </c>
      <c r="AP72" s="145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7" t="n">
        <v>0</v>
      </c>
      <c r="AJ73" s="117" t="n">
        <v>0</v>
      </c>
      <c r="AK73" s="117" t="n">
        <v>0</v>
      </c>
      <c r="AL73" s="117" t="n">
        <v>0</v>
      </c>
      <c r="AM73" s="117" t="n">
        <v>0</v>
      </c>
      <c r="AN73" s="117" t="n">
        <v>0</v>
      </c>
      <c r="AO73" s="156">
        <f>SUM(AC73:AH73)+SUM(AI73:AN73)</f>
        <v/>
      </c>
      <c r="AP73" s="145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7" t="n">
        <v>0</v>
      </c>
      <c r="AJ74" s="117" t="n">
        <v>0</v>
      </c>
      <c r="AK74" s="117" t="n">
        <v>0</v>
      </c>
      <c r="AL74" s="117" t="n">
        <v>0</v>
      </c>
      <c r="AM74" s="117" t="n">
        <v>0</v>
      </c>
      <c r="AN74" s="117" t="n">
        <v>0</v>
      </c>
      <c r="AO74" s="156">
        <f>SUM(AC74:AH74)+SUM(AI74:AN74)</f>
        <v/>
      </c>
      <c r="AP74" s="145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7" t="n">
        <v>0</v>
      </c>
      <c r="AJ75" s="117" t="n">
        <v>0</v>
      </c>
      <c r="AK75" s="117" t="n">
        <v>0</v>
      </c>
      <c r="AL75" s="117" t="n">
        <v>0</v>
      </c>
      <c r="AM75" s="117" t="n">
        <v>0</v>
      </c>
      <c r="AN75" s="117" t="n">
        <v>0</v>
      </c>
      <c r="AO75" s="156">
        <f>SUM(AC75:AH75)+SUM(AI75:AN75)</f>
        <v/>
      </c>
      <c r="AP75" s="145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7" t="n">
        <v>0</v>
      </c>
      <c r="AJ76" s="117" t="n">
        <v>0</v>
      </c>
      <c r="AK76" s="117" t="n">
        <v>0</v>
      </c>
      <c r="AL76" s="117" t="n">
        <v>0</v>
      </c>
      <c r="AM76" s="117" t="n">
        <v>0</v>
      </c>
      <c r="AN76" s="117" t="n">
        <v>0</v>
      </c>
      <c r="AO76" s="156">
        <f>SUM(AC76:AH76)+SUM(AI76:AN76)</f>
        <v/>
      </c>
      <c r="AP76" s="145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7" t="n">
        <v>0</v>
      </c>
      <c r="AJ77" s="117" t="n">
        <v>0</v>
      </c>
      <c r="AK77" s="117" t="n">
        <v>0</v>
      </c>
      <c r="AL77" s="117" t="n">
        <v>0</v>
      </c>
      <c r="AM77" s="117" t="n">
        <v>0</v>
      </c>
      <c r="AN77" s="117" t="n">
        <v>0</v>
      </c>
      <c r="AO77" s="156">
        <f>SUM(AC77:AH77)+SUM(AI77:AN77)</f>
        <v/>
      </c>
      <c r="AP77" s="145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117" t="n">
        <v>0</v>
      </c>
      <c r="AJ78" s="117" t="n">
        <v>0</v>
      </c>
      <c r="AK78" s="117" t="n">
        <v>0</v>
      </c>
      <c r="AL78" s="117" t="n">
        <v>0</v>
      </c>
      <c r="AM78" s="117" t="n">
        <v>0</v>
      </c>
      <c r="AN78" s="117" t="n">
        <v>0</v>
      </c>
      <c r="AO78" s="156">
        <f>SUM(AC78:AH78)+SUM(AI78:AN78)</f>
        <v/>
      </c>
      <c r="AP78" s="145">
        <f>IF(AB78&lt;&gt;0,(AO78-AB78)/ABS(AB78),0)</f>
        <v/>
      </c>
    </row>
    <row r="79">
      <c r="A79" s="54" t="n"/>
      <c r="B79" s="57" t="n">
        <v>-6239.660000000004</v>
      </c>
      <c r="C79" s="57" t="n">
        <v>1354.119999999997</v>
      </c>
      <c r="D79" s="57" t="n">
        <v>7263.790000000007</v>
      </c>
      <c r="E79" s="57" t="n">
        <v>-162.9700000000016</v>
      </c>
      <c r="F79" s="57" t="n">
        <v>-5365.91</v>
      </c>
      <c r="G79" s="57" t="n">
        <v>5298.070000000001</v>
      </c>
      <c r="H79" s="57" t="n">
        <v>13277.88000000001</v>
      </c>
      <c r="I79" s="57" t="n">
        <v>1871.370000000004</v>
      </c>
      <c r="J79" s="57" t="n">
        <v>5240.259999999997</v>
      </c>
      <c r="K79" s="57" t="n">
        <v>1153.089999999997</v>
      </c>
      <c r="L79" s="57" t="n">
        <v>2170.480000000003</v>
      </c>
      <c r="M79" s="57" t="n">
        <v>5416.609999999998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6" t="n"/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7">
        <f>SUM(AC79:AH79)+SUM(AI79:AN79)</f>
        <v/>
      </c>
      <c r="AP79" s="145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7">
        <f>SUM(AC80:AH80)+SUM(AI80:AN80)</f>
        <v/>
      </c>
      <c r="AP80" s="145">
        <f>IF(AB80&lt;&gt;0,(AO80-AB80)/ABS(AB80),0)</f>
        <v/>
      </c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17415.02</v>
      </c>
      <c r="C87" s="60" t="n">
        <v>23939.37</v>
      </c>
      <c r="D87" s="60" t="n">
        <v>36402.73</v>
      </c>
      <c r="E87" s="60" t="n">
        <v>29276.42</v>
      </c>
      <c r="F87" s="60" t="n">
        <v>24571.67</v>
      </c>
      <c r="G87" s="60" t="n">
        <v>31824.77</v>
      </c>
      <c r="H87" s="60" t="n">
        <v>39557.44</v>
      </c>
      <c r="I87" s="60" t="n">
        <v>23909.89</v>
      </c>
      <c r="J87" s="60" t="n">
        <v>23230.93</v>
      </c>
      <c r="K87" s="60" t="n">
        <v>22803.53</v>
      </c>
      <c r="L87" s="60" t="n">
        <v>22888.96</v>
      </c>
      <c r="M87" s="8" t="n"/>
      <c r="N87" s="8" t="n"/>
      <c r="O87" s="60">
        <f>-SUMIF('XNDN TB'!$T:$T,'NDN P&amp;L'!$A87,'XNDN TB'!C:C)</f>
        <v/>
      </c>
      <c r="P87" s="60">
        <f>-SUMIF('XNDN TB'!$T:$T,'NDN P&amp;L'!$A87,'XNDN TB'!D:D)</f>
        <v/>
      </c>
      <c r="Q87" s="60">
        <f>-SUMIF('XNDN TB'!$T:$T,'NDN P&amp;L'!$A87,'XNDN TB'!E:E)</f>
        <v/>
      </c>
      <c r="R87" s="60">
        <f>-SUMIF('XNDN TB'!$T:$T,'NDN P&amp;L'!$A87,'XNDN TB'!F:F)</f>
        <v/>
      </c>
      <c r="S87" s="60">
        <f>-SUMIF('XNDN TB'!$T:$T,'NDN P&amp;L'!$A87,'XNDN TB'!G:G)</f>
        <v/>
      </c>
      <c r="T87" s="60">
        <f>-SUMIF('XNDN TB'!$T:$T,'NDN P&amp;L'!$A87,'XNDN TB'!H:H)</f>
        <v/>
      </c>
      <c r="U87" s="60">
        <f>-SUMIF('XNDN TB'!$T:$T,'NDN P&amp;L'!$A87,'XNDN TB'!I:I)</f>
        <v/>
      </c>
      <c r="V87" s="60">
        <f>-SUMIF('XNDN TB'!$T:$T,'NDN P&amp;L'!$A87,'XNDN TB'!J:J)</f>
        <v/>
      </c>
      <c r="W87" s="60">
        <f>-SUMIF('XNDN TB'!$T:$T,'NDN P&amp;L'!$A87,'XNDN TB'!K:K)</f>
        <v/>
      </c>
      <c r="X87" s="60">
        <f>-SUMIF('XNDN TB'!$T:$T,'NDN P&amp;L'!$A87,'XNDN TB'!L:L)</f>
        <v/>
      </c>
      <c r="Y87" s="60">
        <f>-SUMIF('XNDN TB'!$T:$T,'NDN P&amp;L'!$A87,'XNDN TB'!M:M)</f>
        <v/>
      </c>
      <c r="Z87" s="60">
        <f>-SUMIF('XNDN TB'!$T:$T,'NDN P&amp;L'!$A87,'XNDN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48" t="n">
        <v>0</v>
      </c>
      <c r="AJ87" s="148" t="n">
        <v>0</v>
      </c>
      <c r="AK87" s="148" t="n">
        <v>0</v>
      </c>
      <c r="AL87" s="148" t="n">
        <v>0</v>
      </c>
      <c r="AM87" s="148" t="n">
        <v>0</v>
      </c>
      <c r="AN87" s="148" t="n">
        <v>0</v>
      </c>
      <c r="AO87" s="149">
        <f>SUM(AC87:AH87)+SUM(AI87:AN87)</f>
        <v/>
      </c>
      <c r="AP87" s="145">
        <f>IF(AB87&lt;&gt;0,(AO87-AB87)/ABS(AB87),0)</f>
        <v/>
      </c>
    </row>
    <row r="88">
      <c r="A88" s="34" t="inlineStr">
        <is>
          <t>Direct - Staff Cost</t>
        </is>
      </c>
      <c r="B88" s="18" t="n">
        <v>-16806.38</v>
      </c>
      <c r="C88" s="18" t="n">
        <v>-19028.5</v>
      </c>
      <c r="D88" s="18" t="n">
        <v>-22455.43</v>
      </c>
      <c r="E88" s="18" t="n">
        <v>-22614.85</v>
      </c>
      <c r="F88" s="18" t="n">
        <v>-23269.11</v>
      </c>
      <c r="G88" s="18" t="n">
        <v>-21136.27</v>
      </c>
      <c r="H88" s="18" t="n">
        <v>-21568.2</v>
      </c>
      <c r="I88" s="18" t="n">
        <v>-17685.68</v>
      </c>
      <c r="J88" s="18" t="n">
        <v>-16284.58</v>
      </c>
      <c r="K88" s="18" t="n">
        <v>-15630.98</v>
      </c>
      <c r="L88" s="18" t="n">
        <v>-14340.8</v>
      </c>
      <c r="M88" s="18" t="n"/>
      <c r="N88" s="8" t="n"/>
      <c r="O88" s="60">
        <f>-SUMIF('XNDN TB'!$T:$T,'NDN P&amp;L'!$A88,'XNDN TB'!C:C)</f>
        <v/>
      </c>
      <c r="P88" s="60">
        <f>-SUMIF('XNDN TB'!$T:$T,'NDN P&amp;L'!$A88,'XNDN TB'!D:D)</f>
        <v/>
      </c>
      <c r="Q88" s="60">
        <f>-SUMIF('XNDN TB'!$T:$T,'NDN P&amp;L'!$A88,'XNDN TB'!E:E)</f>
        <v/>
      </c>
      <c r="R88" s="60">
        <f>-SUMIF('XNDN TB'!$T:$T,'NDN P&amp;L'!$A88,'XNDN TB'!F:F)</f>
        <v/>
      </c>
      <c r="S88" s="60">
        <f>-SUMIF('XNDN TB'!$T:$T,'NDN P&amp;L'!$A88,'XNDN TB'!G:G)</f>
        <v/>
      </c>
      <c r="T88" s="60">
        <f>-SUMIF('XNDN TB'!$T:$T,'NDN P&amp;L'!$A88,'XNDN TB'!H:H)</f>
        <v/>
      </c>
      <c r="U88" s="60">
        <f>-SUMIF('XNDN TB'!$T:$T,'NDN P&amp;L'!$A88,'XNDN TB'!I:I)</f>
        <v/>
      </c>
      <c r="V88" s="60">
        <f>-SUMIF('XNDN TB'!$T:$T,'NDN P&amp;L'!$A88,'XNDN TB'!J:J)</f>
        <v/>
      </c>
      <c r="W88" s="60">
        <f>-SUMIF('XNDN TB'!$T:$T,'NDN P&amp;L'!$A88,'XNDN TB'!K:K)</f>
        <v/>
      </c>
      <c r="X88" s="60">
        <f>-SUMIF('XNDN TB'!$T:$T,'NDN P&amp;L'!$A88,'XNDN TB'!L:L)</f>
        <v/>
      </c>
      <c r="Y88" s="60">
        <f>-SUMIF('XNDN TB'!$T:$T,'NDN P&amp;L'!$A88,'XNDN TB'!M:M)</f>
        <v/>
      </c>
      <c r="Z88" s="60">
        <f>-SUMIF('XNDN TB'!$T:$T,'NDN P&amp;L'!$A88,'XNDN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48" t="n">
        <v>0</v>
      </c>
      <c r="AJ88" s="148" t="n">
        <v>0</v>
      </c>
      <c r="AK88" s="148" t="n">
        <v>0</v>
      </c>
      <c r="AL88" s="148" t="n">
        <v>0</v>
      </c>
      <c r="AM88" s="148" t="n">
        <v>0</v>
      </c>
      <c r="AN88" s="148" t="n">
        <v>0</v>
      </c>
      <c r="AO88" s="149">
        <f>SUM(AC88:AH88)+SUM(AI88:AN88)</f>
        <v/>
      </c>
      <c r="AP88" s="145">
        <f>IF(AB88&lt;&gt;0,(AO88-AB88)/ABS(AB88),0)</f>
        <v/>
      </c>
    </row>
    <row r="89">
      <c r="A89" s="60" t="inlineStr">
        <is>
          <t>Direct - Childcare Cost</t>
        </is>
      </c>
      <c r="B89" s="18" t="n">
        <v>-1157.88</v>
      </c>
      <c r="C89" s="18" t="n">
        <v>-1705.44</v>
      </c>
      <c r="D89" s="18" t="n">
        <v>-1443.94</v>
      </c>
      <c r="E89" s="18" t="n">
        <v>-1602.7</v>
      </c>
      <c r="F89" s="18" t="n">
        <v>-2077.56</v>
      </c>
      <c r="G89" s="18" t="n">
        <v>-1389.78</v>
      </c>
      <c r="H89" s="18" t="n">
        <v>-1566.95</v>
      </c>
      <c r="I89" s="18" t="n">
        <v>-1999.11</v>
      </c>
      <c r="J89" s="18" t="n">
        <v>-1353.79</v>
      </c>
      <c r="K89" s="18" t="n">
        <v>-1183.88</v>
      </c>
      <c r="L89" s="18" t="n">
        <v>-1399.02</v>
      </c>
      <c r="M89" s="18" t="n">
        <v>-1291.81</v>
      </c>
      <c r="N89" s="8" t="n"/>
      <c r="O89" s="60">
        <f>-SUMIF('XNDN TB'!$T:$T,'NDN P&amp;L'!$A89,'XNDN TB'!C:C)</f>
        <v/>
      </c>
      <c r="P89" s="60">
        <f>-SUMIF('XNDN TB'!$T:$T,'NDN P&amp;L'!$A89,'XNDN TB'!D:D)</f>
        <v/>
      </c>
      <c r="Q89" s="60">
        <f>-SUMIF('XNDN TB'!$T:$T,'NDN P&amp;L'!$A89,'XNDN TB'!E:E)</f>
        <v/>
      </c>
      <c r="R89" s="60">
        <f>-SUMIF('XNDN TB'!$T:$T,'NDN P&amp;L'!$A89,'XNDN TB'!F:F)</f>
        <v/>
      </c>
      <c r="S89" s="60">
        <f>-SUMIF('XNDN TB'!$T:$T,'NDN P&amp;L'!$A89,'XNDN TB'!G:G)</f>
        <v/>
      </c>
      <c r="T89" s="60">
        <f>-SUMIF('XNDN TB'!$T:$T,'NDN P&amp;L'!$A89,'XNDN TB'!H:H)</f>
        <v/>
      </c>
      <c r="U89" s="60">
        <f>-SUMIF('XNDN TB'!$T:$T,'NDN P&amp;L'!$A89,'XNDN TB'!I:I)</f>
        <v/>
      </c>
      <c r="V89" s="60">
        <f>-SUMIF('XNDN TB'!$T:$T,'NDN P&amp;L'!$A89,'XNDN TB'!J:J)</f>
        <v/>
      </c>
      <c r="W89" s="60">
        <f>-SUMIF('XNDN TB'!$T:$T,'NDN P&amp;L'!$A89,'XNDN TB'!K:K)</f>
        <v/>
      </c>
      <c r="X89" s="60">
        <f>-SUMIF('XNDN TB'!$T:$T,'NDN P&amp;L'!$A89,'XNDN TB'!L:L)</f>
        <v/>
      </c>
      <c r="Y89" s="60">
        <f>-SUMIF('XNDN TB'!$T:$T,'NDN P&amp;L'!$A89,'XNDN TB'!M:M)</f>
        <v/>
      </c>
      <c r="Z89" s="60">
        <f>-SUMIF('XNDN TB'!$T:$T,'NDN P&amp;L'!$A89,'XNDN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48" t="n">
        <v>0</v>
      </c>
      <c r="AJ89" s="148" t="n">
        <v>0</v>
      </c>
      <c r="AK89" s="148" t="n">
        <v>0</v>
      </c>
      <c r="AL89" s="148" t="n">
        <v>0</v>
      </c>
      <c r="AM89" s="148" t="n">
        <v>0</v>
      </c>
      <c r="AN89" s="148" t="n">
        <v>0</v>
      </c>
      <c r="AO89" s="149">
        <f>SUM(AC89:AH89)+SUM(AI89:AN89)</f>
        <v/>
      </c>
      <c r="AP89" s="145">
        <f>IF(AB89&lt;&gt;0,(AO89-AB89)/ABS(AB89),0)</f>
        <v/>
      </c>
    </row>
    <row r="90">
      <c r="A90" s="60" t="inlineStr">
        <is>
          <t>Direct - Premises &amp; Admin</t>
        </is>
      </c>
      <c r="B90" s="18" t="n">
        <v>-5118.39</v>
      </c>
      <c r="C90" s="18" t="n">
        <v>-1579.820000000002</v>
      </c>
      <c r="D90" s="18" t="n">
        <v>-4736.610000000001</v>
      </c>
      <c r="E90" s="18" t="n">
        <v>-5016.860000000001</v>
      </c>
      <c r="F90" s="18" t="n">
        <v>-4278.14</v>
      </c>
      <c r="G90" s="18" t="n">
        <v>-3636.79</v>
      </c>
      <c r="H90" s="18" t="n">
        <v>-2940.029999999999</v>
      </c>
      <c r="I90" s="18" t="n">
        <v>-2149.349999999999</v>
      </c>
      <c r="J90" s="18" t="n">
        <v>-147.9299999999999</v>
      </c>
      <c r="K90" s="18" t="n">
        <v>-4427.900000000001</v>
      </c>
      <c r="L90" s="18" t="n">
        <v>-4384.09</v>
      </c>
      <c r="M90" s="18" t="n">
        <v>-3489.5</v>
      </c>
      <c r="N90" s="8" t="n"/>
      <c r="O90" s="60">
        <f>-SUMIF('XNDN TB'!$T:$T,'NDN P&amp;L'!$A90,'XNDN TB'!C:C)</f>
        <v/>
      </c>
      <c r="P90" s="60">
        <f>-SUMIF('XNDN TB'!$T:$T,'NDN P&amp;L'!$A90,'XNDN TB'!D:D)</f>
        <v/>
      </c>
      <c r="Q90" s="60">
        <f>-SUMIF('XNDN TB'!$T:$T,'NDN P&amp;L'!$A90,'XNDN TB'!E:E)</f>
        <v/>
      </c>
      <c r="R90" s="60">
        <f>-SUMIF('XNDN TB'!$T:$T,'NDN P&amp;L'!$A90,'XNDN TB'!F:F)</f>
        <v/>
      </c>
      <c r="S90" s="60">
        <f>-SUMIF('XNDN TB'!$T:$T,'NDN P&amp;L'!$A90,'XNDN TB'!G:G)</f>
        <v/>
      </c>
      <c r="T90" s="60">
        <f>-SUMIF('XNDN TB'!$T:$T,'NDN P&amp;L'!$A90,'XNDN TB'!H:H)</f>
        <v/>
      </c>
      <c r="U90" s="60">
        <f>-SUMIF('XNDN TB'!$T:$T,'NDN P&amp;L'!$A90,'XNDN TB'!I:I)</f>
        <v/>
      </c>
      <c r="V90" s="60">
        <f>-SUMIF('XNDN TB'!$T:$T,'NDN P&amp;L'!$A90,'XNDN TB'!J:J)</f>
        <v/>
      </c>
      <c r="W90" s="60">
        <f>-SUMIF('XNDN TB'!$T:$T,'NDN P&amp;L'!$A90,'XNDN TB'!K:K)</f>
        <v/>
      </c>
      <c r="X90" s="60">
        <f>-SUMIF('XNDN TB'!$T:$T,'NDN P&amp;L'!$A90,'XNDN TB'!L:L)</f>
        <v/>
      </c>
      <c r="Y90" s="60">
        <f>-SUMIF('XNDN TB'!$T:$T,'NDN P&amp;L'!$A90,'XNDN TB'!M:M)</f>
        <v/>
      </c>
      <c r="Z90" s="60">
        <f>-SUMIF('XNDN TB'!$T:$T,'NDN P&amp;L'!$A90,'XNDN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148" t="n">
        <v>0</v>
      </c>
      <c r="AJ90" s="148" t="n">
        <v>0</v>
      </c>
      <c r="AK90" s="148" t="n">
        <v>0</v>
      </c>
      <c r="AL90" s="148" t="n">
        <v>0</v>
      </c>
      <c r="AM90" s="148" t="n">
        <v>0</v>
      </c>
      <c r="AN90" s="148" t="n">
        <v>0</v>
      </c>
      <c r="AO90" s="149">
        <f>SUM(AC90:AH90)+SUM(AI90:AN90)</f>
        <v/>
      </c>
      <c r="AP90" s="145">
        <f>IF(AB90&lt;&gt;0,(AO90-AB90)/ABS(AB90),0)</f>
        <v/>
      </c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-SUMIF('XNDN TB'!$T:$T,'NDN P&amp;L'!$A91,'XNDN TB'!C:C)</f>
        <v/>
      </c>
      <c r="P91" s="60">
        <f>-SUMIF('XNDN TB'!$T:$T,'NDN P&amp;L'!$A91,'XNDN TB'!D:D)</f>
        <v/>
      </c>
      <c r="Q91" s="60">
        <f>-SUMIF('XNDN TB'!$T:$T,'NDN P&amp;L'!$A91,'XNDN TB'!E:E)</f>
        <v/>
      </c>
      <c r="R91" s="60">
        <f>-SUMIF('XNDN TB'!$T:$T,'NDN P&amp;L'!$A91,'XNDN TB'!F:F)</f>
        <v/>
      </c>
      <c r="S91" s="60">
        <f>-SUMIF('XNDN TB'!$T:$T,'NDN P&amp;L'!$A91,'XNDN TB'!G:G)</f>
        <v/>
      </c>
      <c r="T91" s="60">
        <f>-SUMIF('XNDN TB'!$T:$T,'NDN P&amp;L'!$A91,'XNDN TB'!H:H)</f>
        <v/>
      </c>
      <c r="U91" s="60">
        <f>-SUMIF('XNDN TB'!$T:$T,'NDN P&amp;L'!$A91,'XNDN TB'!I:I)</f>
        <v/>
      </c>
      <c r="V91" s="60">
        <f>-SUMIF('XNDN TB'!$T:$T,'NDN P&amp;L'!$A91,'XNDN TB'!J:J)</f>
        <v/>
      </c>
      <c r="W91" s="60">
        <f>-SUMIF('XNDN TB'!$T:$T,'NDN P&amp;L'!$A91,'XNDN TB'!K:K)</f>
        <v/>
      </c>
      <c r="X91" s="60">
        <f>-SUMIF('XNDN TB'!$T:$T,'NDN P&amp;L'!$A91,'XNDN TB'!L:L)</f>
        <v/>
      </c>
      <c r="Y91" s="60">
        <f>-SUMIF('XNDN TB'!$T:$T,'NDN P&amp;L'!$A91,'XNDN TB'!M:M)</f>
        <v/>
      </c>
      <c r="Z91" s="60">
        <f>-SUMIF('XNDN TB'!$T:$T,'NDN P&amp;L'!$A91,'XNDN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48" t="n">
        <v>0</v>
      </c>
      <c r="AJ91" s="148" t="n">
        <v>0</v>
      </c>
      <c r="AK91" s="148" t="n">
        <v>0</v>
      </c>
      <c r="AL91" s="148" t="n">
        <v>0</v>
      </c>
      <c r="AM91" s="148" t="n">
        <v>0</v>
      </c>
      <c r="AN91" s="148" t="n">
        <v>0</v>
      </c>
      <c r="AO91" s="149">
        <f>SUM(AC91:AH91)+SUM(AI91:AN91)</f>
        <v/>
      </c>
      <c r="AP91" s="145">
        <f>IF(AB91&lt;&gt;0,(AO91-AB91)/ABS(AB91),0)</f>
        <v/>
      </c>
    </row>
    <row r="92">
      <c r="A92" s="60" t="inlineStr">
        <is>
          <t>In-Direct - Overheads</t>
        </is>
      </c>
      <c r="B92" s="18" t="n">
        <v>-572.0300000000001</v>
      </c>
      <c r="C92" s="18" t="n">
        <v>-271.49</v>
      </c>
      <c r="D92" s="18" t="n">
        <v>-502.96</v>
      </c>
      <c r="E92" s="18" t="n">
        <v>-204.98</v>
      </c>
      <c r="F92" s="18" t="n">
        <v>-312.77</v>
      </c>
      <c r="G92" s="18" t="n">
        <v>-363.86</v>
      </c>
      <c r="H92" s="18" t="n">
        <v>-204.38</v>
      </c>
      <c r="I92" s="18" t="n">
        <v>-204.38</v>
      </c>
      <c r="J92" s="18" t="n">
        <v>-204.37</v>
      </c>
      <c r="K92" s="18" t="n">
        <v>-407.68</v>
      </c>
      <c r="L92" s="18" t="n">
        <v>-594.5700000000001</v>
      </c>
      <c r="M92" s="18" t="n">
        <v>-557.22</v>
      </c>
      <c r="N92" s="8" t="n"/>
      <c r="O92" s="60">
        <f>-SUMIF('XNDN TB'!$T:$T,'NDN P&amp;L'!$A92,'XNDN TB'!C:C)</f>
        <v/>
      </c>
      <c r="P92" s="60">
        <f>-SUMIF('XNDN TB'!$T:$T,'NDN P&amp;L'!$A92,'XNDN TB'!D:D)</f>
        <v/>
      </c>
      <c r="Q92" s="60">
        <f>-SUMIF('XNDN TB'!$T:$T,'NDN P&amp;L'!$A92,'XNDN TB'!E:E)</f>
        <v/>
      </c>
      <c r="R92" s="60">
        <f>-SUMIF('XNDN TB'!$T:$T,'NDN P&amp;L'!$A92,'XNDN TB'!F:F)</f>
        <v/>
      </c>
      <c r="S92" s="60">
        <f>-SUMIF('XNDN TB'!$T:$T,'NDN P&amp;L'!$A92,'XNDN TB'!G:G)</f>
        <v/>
      </c>
      <c r="T92" s="60">
        <f>-SUMIF('XNDN TB'!$T:$T,'NDN P&amp;L'!$A92,'XNDN TB'!H:H)</f>
        <v/>
      </c>
      <c r="U92" s="60">
        <f>-SUMIF('XNDN TB'!$T:$T,'NDN P&amp;L'!$A92,'XNDN TB'!I:I)</f>
        <v/>
      </c>
      <c r="V92" s="60">
        <f>-SUMIF('XNDN TB'!$T:$T,'NDN P&amp;L'!$A92,'XNDN TB'!J:J)</f>
        <v/>
      </c>
      <c r="W92" s="60">
        <f>-SUMIF('XNDN TB'!$T:$T,'NDN P&amp;L'!$A92,'XNDN TB'!K:K)</f>
        <v/>
      </c>
      <c r="X92" s="60">
        <f>-SUMIF('XNDN TB'!$T:$T,'NDN P&amp;L'!$A92,'XNDN TB'!L:L)</f>
        <v/>
      </c>
      <c r="Y92" s="60">
        <f>-SUMIF('XNDN TB'!$T:$T,'NDN P&amp;L'!$A92,'XNDN TB'!M:M)</f>
        <v/>
      </c>
      <c r="Z92" s="60">
        <f>-SUMIF('XNDN TB'!$T:$T,'NDN P&amp;L'!$A92,'XNDN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48" t="n">
        <v>0</v>
      </c>
      <c r="AJ92" s="148" t="n">
        <v>0</v>
      </c>
      <c r="AK92" s="148" t="n">
        <v>0</v>
      </c>
      <c r="AL92" s="148" t="n">
        <v>0</v>
      </c>
      <c r="AM92" s="148" t="n">
        <v>0</v>
      </c>
      <c r="AN92" s="148" t="n">
        <v>0</v>
      </c>
      <c r="AO92" s="149">
        <f>SUM(AC92:AH92)+SUM(AI92:AN92)</f>
        <v/>
      </c>
      <c r="AP92" s="145">
        <f>IF(AB92&lt;&gt;0,(AO92-AB92)/ABS(AB92),0)</f>
        <v/>
      </c>
    </row>
    <row r="93" ht="15.75" customHeight="1">
      <c r="A93" s="8" t="n"/>
      <c r="B93" s="67" t="n">
        <v>-6239.660000000004</v>
      </c>
      <c r="C93" s="67" t="n">
        <v>1354.119999999997</v>
      </c>
      <c r="D93" s="67" t="n">
        <v>7263.790000000005</v>
      </c>
      <c r="E93" s="67" t="n">
        <v>-162.9700000000007</v>
      </c>
      <c r="F93" s="67" t="n">
        <v>-5365.91</v>
      </c>
      <c r="G93" s="67" t="n">
        <v>5298.07</v>
      </c>
      <c r="H93" s="67" t="n">
        <v>13277.88000000001</v>
      </c>
      <c r="I93" s="67" t="n">
        <v>1871.370000000003</v>
      </c>
      <c r="J93" s="67" t="n">
        <v>5240.259999999998</v>
      </c>
      <c r="K93" s="67" t="n">
        <v>1153.089999999997</v>
      </c>
      <c r="L93" s="67" t="n">
        <v>2170.480000000001</v>
      </c>
      <c r="M93" s="67" t="n">
        <v>-5338.53</v>
      </c>
      <c r="N93" s="64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64" t="n"/>
      <c r="AB93" s="8" t="n"/>
      <c r="AC93" s="64" t="n"/>
      <c r="AD93" s="64" t="n"/>
      <c r="AE93" s="64" t="n"/>
      <c r="AF93" s="64" t="n"/>
      <c r="AG93" s="64" t="n"/>
      <c r="AH93" s="64" t="n"/>
      <c r="AI93" s="134" t="n">
        <v>0</v>
      </c>
      <c r="AJ93" s="153" t="n">
        <v>0</v>
      </c>
      <c r="AK93" s="153" t="n">
        <v>0</v>
      </c>
      <c r="AL93" s="153" t="n">
        <v>0</v>
      </c>
      <c r="AM93" s="153" t="n">
        <v>0</v>
      </c>
      <c r="AN93" s="153" t="n">
        <v>0</v>
      </c>
      <c r="AO93" s="154">
        <f>SUM(AC93:AH93)+SUM(AI93:AN93)</f>
        <v/>
      </c>
      <c r="AP93" s="155">
        <f>IF(AB93&lt;&gt;0,(AO93-AB93)/ABS(AB93),0)</f>
        <v/>
      </c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-9.094947017729282e-13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10755.14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148" t="n">
        <v>0</v>
      </c>
      <c r="AJ94" s="148" t="n">
        <v>0</v>
      </c>
      <c r="AK94" s="148" t="n">
        <v>0</v>
      </c>
      <c r="AL94" s="148" t="n">
        <v>0</v>
      </c>
      <c r="AM94" s="148" t="n">
        <v>0</v>
      </c>
      <c r="AN94" s="148" t="n">
        <v>0</v>
      </c>
      <c r="AO94" s="149">
        <f>SUM(AC94:AH94)+SUM(AI94:AN94)</f>
        <v/>
      </c>
      <c r="AP94" s="145">
        <f>IF(AB94&lt;&gt;0,(AO94-AB94)/ABS(AB94),0)</f>
        <v/>
      </c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2.131628207280301e-12</v>
      </c>
      <c r="F96" s="18" t="n">
        <v>0</v>
      </c>
      <c r="G96" s="18" t="n">
        <v>0</v>
      </c>
      <c r="H96" s="18" t="n">
        <v>0</v>
      </c>
      <c r="I96" s="18" t="n">
        <v>3.183231456205249e-12</v>
      </c>
      <c r="J96" s="18" t="n">
        <v>0</v>
      </c>
      <c r="K96" s="18" t="n">
        <v>0</v>
      </c>
      <c r="L96" s="18" t="n">
        <v>0</v>
      </c>
      <c r="M96" s="18" t="n">
        <v>-10755.14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48" t="n">
        <v>0</v>
      </c>
      <c r="AJ96" s="148" t="n">
        <v>0</v>
      </c>
      <c r="AK96" s="148" t="n">
        <v>0</v>
      </c>
      <c r="AL96" s="148" t="n">
        <v>0</v>
      </c>
      <c r="AM96" s="148" t="n">
        <v>0</v>
      </c>
      <c r="AN96" s="148" t="n">
        <v>0</v>
      </c>
      <c r="AO96" s="149">
        <f>SUM(AC96:AH96)+SUM(AI96:AN96)</f>
        <v/>
      </c>
      <c r="AP96" s="145">
        <f>IF(AB96&lt;&gt;0,(AO96-AB96)/ABS(AB96),0)</f>
        <v/>
      </c>
    </row>
    <row r="97">
      <c r="A97" s="8" t="n"/>
      <c r="B97" s="18" t="n">
        <v>6239.660000000004</v>
      </c>
      <c r="C97" s="18" t="n">
        <v>-1354.119999999996</v>
      </c>
      <c r="D97" s="18" t="n">
        <v>-7263.790000000001</v>
      </c>
      <c r="E97" s="18" t="n">
        <v>162.9700000000028</v>
      </c>
      <c r="F97" s="18" t="n">
        <v>5365.910000000003</v>
      </c>
      <c r="G97" s="18" t="n">
        <v>-5298.069999999999</v>
      </c>
      <c r="H97" s="18" t="n">
        <v>-13277.88</v>
      </c>
      <c r="I97" s="18" t="n">
        <v>-1871.369999999999</v>
      </c>
      <c r="J97" s="18" t="n">
        <v>-5240.260000000001</v>
      </c>
      <c r="K97" s="18" t="n">
        <v>-1153.089999999998</v>
      </c>
      <c r="L97" s="18" t="n">
        <v>-2170.480000000001</v>
      </c>
      <c r="M97" s="18" t="n">
        <v>-5416.610000000001</v>
      </c>
      <c r="N97" s="8" t="n"/>
      <c r="O97" s="60">
        <f>SUM('XNDN TB'!C2:C41)</f>
        <v/>
      </c>
      <c r="P97" s="60">
        <f>SUM('XNDN TB'!D2:D41)</f>
        <v/>
      </c>
      <c r="Q97" s="60">
        <f>SUM('XNDN TB'!E2:E41)</f>
        <v/>
      </c>
      <c r="R97" s="60">
        <f>SUM('XNDN TB'!F2:F41)</f>
        <v/>
      </c>
      <c r="S97" s="60">
        <f>SUM('XNDN TB'!G2:G41)</f>
        <v/>
      </c>
      <c r="T97" s="60">
        <f>SUM('XNDN TB'!H2:H41)</f>
        <v/>
      </c>
      <c r="U97" s="60">
        <f>SUM('XNDN TB'!I2:I41)</f>
        <v/>
      </c>
      <c r="V97" s="60">
        <f>SUM('XNDN TB'!J2:J41)</f>
        <v/>
      </c>
      <c r="W97" s="60">
        <f>SUM('XNDN TB'!K2:K41)</f>
        <v/>
      </c>
      <c r="X97" s="60">
        <f>SUM('XNDN TB'!L2:L41)</f>
        <v/>
      </c>
      <c r="Y97" s="60">
        <f>SUM('XNDN TB'!M2:M41)</f>
        <v/>
      </c>
      <c r="Z97" s="60">
        <f>SUM('XNDN TB'!N2:N41)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148" t="n">
        <v>0</v>
      </c>
      <c r="AJ97" s="148" t="n">
        <v>0</v>
      </c>
      <c r="AK97" s="148" t="n">
        <v>0</v>
      </c>
      <c r="AL97" s="148" t="n">
        <v>0</v>
      </c>
      <c r="AM97" s="148" t="n">
        <v>0</v>
      </c>
      <c r="AN97" s="148" t="n">
        <v>0</v>
      </c>
      <c r="AO97" s="149">
        <f>SUM(AC97:AH97)+SUM(AI97:AN97)</f>
        <v/>
      </c>
      <c r="AP97" s="145">
        <f>IF(AB97&lt;&gt;0,(AO97-AB97)/ABS(AB97),0)</f>
        <v/>
      </c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Q9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9.28515625" customWidth="1" min="27" max="27"/>
    <col width="10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Saltway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37257.07</v>
      </c>
      <c r="C8" s="35" t="n">
        <v>33298.19</v>
      </c>
      <c r="D8" s="35" t="n">
        <v>43477.73</v>
      </c>
      <c r="E8" s="35" t="n">
        <v>53897.15</v>
      </c>
      <c r="F8" s="35" t="n">
        <v>40493.17</v>
      </c>
      <c r="G8" s="35" t="n">
        <v>40450.55</v>
      </c>
      <c r="H8" s="35" t="n">
        <v>59564.03999999999</v>
      </c>
      <c r="I8" s="35" t="n">
        <v>50501.36</v>
      </c>
      <c r="J8" s="35" t="n">
        <v>44919.97</v>
      </c>
      <c r="K8" s="35" t="n">
        <v>44608.71</v>
      </c>
      <c r="L8" s="35" t="n">
        <v>39750.3</v>
      </c>
      <c r="M8" s="35" t="n">
        <v>59286.95</v>
      </c>
      <c r="N8" s="36">
        <f>SUM(B8:M8)</f>
        <v/>
      </c>
      <c r="O8" s="37" t="n">
        <v>46983.8</v>
      </c>
      <c r="P8" s="37" t="n">
        <v>43534</v>
      </c>
      <c r="Q8" s="37" t="n">
        <v>51104.3</v>
      </c>
      <c r="R8" s="37" t="n">
        <v>61399.7</v>
      </c>
      <c r="S8" s="37" t="n">
        <v>49854.8</v>
      </c>
      <c r="T8" s="37" t="n">
        <v>53894.5</v>
      </c>
      <c r="U8" s="37" t="n">
        <v>69614.89000000001</v>
      </c>
      <c r="V8" s="38" t="n">
        <v>62099</v>
      </c>
      <c r="W8" s="38" t="n">
        <v>44227</v>
      </c>
      <c r="X8" s="38" t="n">
        <v>40783</v>
      </c>
      <c r="Y8" s="38" t="n">
        <v>44536</v>
      </c>
      <c r="Z8" s="38" t="n">
        <v>67750</v>
      </c>
      <c r="AA8" s="36">
        <f>SUM(O8:U8)</f>
        <v/>
      </c>
      <c r="AB8" s="36">
        <f>SUM(O8:Z8)</f>
        <v/>
      </c>
      <c r="AC8" s="38" t="n">
        <v>96606.42999999999</v>
      </c>
      <c r="AD8" s="38" t="n">
        <v>91623.52</v>
      </c>
      <c r="AE8" s="38" t="n">
        <v>110145.66</v>
      </c>
      <c r="AF8" s="38" t="n">
        <v>82870.42</v>
      </c>
      <c r="AG8" s="38" t="n">
        <v>74081.52</v>
      </c>
      <c r="AH8" s="38" t="n">
        <v>83711.62</v>
      </c>
      <c r="AI8" s="117" t="n">
        <v>83711.62</v>
      </c>
      <c r="AJ8" s="118" t="n">
        <v>83711.62</v>
      </c>
      <c r="AK8" s="118" t="n">
        <v>83711.62</v>
      </c>
      <c r="AL8" s="118" t="n">
        <v>83711.62</v>
      </c>
      <c r="AM8" s="119" t="n">
        <v>83711.62</v>
      </c>
      <c r="AN8" s="117" t="n">
        <v>83711.62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15786.38</v>
      </c>
      <c r="C9" s="35" t="n">
        <v>31418.47</v>
      </c>
      <c r="D9" s="35" t="n">
        <v>31418.47</v>
      </c>
      <c r="E9" s="35" t="n">
        <v>11706.01</v>
      </c>
      <c r="F9" s="35" t="n">
        <v>11706.01</v>
      </c>
      <c r="G9" s="35" t="n">
        <v>25742.42</v>
      </c>
      <c r="H9" s="35" t="n">
        <v>26902.67</v>
      </c>
      <c r="I9" s="35" t="n">
        <v>0</v>
      </c>
      <c r="J9" s="35" t="n">
        <v>17420.26</v>
      </c>
      <c r="K9" s="35" t="n">
        <v>17420.26</v>
      </c>
      <c r="L9" s="35" t="n">
        <v>37807.82</v>
      </c>
      <c r="M9" s="35" t="n">
        <v>39399.03</v>
      </c>
      <c r="N9" s="36">
        <f>SUM(B9:M9)</f>
        <v/>
      </c>
      <c r="O9" s="37" t="n">
        <v>20404</v>
      </c>
      <c r="P9" s="37" t="n">
        <v>43307</v>
      </c>
      <c r="Q9" s="37" t="n">
        <v>43307</v>
      </c>
      <c r="R9" s="37" t="n">
        <v>36141.9</v>
      </c>
      <c r="S9" s="37" t="n">
        <v>36141.9</v>
      </c>
      <c r="T9" s="37" t="n">
        <v>36341.5</v>
      </c>
      <c r="U9" s="37" t="n">
        <v>36208.44</v>
      </c>
      <c r="V9" s="38" t="n">
        <v>0</v>
      </c>
      <c r="W9" s="38" t="n">
        <v>35410</v>
      </c>
      <c r="X9" s="38" t="n">
        <v>42553</v>
      </c>
      <c r="Y9" s="38" t="n">
        <v>42177</v>
      </c>
      <c r="Z9" s="38" t="n">
        <v>19507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63</v>
      </c>
      <c r="C10" s="35" t="n">
        <v>0</v>
      </c>
      <c r="D10" s="35" t="n">
        <v>45</v>
      </c>
      <c r="E10" s="35" t="n">
        <v>424.2</v>
      </c>
      <c r="F10" s="35" t="n">
        <v>0</v>
      </c>
      <c r="G10" s="35" t="n">
        <v>-334.2</v>
      </c>
      <c r="H10" s="35" t="n">
        <v>0</v>
      </c>
      <c r="I10" s="35" t="n">
        <v>3954.91</v>
      </c>
      <c r="J10" s="35" t="n">
        <v>0</v>
      </c>
      <c r="K10" s="35" t="n">
        <v>15</v>
      </c>
      <c r="L10" s="35" t="n">
        <v>0</v>
      </c>
      <c r="M10" s="35" t="n">
        <v>4184.13</v>
      </c>
      <c r="N10" s="36">
        <f>SUM(B10:M10)</f>
        <v/>
      </c>
      <c r="O10" s="37" t="n">
        <v>88.5</v>
      </c>
      <c r="P10" s="37" t="n">
        <v>0</v>
      </c>
      <c r="Q10" s="37" t="n">
        <v>15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53106.45</v>
      </c>
      <c r="C11" s="42" t="n">
        <v>64716.66</v>
      </c>
      <c r="D11" s="42" t="n">
        <v>74941.20000000001</v>
      </c>
      <c r="E11" s="42" t="n">
        <v>66027.36</v>
      </c>
      <c r="F11" s="42" t="n">
        <v>52199.18</v>
      </c>
      <c r="G11" s="42" t="n">
        <v>65858.77</v>
      </c>
      <c r="H11" s="42" t="n">
        <v>86466.70999999999</v>
      </c>
      <c r="I11" s="42" t="n">
        <v>54456.27</v>
      </c>
      <c r="J11" s="42" t="n">
        <v>62340.23</v>
      </c>
      <c r="K11" s="42" t="n">
        <v>62043.97</v>
      </c>
      <c r="L11" s="42" t="n">
        <v>77558.12</v>
      </c>
      <c r="M11" s="42" t="n">
        <v>102870.11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SUM(O11:U11)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SUM(O12:U12)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79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SUM(O13:U13)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>
        <f>SUM(O14:U14)</f>
        <v/>
      </c>
      <c r="AB14" s="36" t="n"/>
      <c r="AC14" s="32" t="n"/>
      <c r="AD14" s="32" t="n"/>
      <c r="AE14" s="32" t="n"/>
      <c r="AF14" s="32" t="n"/>
      <c r="AG14" s="32" t="n"/>
      <c r="AH14" s="32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9">
        <f>SUM(AC14:AH14)+SUM(AI14:AN14)</f>
        <v/>
      </c>
      <c r="AP14" s="121">
        <f>IF(AB14&lt;&gt;0,(AO14-AB14)/ABS(AB14),0)</f>
        <v/>
      </c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SUM(O15:U15)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30393.27</v>
      </c>
      <c r="C16" s="35" t="n">
        <v>35155.93</v>
      </c>
      <c r="D16" s="35" t="n">
        <v>30489.76</v>
      </c>
      <c r="E16" s="35" t="n">
        <v>31240.36</v>
      </c>
      <c r="F16" s="35" t="n">
        <v>32288.24</v>
      </c>
      <c r="G16" s="35" t="n">
        <v>31815.08</v>
      </c>
      <c r="H16" s="35" t="n">
        <v>35596.24</v>
      </c>
      <c r="I16" s="35" t="n">
        <v>35686.29</v>
      </c>
      <c r="J16" s="35" t="n">
        <v>38903.68</v>
      </c>
      <c r="K16" s="35" t="n">
        <v>41384.71</v>
      </c>
      <c r="L16" s="35" t="n">
        <v>36944.71</v>
      </c>
      <c r="M16" s="35" t="n">
        <v>35884.94</v>
      </c>
      <c r="N16" s="36">
        <f>SUM(B16:M16)</f>
        <v/>
      </c>
      <c r="O16" s="37" t="n">
        <v>37848.53</v>
      </c>
      <c r="P16" s="37" t="n">
        <v>36916.12</v>
      </c>
      <c r="Q16" s="37" t="n">
        <v>41103.48</v>
      </c>
      <c r="R16" s="37" t="n">
        <v>44693.53</v>
      </c>
      <c r="S16" s="37" t="n">
        <v>43482.05</v>
      </c>
      <c r="T16" s="37" t="n">
        <v>45096.24</v>
      </c>
      <c r="U16" s="37" t="n">
        <v>47153.07</v>
      </c>
      <c r="V16" s="38" t="n">
        <v>47153.07</v>
      </c>
      <c r="W16" s="38" t="n">
        <v>47153.07</v>
      </c>
      <c r="X16" s="38" t="n">
        <v>47153.07</v>
      </c>
      <c r="Y16" s="38" t="n">
        <v>47153.07</v>
      </c>
      <c r="Z16" s="38" t="n">
        <v>47153.07</v>
      </c>
      <c r="AA16" s="36">
        <f>SUM(O16:U16)</f>
        <v/>
      </c>
      <c r="AB16" s="36">
        <f>SUM(O16:Z16)</f>
        <v/>
      </c>
      <c r="AC16" s="38" t="n">
        <v>47153.07</v>
      </c>
      <c r="AD16" s="38" t="n">
        <v>47153.07</v>
      </c>
      <c r="AE16" s="38" t="n">
        <v>47153.07</v>
      </c>
      <c r="AF16" s="38" t="n">
        <v>47153.07</v>
      </c>
      <c r="AG16" s="38" t="n">
        <v>47153.07</v>
      </c>
      <c r="AH16" s="38" t="n">
        <v>47153.07</v>
      </c>
      <c r="AI16" s="117" t="n">
        <v>47153.07</v>
      </c>
      <c r="AJ16" s="118" t="n">
        <v>47153.07</v>
      </c>
      <c r="AK16" s="118" t="n">
        <v>47153.07</v>
      </c>
      <c r="AL16" s="118" t="n">
        <v>47153.07</v>
      </c>
      <c r="AM16" s="119" t="n">
        <v>47153.07</v>
      </c>
      <c r="AN16" s="117" t="n">
        <v>47153.07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2487.86</v>
      </c>
      <c r="C17" s="35" t="n">
        <v>2930.63</v>
      </c>
      <c r="D17" s="35" t="n">
        <v>2468.52</v>
      </c>
      <c r="E17" s="35" t="n">
        <v>3548.23</v>
      </c>
      <c r="F17" s="35" t="n">
        <v>3707.05</v>
      </c>
      <c r="G17" s="35" t="n">
        <v>3481.19</v>
      </c>
      <c r="H17" s="35" t="n">
        <v>3778.98</v>
      </c>
      <c r="I17" s="35" t="n">
        <v>3691.12</v>
      </c>
      <c r="J17" s="35" t="n">
        <v>4117.66</v>
      </c>
      <c r="K17" s="35" t="n">
        <v>4459.07</v>
      </c>
      <c r="L17" s="35" t="n">
        <v>3885.32</v>
      </c>
      <c r="M17" s="35" t="n">
        <v>3732.95</v>
      </c>
      <c r="N17" s="36">
        <f>SUM(B17:M17)</f>
        <v/>
      </c>
      <c r="O17" s="37" t="n">
        <v>4003.51</v>
      </c>
      <c r="P17" s="37" t="n">
        <v>3825.11</v>
      </c>
      <c r="Q17" s="37" t="n">
        <v>4276.89</v>
      </c>
      <c r="R17" s="37" t="n">
        <v>4740.72</v>
      </c>
      <c r="S17" s="37" t="n">
        <v>4313</v>
      </c>
      <c r="T17" s="37" t="n">
        <v>4550.82</v>
      </c>
      <c r="U17" s="37" t="n">
        <v>4813.83</v>
      </c>
      <c r="V17" s="38" t="n">
        <v>4813.83</v>
      </c>
      <c r="W17" s="38" t="n">
        <v>4813.83</v>
      </c>
      <c r="X17" s="38" t="n">
        <v>4813.83</v>
      </c>
      <c r="Y17" s="38" t="n">
        <v>4813.83</v>
      </c>
      <c r="Z17" s="38" t="n">
        <v>4813.83</v>
      </c>
      <c r="AA17" s="36">
        <f>SUM(O17:U17)</f>
        <v/>
      </c>
      <c r="AB17" s="36">
        <f>SUM(O17:Z17)</f>
        <v/>
      </c>
      <c r="AC17" s="38" t="n">
        <v>4813.83</v>
      </c>
      <c r="AD17" s="38" t="n">
        <v>4813.83</v>
      </c>
      <c r="AE17" s="38" t="n">
        <v>4813.83</v>
      </c>
      <c r="AF17" s="38" t="n">
        <v>4813.83</v>
      </c>
      <c r="AG17" s="38" t="n">
        <v>4813.83</v>
      </c>
      <c r="AH17" s="38" t="n">
        <v>4813.83</v>
      </c>
      <c r="AI17" s="117" t="n">
        <v>4813.83</v>
      </c>
      <c r="AJ17" s="118" t="n">
        <v>4813.83</v>
      </c>
      <c r="AK17" s="118" t="n">
        <v>4813.83</v>
      </c>
      <c r="AL17" s="118" t="n">
        <v>4813.83</v>
      </c>
      <c r="AM17" s="119" t="n">
        <v>4813.83</v>
      </c>
      <c r="AN17" s="117" t="n">
        <v>4813.83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640.72</v>
      </c>
      <c r="C18" s="35" t="n">
        <v>686.54</v>
      </c>
      <c r="D18" s="35" t="n">
        <v>573.96</v>
      </c>
      <c r="E18" s="35" t="n">
        <v>601.96</v>
      </c>
      <c r="F18" s="35" t="n">
        <v>635.53</v>
      </c>
      <c r="G18" s="35" t="n">
        <v>557.1799999999999</v>
      </c>
      <c r="H18" s="35" t="n">
        <v>710.87</v>
      </c>
      <c r="I18" s="35" t="n">
        <v>676.8</v>
      </c>
      <c r="J18" s="35" t="n">
        <v>643.28</v>
      </c>
      <c r="K18" s="35" t="n">
        <v>675.99</v>
      </c>
      <c r="L18" s="35" t="n">
        <v>679.1799999999999</v>
      </c>
      <c r="M18" s="35" t="n">
        <v>701.47</v>
      </c>
      <c r="N18" s="36">
        <f>SUM(B18:M18)</f>
        <v/>
      </c>
      <c r="O18" s="37" t="n">
        <v>740.2</v>
      </c>
      <c r="P18" s="37" t="n">
        <v>688.26</v>
      </c>
      <c r="Q18" s="37" t="n">
        <v>682.22</v>
      </c>
      <c r="R18" s="37" t="n">
        <v>784.1799999999999</v>
      </c>
      <c r="S18" s="37" t="n">
        <v>758.1</v>
      </c>
      <c r="T18" s="37" t="n">
        <v>767.1</v>
      </c>
      <c r="U18" s="37" t="n">
        <v>843.4</v>
      </c>
      <c r="V18" s="38" t="n">
        <v>843.4</v>
      </c>
      <c r="W18" s="38" t="n">
        <v>843.4</v>
      </c>
      <c r="X18" s="38" t="n">
        <v>843.4</v>
      </c>
      <c r="Y18" s="38" t="n">
        <v>843.4</v>
      </c>
      <c r="Z18" s="38" t="n">
        <v>843.4</v>
      </c>
      <c r="AA18" s="36">
        <f>SUM(O18:U18)</f>
        <v/>
      </c>
      <c r="AB18" s="36">
        <f>SUM(O18:Z18)</f>
        <v/>
      </c>
      <c r="AC18" s="38" t="n">
        <v>843.4</v>
      </c>
      <c r="AD18" s="38" t="n">
        <v>843.4</v>
      </c>
      <c r="AE18" s="38" t="n">
        <v>843.4</v>
      </c>
      <c r="AF18" s="38" t="n">
        <v>843.4</v>
      </c>
      <c r="AG18" s="38" t="n">
        <v>843.4</v>
      </c>
      <c r="AH18" s="38" t="n">
        <v>843.4</v>
      </c>
      <c r="AI18" s="117" t="n">
        <v>843.4</v>
      </c>
      <c r="AJ18" s="118" t="n">
        <v>843.4</v>
      </c>
      <c r="AK18" s="118" t="n">
        <v>843.4</v>
      </c>
      <c r="AL18" s="118" t="n">
        <v>843.4</v>
      </c>
      <c r="AM18" s="119" t="n">
        <v>843.4</v>
      </c>
      <c r="AN18" s="117" t="n">
        <v>843.4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231.36</v>
      </c>
      <c r="C19" s="35" t="n">
        <v>161.76</v>
      </c>
      <c r="D19" s="35" t="n">
        <v>0</v>
      </c>
      <c r="E19" s="35" t="n">
        <v>0</v>
      </c>
      <c r="F19" s="35" t="n">
        <v>187.5</v>
      </c>
      <c r="G19" s="35" t="n">
        <v>0</v>
      </c>
      <c r="H19" s="35" t="n">
        <v>0</v>
      </c>
      <c r="I19" s="35" t="n">
        <v>0</v>
      </c>
      <c r="J19" s="35" t="n">
        <v>187.2</v>
      </c>
      <c r="K19" s="35" t="n">
        <v>276.84</v>
      </c>
      <c r="L19" s="35" t="n">
        <v>0</v>
      </c>
      <c r="M19" s="35" t="n">
        <v>0</v>
      </c>
      <c r="N19" s="36">
        <f>SUM(B19:M19)</f>
        <v/>
      </c>
      <c r="O19" s="37" t="n">
        <v>0</v>
      </c>
      <c r="P19" s="37" t="n">
        <v>466.8</v>
      </c>
      <c r="Q19" s="37" t="n">
        <v>12.72</v>
      </c>
      <c r="R19" s="37" t="n">
        <v>0</v>
      </c>
      <c r="S19" s="37" t="n">
        <v>0</v>
      </c>
      <c r="T19" s="37" t="n">
        <v>201.96</v>
      </c>
      <c r="U19" s="37" t="n">
        <v>0</v>
      </c>
      <c r="V19" s="38" t="n">
        <v>49</v>
      </c>
      <c r="W19" s="38" t="n">
        <v>49</v>
      </c>
      <c r="X19" s="38" t="n">
        <v>49</v>
      </c>
      <c r="Y19" s="38" t="n">
        <v>49</v>
      </c>
      <c r="Z19" s="38" t="n">
        <v>49</v>
      </c>
      <c r="AA19" s="36">
        <f>SUM(O19:U19)</f>
        <v/>
      </c>
      <c r="AB19" s="36">
        <f>SUM(O19:Z19)</f>
        <v/>
      </c>
      <c r="AC19" s="38" t="n">
        <v>49</v>
      </c>
      <c r="AD19" s="38" t="n">
        <v>49</v>
      </c>
      <c r="AE19" s="38" t="n">
        <v>49</v>
      </c>
      <c r="AF19" s="38" t="n">
        <v>49</v>
      </c>
      <c r="AG19" s="38" t="n">
        <v>49</v>
      </c>
      <c r="AH19" s="38" t="n">
        <v>49</v>
      </c>
      <c r="AI19" s="117" t="n">
        <v>49</v>
      </c>
      <c r="AJ19" s="118" t="n">
        <v>49</v>
      </c>
      <c r="AK19" s="118" t="n">
        <v>49</v>
      </c>
      <c r="AL19" s="118" t="n">
        <v>49</v>
      </c>
      <c r="AM19" s="119" t="n">
        <v>49</v>
      </c>
      <c r="AN19" s="117" t="n">
        <v>49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50</v>
      </c>
      <c r="D20" s="35" t="n">
        <v>50</v>
      </c>
      <c r="E20" s="35" t="n">
        <v>0</v>
      </c>
      <c r="F20" s="35" t="n">
        <v>50</v>
      </c>
      <c r="G20" s="35" t="n">
        <v>0</v>
      </c>
      <c r="H20" s="35" t="n">
        <v>37.2</v>
      </c>
      <c r="I20" s="35" t="n">
        <v>0</v>
      </c>
      <c r="J20" s="35" t="n">
        <v>175</v>
      </c>
      <c r="K20" s="35" t="n">
        <v>35</v>
      </c>
      <c r="L20" s="35" t="n">
        <v>0</v>
      </c>
      <c r="M20" s="35" t="n">
        <v>0</v>
      </c>
      <c r="N20" s="36">
        <f>SUM(B20:M20)</f>
        <v/>
      </c>
      <c r="O20" s="37" t="n">
        <v>35</v>
      </c>
      <c r="P20" s="37" t="n">
        <v>816</v>
      </c>
      <c r="Q20" s="37" t="n">
        <v>336</v>
      </c>
      <c r="R20" s="37" t="n">
        <v>228</v>
      </c>
      <c r="S20" s="37" t="n">
        <v>0</v>
      </c>
      <c r="T20" s="37" t="n">
        <v>0</v>
      </c>
      <c r="U20" s="37" t="n">
        <v>0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7" t="n">
        <v>100</v>
      </c>
      <c r="AJ20" s="118" t="n">
        <v>100</v>
      </c>
      <c r="AK20" s="118" t="n">
        <v>100</v>
      </c>
      <c r="AL20" s="118" t="n">
        <v>100</v>
      </c>
      <c r="AM20" s="119" t="n">
        <v>100</v>
      </c>
      <c r="AN20" s="117" t="n">
        <v>100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0</v>
      </c>
      <c r="C21" s="35" t="n">
        <v>97.42</v>
      </c>
      <c r="D21" s="35" t="n">
        <v>124.67</v>
      </c>
      <c r="E21" s="35" t="n">
        <v>125.05</v>
      </c>
      <c r="F21" s="35" t="n">
        <v>146.5</v>
      </c>
      <c r="G21" s="35" t="n">
        <v>256.75</v>
      </c>
      <c r="H21" s="35" t="n">
        <v>208.36</v>
      </c>
      <c r="I21" s="35" t="n">
        <v>258.4</v>
      </c>
      <c r="J21" s="35" t="n">
        <v>178.56</v>
      </c>
      <c r="K21" s="35" t="n">
        <v>385.43</v>
      </c>
      <c r="L21" s="35" t="n">
        <v>183.22</v>
      </c>
      <c r="M21" s="35" t="n">
        <v>207.28</v>
      </c>
      <c r="N21" s="36">
        <f>SUM(B21:M21)</f>
        <v/>
      </c>
      <c r="O21" s="37" t="n">
        <v>294.86</v>
      </c>
      <c r="P21" s="37" t="n">
        <v>200.98</v>
      </c>
      <c r="Q21" s="37" t="n">
        <v>428.89</v>
      </c>
      <c r="R21" s="37" t="n">
        <v>243.11</v>
      </c>
      <c r="S21" s="37" t="n">
        <v>306.62</v>
      </c>
      <c r="T21" s="37" t="n">
        <v>577.88</v>
      </c>
      <c r="U21" s="37" t="n">
        <v>375.37</v>
      </c>
      <c r="V21" s="38" t="n">
        <v>100</v>
      </c>
      <c r="W21" s="38" t="n">
        <v>100</v>
      </c>
      <c r="X21" s="38" t="n">
        <v>100</v>
      </c>
      <c r="Y21" s="38" t="n">
        <v>100</v>
      </c>
      <c r="Z21" s="38" t="n">
        <v>100</v>
      </c>
      <c r="AA21" s="36">
        <f>SUM(O21:U21)</f>
        <v/>
      </c>
      <c r="AB21" s="36">
        <f>SUM(O21:Z21)</f>
        <v/>
      </c>
      <c r="AC21" s="38" t="n">
        <v>100</v>
      </c>
      <c r="AD21" s="38" t="n">
        <v>100</v>
      </c>
      <c r="AE21" s="38" t="n">
        <v>100</v>
      </c>
      <c r="AF21" s="38" t="n">
        <v>100</v>
      </c>
      <c r="AG21" s="38" t="n">
        <v>100</v>
      </c>
      <c r="AH21" s="38" t="n">
        <v>100</v>
      </c>
      <c r="AI21" s="117" t="n">
        <v>100</v>
      </c>
      <c r="AJ21" s="118" t="n">
        <v>100</v>
      </c>
      <c r="AK21" s="118" t="n">
        <v>100</v>
      </c>
      <c r="AL21" s="118" t="n">
        <v>100</v>
      </c>
      <c r="AM21" s="119" t="n">
        <v>100</v>
      </c>
      <c r="AN21" s="117" t="n">
        <v>100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SUMIF('XSALT TB'!$R:$R,'SALT P&amp;L'!$A22,'XSALT TB'!C:C)</f>
        <v/>
      </c>
      <c r="P22" s="37">
        <f>SUMIF('XSALT TB'!$R:$R,'SALT P&amp;L'!$A22,'XSALT TB'!D:D)</f>
        <v/>
      </c>
      <c r="Q22" s="37">
        <f>SUMIF('XSALT TB'!$R:$R,'SALT P&amp;L'!$A22,'XSALT TB'!E:E)</f>
        <v/>
      </c>
      <c r="R22" s="37">
        <f>SUMIF('XSALT TB'!$R:$R,'SALT P&amp;L'!$A22,'XSALT TB'!F:F)</f>
        <v/>
      </c>
      <c r="S22" s="37">
        <f>SUMIF('XSALT TB'!$R:$R,'SALT P&amp;L'!$A22,'XSALT TB'!G:G)</f>
        <v/>
      </c>
      <c r="T22" s="37">
        <f>SUMIF('XSALT TB'!$R:$R,'SALT P&amp;L'!$A22,'XSALT TB'!H:H)</f>
        <v/>
      </c>
      <c r="U22" s="37">
        <f>SUMIF('SALT TB'!$R:$R,'SALT P&amp;L'!$A22,'SALT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81.26000000000001</v>
      </c>
      <c r="N23" s="36">
        <f>SUM(B23:M23)</f>
        <v/>
      </c>
      <c r="O23" s="37" t="n">
        <v>0</v>
      </c>
      <c r="P23" s="37" t="n">
        <v>0</v>
      </c>
      <c r="Q23" s="37" t="n">
        <v>105</v>
      </c>
      <c r="R23" s="37" t="n">
        <v>11.89</v>
      </c>
      <c r="S23" s="37" t="n">
        <v>56.95</v>
      </c>
      <c r="T23" s="37" t="n">
        <v>0</v>
      </c>
      <c r="U23" s="37" t="n">
        <v>10.98</v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117" t="n">
        <v>42</v>
      </c>
      <c r="AJ23" s="118" t="n">
        <v>42</v>
      </c>
      <c r="AK23" s="118" t="n">
        <v>42</v>
      </c>
      <c r="AL23" s="118" t="n">
        <v>42</v>
      </c>
      <c r="AM23" s="119" t="n">
        <v>42</v>
      </c>
      <c r="AN23" s="117" t="n">
        <v>42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SUMIF('XSALT TB'!$R:$R,'SALT P&amp;L'!$A24,'XSALT TB'!C:C)</f>
        <v/>
      </c>
      <c r="P24" s="37">
        <f>SUMIF('XSALT TB'!$R:$R,'SALT P&amp;L'!$A24,'XSALT TB'!D:D)</f>
        <v/>
      </c>
      <c r="Q24" s="37">
        <f>SUMIF('XSALT TB'!$R:$R,'SALT P&amp;L'!$A24,'XSALT TB'!E:E)</f>
        <v/>
      </c>
      <c r="R24" s="37">
        <f>SUMIF('XSALT TB'!$R:$R,'SALT P&amp;L'!$A24,'XSALT TB'!F:F)</f>
        <v/>
      </c>
      <c r="S24" s="37">
        <f>SUMIF('XSALT TB'!$R:$R,'SALT P&amp;L'!$A24,'XSALT TB'!G:G)</f>
        <v/>
      </c>
      <c r="T24" s="37">
        <f>SUMIF('XSALT TB'!$R:$R,'SALT P&amp;L'!$A24,'XSALT TB'!H:H)</f>
        <v/>
      </c>
      <c r="U24" s="37">
        <f>SUMIF('SALT TB'!$R:$R,'SALT P&amp;L'!$A24,'SALT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33753.21</v>
      </c>
      <c r="C25" s="42" t="n">
        <v>39082.28</v>
      </c>
      <c r="D25" s="42" t="n">
        <v>33706.91</v>
      </c>
      <c r="E25" s="42" t="n">
        <v>35515.60000000001</v>
      </c>
      <c r="F25" s="42" t="n">
        <v>37014.82</v>
      </c>
      <c r="G25" s="42" t="n">
        <v>36110.2</v>
      </c>
      <c r="H25" s="42" t="n">
        <v>40331.65</v>
      </c>
      <c r="I25" s="42" t="n">
        <v>40312.61000000001</v>
      </c>
      <c r="J25" s="42" t="n">
        <v>44205.37999999999</v>
      </c>
      <c r="K25" s="42" t="n">
        <v>47217.03999999999</v>
      </c>
      <c r="L25" s="42" t="n">
        <v>41692.43</v>
      </c>
      <c r="M25" s="42" t="n">
        <v>40607.9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SUM(O25:U25)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SUM(O26:U26)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1807.02</v>
      </c>
      <c r="C27" s="35" t="n">
        <v>2282.34</v>
      </c>
      <c r="D27" s="35" t="n">
        <v>1986.5</v>
      </c>
      <c r="E27" s="35" t="n">
        <v>1945.84</v>
      </c>
      <c r="F27" s="35" t="n">
        <v>2108.16</v>
      </c>
      <c r="G27" s="35" t="n">
        <v>2479.29</v>
      </c>
      <c r="H27" s="35" t="n">
        <v>2220.38</v>
      </c>
      <c r="I27" s="35" t="n">
        <v>1961.75</v>
      </c>
      <c r="J27" s="35" t="n">
        <v>2388.31</v>
      </c>
      <c r="K27" s="35" t="n">
        <v>2419.06</v>
      </c>
      <c r="L27" s="35" t="n">
        <v>2408.76</v>
      </c>
      <c r="M27" s="35" t="n">
        <v>1811.12</v>
      </c>
      <c r="N27" s="36">
        <f>SUM(B27:M27)</f>
        <v/>
      </c>
      <c r="O27" s="37" t="n">
        <v>1657.73</v>
      </c>
      <c r="P27" s="37" t="n">
        <v>2323.72</v>
      </c>
      <c r="Q27" s="37" t="n">
        <v>2282.6</v>
      </c>
      <c r="R27" s="37" t="n">
        <v>2212.08</v>
      </c>
      <c r="S27" s="37" t="n">
        <v>1953.08</v>
      </c>
      <c r="T27" s="37" t="n">
        <v>2585.29</v>
      </c>
      <c r="U27" s="37" t="n">
        <v>2105.23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68.40000000000001</v>
      </c>
      <c r="C28" s="35" t="n">
        <v>128.78</v>
      </c>
      <c r="D28" s="35" t="n">
        <v>85.5</v>
      </c>
      <c r="E28" s="35" t="n">
        <v>83.75</v>
      </c>
      <c r="F28" s="35" t="n">
        <v>195.42</v>
      </c>
      <c r="G28" s="35" t="n">
        <v>104.04</v>
      </c>
      <c r="H28" s="35" t="n">
        <v>328.45</v>
      </c>
      <c r="I28" s="35" t="n">
        <v>78.45</v>
      </c>
      <c r="J28" s="35" t="n">
        <v>37.86</v>
      </c>
      <c r="K28" s="35" t="n">
        <v>97.79000000000001</v>
      </c>
      <c r="L28" s="35" t="n">
        <v>65.98999999999999</v>
      </c>
      <c r="M28" s="35" t="n">
        <v>18.31</v>
      </c>
      <c r="N28" s="36">
        <f>SUM(B28:M28)</f>
        <v/>
      </c>
      <c r="O28" s="37" t="n">
        <v>101.07</v>
      </c>
      <c r="P28" s="37" t="n">
        <v>94.3</v>
      </c>
      <c r="Q28" s="37" t="n">
        <v>182.82</v>
      </c>
      <c r="R28" s="37" t="n">
        <v>199.11</v>
      </c>
      <c r="S28" s="37" t="n">
        <v>118.49</v>
      </c>
      <c r="T28" s="37" t="n">
        <v>99.12</v>
      </c>
      <c r="U28" s="37" t="n">
        <v>99.25999999999999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7" t="n">
        <v>50</v>
      </c>
      <c r="AJ28" s="118" t="n">
        <v>50</v>
      </c>
      <c r="AK28" s="118" t="n">
        <v>50</v>
      </c>
      <c r="AL28" s="118" t="n">
        <v>50</v>
      </c>
      <c r="AM28" s="119" t="n">
        <v>50</v>
      </c>
      <c r="AN28" s="117" t="n">
        <v>50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0</v>
      </c>
      <c r="C29" s="35" t="n">
        <v>405.96</v>
      </c>
      <c r="D29" s="35" t="n">
        <v>364.93</v>
      </c>
      <c r="E29" s="35" t="n">
        <v>434.92</v>
      </c>
      <c r="F29" s="35" t="n">
        <v>10.06</v>
      </c>
      <c r="G29" s="35" t="n">
        <v>89.75</v>
      </c>
      <c r="H29" s="35" t="n">
        <v>0</v>
      </c>
      <c r="I29" s="35" t="n">
        <v>209.61</v>
      </c>
      <c r="J29" s="35" t="n">
        <v>372.71</v>
      </c>
      <c r="K29" s="35" t="n">
        <v>227.91</v>
      </c>
      <c r="L29" s="35" t="n">
        <v>156.16</v>
      </c>
      <c r="M29" s="35" t="n">
        <v>208.44</v>
      </c>
      <c r="N29" s="36">
        <f>SUM(B29:M29)</f>
        <v/>
      </c>
      <c r="O29" s="37" t="n">
        <v>147.48</v>
      </c>
      <c r="P29" s="37" t="n">
        <v>45.11</v>
      </c>
      <c r="Q29" s="37" t="n">
        <v>228.48</v>
      </c>
      <c r="R29" s="37" t="n">
        <v>121.89</v>
      </c>
      <c r="S29" s="37" t="n">
        <v>218.45</v>
      </c>
      <c r="T29" s="37" t="n">
        <v>66.66</v>
      </c>
      <c r="U29" s="37" t="n">
        <v>63.70000000000001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223.47</v>
      </c>
      <c r="C30" s="35" t="n">
        <v>58.78</v>
      </c>
      <c r="D30" s="35" t="n">
        <v>28</v>
      </c>
      <c r="E30" s="35" t="n">
        <v>9.1</v>
      </c>
      <c r="F30" s="35" t="n">
        <v>63.78</v>
      </c>
      <c r="G30" s="35" t="n">
        <v>4.3</v>
      </c>
      <c r="H30" s="35" t="n">
        <v>23.48</v>
      </c>
      <c r="I30" s="35" t="n">
        <v>45.41</v>
      </c>
      <c r="J30" s="35" t="n">
        <v>108.62</v>
      </c>
      <c r="K30" s="35" t="n">
        <v>20.82</v>
      </c>
      <c r="L30" s="35" t="n">
        <v>27.74</v>
      </c>
      <c r="M30" s="35" t="n">
        <v>0</v>
      </c>
      <c r="N30" s="36">
        <f>SUM(B30:M30)</f>
        <v/>
      </c>
      <c r="O30" s="37" t="n">
        <v>72.15000000000001</v>
      </c>
      <c r="P30" s="37" t="n">
        <v>35.67</v>
      </c>
      <c r="Q30" s="37" t="n">
        <v>121.22</v>
      </c>
      <c r="R30" s="37" t="n">
        <v>135.22</v>
      </c>
      <c r="S30" s="37" t="n">
        <v>98.09</v>
      </c>
      <c r="T30" s="37" t="n">
        <v>69.61</v>
      </c>
      <c r="U30" s="37" t="n">
        <v>109.3</v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7" t="n">
        <v>100</v>
      </c>
      <c r="AJ30" s="118" t="n">
        <v>100</v>
      </c>
      <c r="AK30" s="118" t="n">
        <v>100</v>
      </c>
      <c r="AL30" s="118" t="n">
        <v>100</v>
      </c>
      <c r="AM30" s="119" t="n">
        <v>100</v>
      </c>
      <c r="AN30" s="117" t="n">
        <v>100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33.38</v>
      </c>
      <c r="C31" s="35" t="n">
        <v>150.78</v>
      </c>
      <c r="D31" s="35" t="n">
        <v>0</v>
      </c>
      <c r="E31" s="35" t="n">
        <v>86.95</v>
      </c>
      <c r="F31" s="35" t="n">
        <v>197.12</v>
      </c>
      <c r="G31" s="35" t="n">
        <v>87</v>
      </c>
      <c r="H31" s="35" t="n">
        <v>188.42</v>
      </c>
      <c r="I31" s="35" t="n">
        <v>0</v>
      </c>
      <c r="J31" s="35" t="n">
        <v>117.09</v>
      </c>
      <c r="K31" s="35" t="n">
        <v>236.18</v>
      </c>
      <c r="L31" s="35" t="n">
        <v>112.16</v>
      </c>
      <c r="M31" s="35" t="n">
        <v>0</v>
      </c>
      <c r="N31" s="36">
        <f>SUM(B31:M31)</f>
        <v/>
      </c>
      <c r="O31" s="37" t="n">
        <v>52.34</v>
      </c>
      <c r="P31" s="37" t="n">
        <v>48.88</v>
      </c>
      <c r="Q31" s="37" t="n">
        <v>97.54000000000001</v>
      </c>
      <c r="R31" s="37" t="n">
        <v>124.88</v>
      </c>
      <c r="S31" s="37" t="n">
        <v>161.32</v>
      </c>
      <c r="T31" s="37" t="n">
        <v>25.57</v>
      </c>
      <c r="U31" s="37" t="n">
        <v>174.81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7" t="n">
        <v>50</v>
      </c>
      <c r="AJ31" s="118" t="n">
        <v>50</v>
      </c>
      <c r="AK31" s="118" t="n">
        <v>50</v>
      </c>
      <c r="AL31" s="118" t="n">
        <v>50</v>
      </c>
      <c r="AM31" s="119" t="n">
        <v>50</v>
      </c>
      <c r="AN31" s="117" t="n">
        <v>50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27.09</v>
      </c>
      <c r="C32" s="35" t="n">
        <v>114.5</v>
      </c>
      <c r="D32" s="35" t="n">
        <v>122.26</v>
      </c>
      <c r="E32" s="35" t="n">
        <v>110.6</v>
      </c>
      <c r="F32" s="35" t="n">
        <v>136.03</v>
      </c>
      <c r="G32" s="35" t="n">
        <v>0</v>
      </c>
      <c r="H32" s="35" t="n">
        <v>34.58</v>
      </c>
      <c r="I32" s="35" t="n">
        <v>34.26</v>
      </c>
      <c r="J32" s="35" t="n">
        <v>51.38</v>
      </c>
      <c r="K32" s="35" t="n">
        <v>184.9</v>
      </c>
      <c r="L32" s="35" t="n">
        <v>275.69</v>
      </c>
      <c r="M32" s="35" t="n">
        <v>251.97</v>
      </c>
      <c r="N32" s="36">
        <f>SUM(B32:M32)</f>
        <v/>
      </c>
      <c r="O32" s="37" t="n">
        <v>299.13</v>
      </c>
      <c r="P32" s="37" t="n">
        <v>158.76</v>
      </c>
      <c r="Q32" s="37" t="n">
        <v>414.86</v>
      </c>
      <c r="R32" s="37" t="n">
        <v>501.63</v>
      </c>
      <c r="S32" s="37" t="n">
        <v>649.63</v>
      </c>
      <c r="T32" s="37" t="n">
        <v>384.68</v>
      </c>
      <c r="U32" s="37" t="n">
        <v>435.71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SUMIF('XSALT TB'!$R:$R,'SALT P&amp;L'!$A33,'XSALT TB'!C:C)</f>
        <v/>
      </c>
      <c r="P33" s="37">
        <f>SUMIF('XSALT TB'!$R:$R,'SALT P&amp;L'!$A33,'XSALT TB'!D:D)</f>
        <v/>
      </c>
      <c r="Q33" s="37">
        <f>SUMIF('XSALT TB'!$R:$R,'SALT P&amp;L'!$A33,'XSALT TB'!E:E)</f>
        <v/>
      </c>
      <c r="R33" s="37">
        <f>SUMIF('XSALT TB'!$R:$R,'SALT P&amp;L'!$A33,'XSALT TB'!F:F)</f>
        <v/>
      </c>
      <c r="S33" s="37">
        <f>SUMIF('XSALT TB'!$R:$R,'SALT P&amp;L'!$A33,'XSALT TB'!G:G)</f>
        <v/>
      </c>
      <c r="T33" s="37">
        <f>SUMIF('XSALT TB'!$R:$R,'SALT P&amp;L'!$A33,'XSALT TB'!H:H)</f>
        <v/>
      </c>
      <c r="U33" s="37">
        <f>SUMIF('SALT TB'!$R:$R,'SALT P&amp;L'!$A33,'SALT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2159.36</v>
      </c>
      <c r="C34" s="42" t="n">
        <v>3141.140000000001</v>
      </c>
      <c r="D34" s="42" t="n">
        <v>2587.19</v>
      </c>
      <c r="E34" s="42" t="n">
        <v>2671.159999999999</v>
      </c>
      <c r="F34" s="42" t="n">
        <v>2710.57</v>
      </c>
      <c r="G34" s="42" t="n">
        <v>2764.38</v>
      </c>
      <c r="H34" s="42" t="n">
        <v>2795.31</v>
      </c>
      <c r="I34" s="42" t="n">
        <v>2329.48</v>
      </c>
      <c r="J34" s="42" t="n">
        <v>3075.97</v>
      </c>
      <c r="K34" s="42" t="n">
        <v>3186.66</v>
      </c>
      <c r="L34" s="42" t="n">
        <v>3046.5</v>
      </c>
      <c r="M34" s="42" t="n">
        <v>2289.84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SUM(O34:U34)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SUM(O35:U35)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SUMIF('XSALT TB'!$R:$R,'SALT P&amp;L'!$A36,'XSALT TB'!C:C)</f>
        <v/>
      </c>
      <c r="P36" s="37">
        <f>SUMIF('XSALT TB'!$R:$R,'SALT P&amp;L'!$A36,'XSALT TB'!D:D)</f>
        <v/>
      </c>
      <c r="Q36" s="37">
        <f>SUMIF('XSALT TB'!$R:$R,'SALT P&amp;L'!$A36,'XSALT TB'!E:E)</f>
        <v/>
      </c>
      <c r="R36" s="37">
        <f>SUMIF('XSALT TB'!$R:$R,'SALT P&amp;L'!$A36,'XSALT TB'!F:F)</f>
        <v/>
      </c>
      <c r="S36" s="37">
        <f>SUMIF('XSALT TB'!$R:$R,'SALT P&amp;L'!$A36,'XSALT TB'!G:G)</f>
        <v/>
      </c>
      <c r="T36" s="37">
        <f>SUMIF('XSALT TB'!$R:$R,'SALT P&amp;L'!$A36,'XSALT TB'!H:H)</f>
        <v/>
      </c>
      <c r="U36" s="37" t="n"/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-2157.98</v>
      </c>
      <c r="C37" s="35" t="n">
        <v>721.59</v>
      </c>
      <c r="D37" s="35" t="n">
        <v>721.59</v>
      </c>
      <c r="E37" s="35" t="n">
        <v>4207.28</v>
      </c>
      <c r="F37" s="35" t="n">
        <v>758.9</v>
      </c>
      <c r="G37" s="35" t="n">
        <v>758.9</v>
      </c>
      <c r="H37" s="35" t="n">
        <v>758.9</v>
      </c>
      <c r="I37" s="35" t="n">
        <v>758.9</v>
      </c>
      <c r="J37" s="35" t="n">
        <v>758.9</v>
      </c>
      <c r="K37" s="35" t="n">
        <v>758.9</v>
      </c>
      <c r="L37" s="35" t="n">
        <v>758.9</v>
      </c>
      <c r="M37" s="35" t="n">
        <v>758.9</v>
      </c>
      <c r="N37" s="36">
        <f>SUM(B37:M37)</f>
        <v/>
      </c>
      <c r="O37" s="37" t="n">
        <v>758.89</v>
      </c>
      <c r="P37" s="37" t="n">
        <v>758.88</v>
      </c>
      <c r="Q37" s="37" t="n">
        <v>758.88</v>
      </c>
      <c r="R37" s="37" t="n">
        <v>872.73</v>
      </c>
      <c r="S37" s="37" t="n">
        <v>872.73</v>
      </c>
      <c r="T37" s="37" t="n">
        <v>872.73</v>
      </c>
      <c r="U37" s="37" t="n">
        <v>872.73</v>
      </c>
      <c r="V37" s="38" t="n">
        <v>873</v>
      </c>
      <c r="W37" s="38" t="n">
        <v>873</v>
      </c>
      <c r="X37" s="38" t="n">
        <v>873</v>
      </c>
      <c r="Y37" s="38" t="n">
        <v>873</v>
      </c>
      <c r="Z37" s="38" t="n">
        <v>873</v>
      </c>
      <c r="AA37" s="36">
        <f>SUM(O37:U37)</f>
        <v/>
      </c>
      <c r="AB37" s="36">
        <f>SUM(O37:Z37)</f>
        <v/>
      </c>
      <c r="AC37" s="38" t="n">
        <v>873</v>
      </c>
      <c r="AD37" s="38" t="n">
        <v>873</v>
      </c>
      <c r="AE37" s="38" t="n">
        <v>873</v>
      </c>
      <c r="AF37" s="38" t="n">
        <v>873</v>
      </c>
      <c r="AG37" s="38" t="n">
        <v>873</v>
      </c>
      <c r="AH37" s="38" t="n">
        <v>873</v>
      </c>
      <c r="AI37" s="117" t="n">
        <v>873</v>
      </c>
      <c r="AJ37" s="118" t="n">
        <v>873</v>
      </c>
      <c r="AK37" s="118" t="n">
        <v>873</v>
      </c>
      <c r="AL37" s="118" t="n">
        <v>873</v>
      </c>
      <c r="AM37" s="119" t="n">
        <v>873</v>
      </c>
      <c r="AN37" s="117" t="n">
        <v>873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1211.79</v>
      </c>
      <c r="C38" s="35" t="n">
        <v>1770.42</v>
      </c>
      <c r="D38" s="35" t="n">
        <v>1942.85</v>
      </c>
      <c r="E38" s="35" t="n">
        <v>1364.31</v>
      </c>
      <c r="F38" s="35" t="n">
        <v>837.5699999999999</v>
      </c>
      <c r="G38" s="35" t="n">
        <v>573.86</v>
      </c>
      <c r="H38" s="35" t="n">
        <v>402.07</v>
      </c>
      <c r="I38" s="35" t="n">
        <v>0</v>
      </c>
      <c r="J38" s="35" t="n">
        <v>813.2</v>
      </c>
      <c r="K38" s="35" t="n">
        <v>649.55</v>
      </c>
      <c r="L38" s="35" t="n">
        <v>605.8200000000001</v>
      </c>
      <c r="M38" s="35" t="n">
        <v>1258.8</v>
      </c>
      <c r="N38" s="36">
        <f>SUM(B38:M38)</f>
        <v/>
      </c>
      <c r="O38" s="37" t="n">
        <v>1793.18</v>
      </c>
      <c r="P38" s="37" t="n">
        <v>-670.91</v>
      </c>
      <c r="Q38" s="37" t="n">
        <v>3154.63</v>
      </c>
      <c r="R38" s="37" t="n">
        <v>2930.7</v>
      </c>
      <c r="S38" s="37" t="n">
        <v>1012.99</v>
      </c>
      <c r="T38" s="37" t="n">
        <v>0</v>
      </c>
      <c r="U38" s="37" t="n">
        <v>1017.15</v>
      </c>
      <c r="V38" s="38" t="n">
        <v>950</v>
      </c>
      <c r="W38" s="38" t="n">
        <v>950</v>
      </c>
      <c r="X38" s="38" t="n">
        <v>950</v>
      </c>
      <c r="Y38" s="38" t="n">
        <v>950</v>
      </c>
      <c r="Z38" s="38" t="n">
        <v>950</v>
      </c>
      <c r="AA38" s="36">
        <f>SUM(O38:U38)</f>
        <v/>
      </c>
      <c r="AB38" s="36">
        <f>SUM(O38:Z38)</f>
        <v/>
      </c>
      <c r="AC38" s="38" t="n">
        <v>950</v>
      </c>
      <c r="AD38" s="38" t="n">
        <v>950</v>
      </c>
      <c r="AE38" s="38" t="n">
        <v>950</v>
      </c>
      <c r="AF38" s="38" t="n">
        <v>950</v>
      </c>
      <c r="AG38" s="38" t="n">
        <v>950</v>
      </c>
      <c r="AH38" s="38" t="n">
        <v>950</v>
      </c>
      <c r="AI38" s="117" t="n">
        <v>950</v>
      </c>
      <c r="AJ38" s="118" t="n">
        <v>950</v>
      </c>
      <c r="AK38" s="118" t="n">
        <v>950</v>
      </c>
      <c r="AL38" s="118" t="n">
        <v>950</v>
      </c>
      <c r="AM38" s="119" t="n">
        <v>950</v>
      </c>
      <c r="AN38" s="117" t="n">
        <v>950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494.65</v>
      </c>
      <c r="C39" s="35" t="n">
        <v>0</v>
      </c>
      <c r="D39" s="35" t="n">
        <v>1927</v>
      </c>
      <c r="E39" s="35" t="n">
        <v>2375.809999999999</v>
      </c>
      <c r="F39" s="35" t="n">
        <v>1374.88</v>
      </c>
      <c r="G39" s="35" t="n">
        <v>70.98</v>
      </c>
      <c r="H39" s="35" t="n">
        <v>536.11</v>
      </c>
      <c r="I39" s="35" t="n">
        <v>185.96</v>
      </c>
      <c r="J39" s="35" t="n">
        <v>0</v>
      </c>
      <c r="K39" s="35" t="n">
        <v>37.19</v>
      </c>
      <c r="L39" s="35" t="n">
        <v>87.64</v>
      </c>
      <c r="M39" s="35" t="n">
        <v>531.6</v>
      </c>
      <c r="N39" s="36">
        <f>SUM(B39:M39)</f>
        <v/>
      </c>
      <c r="O39" s="37" t="n">
        <v>163.83</v>
      </c>
      <c r="P39" s="37" t="n">
        <v>37.95</v>
      </c>
      <c r="Q39" s="37" t="n">
        <v>866.6</v>
      </c>
      <c r="R39" s="37" t="n">
        <v>19.35</v>
      </c>
      <c r="S39" s="37" t="n">
        <v>0</v>
      </c>
      <c r="T39" s="37" t="n">
        <v>0</v>
      </c>
      <c r="U39" s="37" t="n">
        <v>170.72</v>
      </c>
      <c r="V39" s="38" t="n"/>
      <c r="W39" s="38" t="n"/>
      <c r="X39" s="38" t="n">
        <v>2000</v>
      </c>
      <c r="Y39" s="38" t="n">
        <v>2000</v>
      </c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1242.55</v>
      </c>
      <c r="C40" s="35" t="n">
        <v>908.0699999999999</v>
      </c>
      <c r="D40" s="35" t="n">
        <v>1204.23</v>
      </c>
      <c r="E40" s="35" t="n">
        <v>1580.58</v>
      </c>
      <c r="F40" s="35" t="n">
        <v>1102.14</v>
      </c>
      <c r="G40" s="35" t="n">
        <v>1077.97</v>
      </c>
      <c r="H40" s="35" t="n">
        <v>1581.4</v>
      </c>
      <c r="I40" s="35" t="n">
        <v>1021.21</v>
      </c>
      <c r="J40" s="35" t="n">
        <v>1373.97</v>
      </c>
      <c r="K40" s="35" t="n">
        <v>1218.93</v>
      </c>
      <c r="L40" s="35" t="n">
        <v>1057.79</v>
      </c>
      <c r="M40" s="35" t="n">
        <v>930.5599999999999</v>
      </c>
      <c r="N40" s="36">
        <f>SUM(B40:M40)</f>
        <v/>
      </c>
      <c r="O40" s="37" t="n">
        <v>1113.13</v>
      </c>
      <c r="P40" s="37" t="n">
        <v>917</v>
      </c>
      <c r="Q40" s="37" t="n">
        <v>1348.6</v>
      </c>
      <c r="R40" s="37" t="n">
        <v>1131.19</v>
      </c>
      <c r="S40" s="37" t="n">
        <v>942.5700000000001</v>
      </c>
      <c r="T40" s="37" t="n">
        <v>328.6</v>
      </c>
      <c r="U40" s="37" t="n">
        <v>1557.23</v>
      </c>
      <c r="V40" s="38" t="n">
        <v>1232</v>
      </c>
      <c r="W40" s="38" t="n">
        <v>1232</v>
      </c>
      <c r="X40" s="38" t="n">
        <v>1232</v>
      </c>
      <c r="Y40" s="38" t="n">
        <v>1232</v>
      </c>
      <c r="Z40" s="38" t="n">
        <v>1232</v>
      </c>
      <c r="AA40" s="36">
        <f>SUM(O40:U40)</f>
        <v/>
      </c>
      <c r="AB40" s="36">
        <f>SUM(O40:Z40)</f>
        <v/>
      </c>
      <c r="AC40" s="38" t="n">
        <v>1232</v>
      </c>
      <c r="AD40" s="38" t="n">
        <v>1232</v>
      </c>
      <c r="AE40" s="38" t="n">
        <v>1232</v>
      </c>
      <c r="AF40" s="38" t="n">
        <v>1232</v>
      </c>
      <c r="AG40" s="38" t="n">
        <v>1232</v>
      </c>
      <c r="AH40" s="38" t="n">
        <v>1232</v>
      </c>
      <c r="AI40" s="117" t="n">
        <v>1232</v>
      </c>
      <c r="AJ40" s="118" t="n">
        <v>1232</v>
      </c>
      <c r="AK40" s="118" t="n">
        <v>1232</v>
      </c>
      <c r="AL40" s="118" t="n">
        <v>1232</v>
      </c>
      <c r="AM40" s="119" t="n">
        <v>1232</v>
      </c>
      <c r="AN40" s="117" t="n">
        <v>1232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329.95</v>
      </c>
      <c r="C41" s="35" t="n">
        <v>622.9300000000001</v>
      </c>
      <c r="D41" s="35" t="n">
        <v>236.94</v>
      </c>
      <c r="E41" s="35" t="n">
        <v>225.05</v>
      </c>
      <c r="F41" s="35" t="n">
        <v>432.79</v>
      </c>
      <c r="G41" s="35" t="n">
        <v>390.78</v>
      </c>
      <c r="H41" s="35" t="n">
        <v>429.19</v>
      </c>
      <c r="I41" s="35" t="n">
        <v>420.09</v>
      </c>
      <c r="J41" s="35" t="n">
        <v>631.8900000000001</v>
      </c>
      <c r="K41" s="35" t="n">
        <v>447.09</v>
      </c>
      <c r="L41" s="35" t="n">
        <v>405.09</v>
      </c>
      <c r="M41" s="35" t="n">
        <v>452.47</v>
      </c>
      <c r="N41" s="36">
        <f>SUM(B41:M41)</f>
        <v/>
      </c>
      <c r="O41" s="37" t="n">
        <v>513.64</v>
      </c>
      <c r="P41" s="37" t="n">
        <v>405.09</v>
      </c>
      <c r="Q41" s="37" t="n">
        <v>416.49</v>
      </c>
      <c r="R41" s="37" t="n">
        <v>660.74</v>
      </c>
      <c r="S41" s="37" t="n">
        <v>437.44</v>
      </c>
      <c r="T41" s="37" t="n">
        <v>194.51</v>
      </c>
      <c r="U41" s="37" t="n">
        <v>632.85</v>
      </c>
      <c r="V41" s="38" t="n">
        <v>413</v>
      </c>
      <c r="W41" s="38" t="n">
        <v>413</v>
      </c>
      <c r="X41" s="38" t="n">
        <v>413</v>
      </c>
      <c r="Y41" s="38" t="n">
        <v>413</v>
      </c>
      <c r="Z41" s="38" t="n">
        <v>413</v>
      </c>
      <c r="AA41" s="36">
        <f>SUM(O41:U41)</f>
        <v/>
      </c>
      <c r="AB41" s="36">
        <f>SUM(O41:Z41)</f>
        <v/>
      </c>
      <c r="AC41" s="38" t="n">
        <v>413</v>
      </c>
      <c r="AD41" s="38" t="n">
        <v>413</v>
      </c>
      <c r="AE41" s="38" t="n">
        <v>413</v>
      </c>
      <c r="AF41" s="38" t="n">
        <v>413</v>
      </c>
      <c r="AG41" s="38" t="n">
        <v>413</v>
      </c>
      <c r="AH41" s="38" t="n">
        <v>413</v>
      </c>
      <c r="AI41" s="117" t="n">
        <v>413</v>
      </c>
      <c r="AJ41" s="118" t="n">
        <v>413</v>
      </c>
      <c r="AK41" s="118" t="n">
        <v>413</v>
      </c>
      <c r="AL41" s="118" t="n">
        <v>413</v>
      </c>
      <c r="AM41" s="119" t="n">
        <v>413</v>
      </c>
      <c r="AN41" s="117" t="n">
        <v>413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620.59</v>
      </c>
      <c r="D42" s="35" t="n">
        <v>0</v>
      </c>
      <c r="E42" s="35" t="n">
        <v>0</v>
      </c>
      <c r="F42" s="35" t="n">
        <v>689.9400000000001</v>
      </c>
      <c r="G42" s="35" t="n">
        <v>0</v>
      </c>
      <c r="H42" s="35" t="n">
        <v>20.99</v>
      </c>
      <c r="I42" s="35" t="n">
        <v>597.6</v>
      </c>
      <c r="J42" s="35" t="n">
        <v>41.97</v>
      </c>
      <c r="K42" s="35" t="n">
        <v>1007.99</v>
      </c>
      <c r="L42" s="35" t="n">
        <v>0</v>
      </c>
      <c r="M42" s="35" t="n">
        <v>786</v>
      </c>
      <c r="N42" s="36">
        <f>SUM(B42:M42)</f>
        <v/>
      </c>
      <c r="O42" s="37" t="n">
        <v>152.77</v>
      </c>
      <c r="P42" s="37" t="n">
        <v>823.6799999999999</v>
      </c>
      <c r="Q42" s="37" t="n">
        <v>1020.06</v>
      </c>
      <c r="R42" s="37" t="n">
        <v>157.3</v>
      </c>
      <c r="S42" s="37" t="n">
        <v>157.3</v>
      </c>
      <c r="T42" s="37" t="n">
        <v>943.3</v>
      </c>
      <c r="U42" s="37" t="n">
        <v>149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849.3399999999999</v>
      </c>
      <c r="C43" s="35" t="n">
        <v>136.41</v>
      </c>
      <c r="D43" s="35" t="n">
        <v>136.41</v>
      </c>
      <c r="E43" s="35" t="n">
        <v>140.14</v>
      </c>
      <c r="F43" s="35" t="n">
        <v>140.14</v>
      </c>
      <c r="G43" s="35" t="n">
        <v>140.14</v>
      </c>
      <c r="H43" s="35" t="n">
        <v>140.14</v>
      </c>
      <c r="I43" s="35" t="n">
        <v>152.77</v>
      </c>
      <c r="J43" s="35" t="n">
        <v>152.77</v>
      </c>
      <c r="K43" s="35" t="n">
        <v>152.77</v>
      </c>
      <c r="L43" s="35" t="n">
        <v>152.77</v>
      </c>
      <c r="M43" s="35" t="n">
        <v>152.77</v>
      </c>
      <c r="N43" s="36">
        <f>SUM(B43:M43)</f>
        <v/>
      </c>
      <c r="O43" s="37" t="n">
        <v>19.19</v>
      </c>
      <c r="P43" s="37" t="n">
        <v>0</v>
      </c>
      <c r="Q43" s="37" t="n">
        <v>0</v>
      </c>
      <c r="R43" s="37" t="n">
        <v>103.95</v>
      </c>
      <c r="S43" s="37" t="n">
        <v>0</v>
      </c>
      <c r="T43" s="37" t="n">
        <v>0</v>
      </c>
      <c r="U43" s="37" t="n">
        <v>0</v>
      </c>
      <c r="V43" s="38" t="n">
        <v>153</v>
      </c>
      <c r="W43" s="38" t="n">
        <v>153</v>
      </c>
      <c r="X43" s="38" t="n">
        <v>153</v>
      </c>
      <c r="Y43" s="38" t="n">
        <v>153</v>
      </c>
      <c r="Z43" s="38" t="n">
        <v>153</v>
      </c>
      <c r="AA43" s="36">
        <f>SUM(O43:U43)</f>
        <v/>
      </c>
      <c r="AB43" s="36">
        <f>SUM(O43:Z43)</f>
        <v/>
      </c>
      <c r="AC43" s="38" t="n">
        <v>153</v>
      </c>
      <c r="AD43" s="38" t="n">
        <v>153</v>
      </c>
      <c r="AE43" s="38" t="n">
        <v>153</v>
      </c>
      <c r="AF43" s="38" t="n">
        <v>153</v>
      </c>
      <c r="AG43" s="38" t="n">
        <v>153</v>
      </c>
      <c r="AH43" s="38" t="n">
        <v>153</v>
      </c>
      <c r="AI43" s="117" t="n">
        <v>153</v>
      </c>
      <c r="AJ43" s="118" t="n">
        <v>153</v>
      </c>
      <c r="AK43" s="118" t="n">
        <v>153</v>
      </c>
      <c r="AL43" s="118" t="n">
        <v>153</v>
      </c>
      <c r="AM43" s="119" t="n">
        <v>153</v>
      </c>
      <c r="AN43" s="117" t="n">
        <v>153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SUMIF('XSALT TB'!$R:$R,'SALT P&amp;L'!$A44,'XSALT TB'!C:C)</f>
        <v/>
      </c>
      <c r="P44" s="37">
        <f>SUMIF('XSALT TB'!$R:$R,'SALT P&amp;L'!$A44,'XSALT TB'!D:D)</f>
        <v/>
      </c>
      <c r="Q44" s="37">
        <f>SUMIF('XSALT TB'!$R:$R,'SALT P&amp;L'!$A44,'XSALT TB'!E:E)</f>
        <v/>
      </c>
      <c r="R44" s="37">
        <f>SUMIF('XSALT TB'!$R:$R,'SALT P&amp;L'!$A44,'XSALT TB'!F:F)</f>
        <v/>
      </c>
      <c r="S44" s="37">
        <f>SUMIF('XSALT TB'!$R:$R,'SALT P&amp;L'!$A44,'XSALT TB'!G:G)</f>
        <v/>
      </c>
      <c r="T44" s="37">
        <f>SUMIF('XSALT TB'!$R:$R,'SALT P&amp;L'!$A44,'XSALT TB'!H:H)</f>
        <v/>
      </c>
      <c r="U44" s="37">
        <f>SUMIF('SALT TB'!$R:$R,'SALT P&amp;L'!$A44,'SALT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SUMIF('XSALT TB'!$R:$R,'SALT P&amp;L'!$A45,'XSALT TB'!C:C)</f>
        <v/>
      </c>
      <c r="P45" s="37">
        <f>SUMIF('XSALT TB'!$R:$R,'SALT P&amp;L'!$A45,'XSALT TB'!D:D)</f>
        <v/>
      </c>
      <c r="Q45" s="37">
        <f>SUMIF('XSALT TB'!$R:$R,'SALT P&amp;L'!$A45,'XSALT TB'!E:E)</f>
        <v/>
      </c>
      <c r="R45" s="37">
        <f>SUMIF('XSALT TB'!$R:$R,'SALT P&amp;L'!$A45,'XSALT TB'!F:F)</f>
        <v/>
      </c>
      <c r="S45" s="37">
        <f>SUMIF('XSALT TB'!$R:$R,'SALT P&amp;L'!$A45,'XSALT TB'!G:G)</f>
        <v/>
      </c>
      <c r="T45" s="37">
        <f>SUMIF('XSALT TB'!$R:$R,'SALT P&amp;L'!$A45,'XSALT TB'!H:H)</f>
        <v/>
      </c>
      <c r="U45" s="37">
        <f>SUMIF('SALT TB'!$R:$R,'SALT P&amp;L'!$A45,'SALT TB'!I:I)</f>
        <v/>
      </c>
      <c r="V45" s="38" t="n">
        <v>0</v>
      </c>
      <c r="W45" s="38" t="n">
        <v>0</v>
      </c>
      <c r="X45" s="38" t="n">
        <v>0</v>
      </c>
      <c r="Y45" s="38" t="n">
        <v>0</v>
      </c>
      <c r="Z45" s="38" t="n">
        <v>0</v>
      </c>
      <c r="AA45" s="36">
        <f>SUM(O45:U45)</f>
        <v/>
      </c>
      <c r="AB45" s="36">
        <f>SUM(O45:Z45)</f>
        <v/>
      </c>
      <c r="AC45" s="38" t="n">
        <v>0</v>
      </c>
      <c r="AD45" s="38" t="n">
        <v>0</v>
      </c>
      <c r="AE45" s="38" t="n">
        <v>0</v>
      </c>
      <c r="AF45" s="38" t="n">
        <v>0</v>
      </c>
      <c r="AG45" s="38" t="n">
        <v>0</v>
      </c>
      <c r="AH45" s="38" t="n">
        <v>0</v>
      </c>
      <c r="AI45" s="117" t="n">
        <v>0</v>
      </c>
      <c r="AJ45" s="118" t="n">
        <v>0</v>
      </c>
      <c r="AK45" s="118" t="n">
        <v>0</v>
      </c>
      <c r="AL45" s="118" t="n">
        <v>0</v>
      </c>
      <c r="AM45" s="119" t="n">
        <v>0</v>
      </c>
      <c r="AN45" s="117" t="n">
        <v>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SUMIF('XSALT TB'!$R:$R,'SALT P&amp;L'!$A46,'XSALT TB'!C:C)</f>
        <v/>
      </c>
      <c r="P46" s="37">
        <f>SUMIF('XSALT TB'!$R:$R,'SALT P&amp;L'!$A46,'XSALT TB'!D:D)</f>
        <v/>
      </c>
      <c r="Q46" s="37">
        <f>SUMIF('XSALT TB'!$R:$R,'SALT P&amp;L'!$A46,'XSALT TB'!E:E)</f>
        <v/>
      </c>
      <c r="R46" s="37">
        <f>SUMIF('XSALT TB'!$R:$R,'SALT P&amp;L'!$A46,'XSALT TB'!F:F)</f>
        <v/>
      </c>
      <c r="S46" s="37">
        <f>SUMIF('XSALT TB'!$R:$R,'SALT P&amp;L'!$A46,'XSALT TB'!G:G)</f>
        <v/>
      </c>
      <c r="T46" s="37">
        <f>SUMIF('XSALT TB'!$R:$R,'SALT P&amp;L'!$A46,'XSALT TB'!H:H)</f>
        <v/>
      </c>
      <c r="U46" s="37">
        <f>SUMIF('SALT TB'!$R:$R,'SALT P&amp;L'!$A46,'SALT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1970.299999999999</v>
      </c>
      <c r="C47" s="42" t="n">
        <v>4780.01</v>
      </c>
      <c r="D47" s="42" t="n">
        <v>6169.02</v>
      </c>
      <c r="E47" s="42" t="n">
        <v>9893.169999999998</v>
      </c>
      <c r="F47" s="42" t="n">
        <v>5336.36</v>
      </c>
      <c r="G47" s="42" t="n">
        <v>3012.63</v>
      </c>
      <c r="H47" s="42" t="n">
        <v>3868.8</v>
      </c>
      <c r="I47" s="42" t="n">
        <v>3136.53</v>
      </c>
      <c r="J47" s="42" t="n">
        <v>3772.7</v>
      </c>
      <c r="K47" s="42" t="n">
        <v>4272.42</v>
      </c>
      <c r="L47" s="42" t="n">
        <v>3068.01</v>
      </c>
      <c r="M47" s="42" t="n">
        <v>4871.1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37882.87</v>
      </c>
      <c r="C48" s="23" t="n">
        <v>47003.43</v>
      </c>
      <c r="D48" s="23" t="n">
        <v>42463.12</v>
      </c>
      <c r="E48" s="23" t="n">
        <v>48079.93</v>
      </c>
      <c r="F48" s="23" t="n">
        <v>45061.75</v>
      </c>
      <c r="G48" s="23" t="n">
        <v>41887.21</v>
      </c>
      <c r="H48" s="23" t="n">
        <v>46995.76</v>
      </c>
      <c r="I48" s="23" t="n">
        <v>45778.62000000001</v>
      </c>
      <c r="J48" s="23" t="n">
        <v>51054.04999999999</v>
      </c>
      <c r="K48" s="23" t="n">
        <v>54676.12</v>
      </c>
      <c r="L48" s="23" t="n">
        <v>47806.94</v>
      </c>
      <c r="M48" s="23" t="n">
        <v>47768.84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>U25+U34+U47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SUM(O48:U48)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SUM(O49:U49)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15223.57999999999</v>
      </c>
      <c r="C50" s="55" t="n">
        <v>17713.23</v>
      </c>
      <c r="D50" s="55" t="n">
        <v>32478.08000000002</v>
      </c>
      <c r="E50" s="55" t="n">
        <v>17947.43</v>
      </c>
      <c r="F50" s="55" t="n">
        <v>7137.43</v>
      </c>
      <c r="G50" s="55" t="n">
        <v>23971.56</v>
      </c>
      <c r="H50" s="55" t="n">
        <v>39470.94999999999</v>
      </c>
      <c r="I50" s="55" t="n">
        <v>8677.649999999994</v>
      </c>
      <c r="J50" s="55" t="n">
        <v>11286.18000000001</v>
      </c>
      <c r="K50" s="55" t="n">
        <v>7367.850000000006</v>
      </c>
      <c r="L50" s="55" t="n">
        <v>29751.17999999999</v>
      </c>
      <c r="M50" s="55" t="n">
        <v>55101.27000000001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SUM(O51:U51)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SUM(O52:U52)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SUMIF('XSALT TB'!$R:$R,'SALT P&amp;L'!$A53,'XSALT TB'!C:C)</f>
        <v/>
      </c>
      <c r="P53" s="37">
        <f>SUMIF('XSALT TB'!$R:$R,'SALT P&amp;L'!$A53,'XSALT TB'!D:D)</f>
        <v/>
      </c>
      <c r="Q53" s="37">
        <f>SUMIF('XSALT TB'!$R:$R,'SALT P&amp;L'!$A53,'XSALT TB'!E:E)</f>
        <v/>
      </c>
      <c r="R53" s="37">
        <f>SUMIF('XSALT TB'!$R:$R,'SALT P&amp;L'!$A53,'XSALT TB'!F:F)</f>
        <v/>
      </c>
      <c r="S53" s="37">
        <f>SUMIF('XSALT TB'!$R:$R,'SALT P&amp;L'!$A53,'XSALT TB'!G:G)</f>
        <v/>
      </c>
      <c r="T53" s="37">
        <f>SUMIF('XSALT TB'!$R:$R,'SALT P&amp;L'!$A53,'XSALT TB'!H:H)</f>
        <v/>
      </c>
      <c r="U53" s="37">
        <f>SUMIF('SALT TB'!$R:$R,'SALT P&amp;L'!$A53,'SALT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SUMIF('XSALT TB'!$R:$R,'SALT P&amp;L'!$A54,'XSALT TB'!C:C)</f>
        <v/>
      </c>
      <c r="P54" s="37">
        <f>SUMIF('XSALT TB'!$R:$R,'SALT P&amp;L'!$A54,'XSALT TB'!D:D)</f>
        <v/>
      </c>
      <c r="Q54" s="37">
        <f>SUMIF('XSALT TB'!$R:$R,'SALT P&amp;L'!$A54,'XSALT TB'!E:E)</f>
        <v/>
      </c>
      <c r="R54" s="37">
        <f>SUMIF('XSALT TB'!$R:$R,'SALT P&amp;L'!$A54,'XSALT TB'!F:F)</f>
        <v/>
      </c>
      <c r="S54" s="37">
        <f>SUMIF('XSALT TB'!$R:$R,'SALT P&amp;L'!$A54,'XSALT TB'!G:G)</f>
        <v/>
      </c>
      <c r="T54" s="37">
        <f>SUMIF('XSALT TB'!$R:$R,'SALT P&amp;L'!$A54,'XSALT TB'!H:H)</f>
        <v/>
      </c>
      <c r="U54" s="37">
        <f>SUMIF('SALT TB'!$R:$R,'SALT P&amp;L'!$A54,'SALT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SUMIF('XSALT TB'!$R:$R,'SALT P&amp;L'!$A55,'XSALT TB'!C:C)</f>
        <v/>
      </c>
      <c r="P55" s="37">
        <f>SUMIF('XSALT TB'!$R:$R,'SALT P&amp;L'!$A55,'XSALT TB'!D:D)</f>
        <v/>
      </c>
      <c r="Q55" s="37">
        <f>SUMIF('XSALT TB'!$R:$R,'SALT P&amp;L'!$A55,'XSALT TB'!E:E)</f>
        <v/>
      </c>
      <c r="R55" s="37">
        <f>SUMIF('XSALT TB'!$R:$R,'SALT P&amp;L'!$A55,'XSALT TB'!F:F)</f>
        <v/>
      </c>
      <c r="S55" s="37">
        <f>SUMIF('XSALT TB'!$R:$R,'SALT P&amp;L'!$A55,'XSALT TB'!G:G)</f>
        <v/>
      </c>
      <c r="T55" s="37">
        <f>SUMIF('XSALT TB'!$R:$R,'SALT P&amp;L'!$A55,'XSALT TB'!H:H)</f>
        <v/>
      </c>
      <c r="U55" s="37">
        <f>SUMIF('SALT TB'!$R:$R,'SALT P&amp;L'!$A55,'SALT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SUMIF('XSALT TB'!$R:$R,'SALT P&amp;L'!$A56,'XSALT TB'!C:C)</f>
        <v/>
      </c>
      <c r="P56" s="37">
        <f>SUMIF('XSALT TB'!$R:$R,'SALT P&amp;L'!$A56,'XSALT TB'!D:D)</f>
        <v/>
      </c>
      <c r="Q56" s="37">
        <f>SUMIF('XSALT TB'!$R:$R,'SALT P&amp;L'!$A56,'XSALT TB'!E:E)</f>
        <v/>
      </c>
      <c r="R56" s="37">
        <f>SUMIF('XSALT TB'!$R:$R,'SALT P&amp;L'!$A56,'XSALT TB'!F:F)</f>
        <v/>
      </c>
      <c r="S56" s="37">
        <f>SUMIF('XSALT TB'!$R:$R,'SALT P&amp;L'!$A56,'XSALT TB'!G:G)</f>
        <v/>
      </c>
      <c r="T56" s="37">
        <f>SUMIF('XSALT TB'!$R:$R,'SALT P&amp;L'!$A56,'XSALT TB'!H:H)</f>
        <v/>
      </c>
      <c r="U56" s="37">
        <f>SUMIF('SALT TB'!$R:$R,'SALT P&amp;L'!$A56,'SALT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190</v>
      </c>
      <c r="L57" s="35" t="n">
        <v>0</v>
      </c>
      <c r="M57" s="35" t="n">
        <v>476.11</v>
      </c>
      <c r="N57" s="36">
        <f>SUM(B57:M57)</f>
        <v/>
      </c>
      <c r="O57" s="37">
        <f>SUMIF('XSALT TB'!$R:$R,'SALT P&amp;L'!$A57,'XSALT TB'!C:C)</f>
        <v/>
      </c>
      <c r="P57" s="37">
        <f>SUMIF('XSALT TB'!$R:$R,'SALT P&amp;L'!$A57,'XSALT TB'!D:D)</f>
        <v/>
      </c>
      <c r="Q57" s="37">
        <f>SUMIF('XSALT TB'!$R:$R,'SALT P&amp;L'!$A57,'XSALT TB'!E:E)</f>
        <v/>
      </c>
      <c r="R57" s="37">
        <f>SUMIF('XSALT TB'!$R:$R,'SALT P&amp;L'!$A57,'XSALT TB'!F:F)</f>
        <v/>
      </c>
      <c r="S57" s="37">
        <f>SUMIF('XSALT TB'!$R:$R,'SALT P&amp;L'!$A57,'XSALT TB'!G:G)</f>
        <v/>
      </c>
      <c r="T57" s="37">
        <f>SUMIF('XSALT TB'!$R:$R,'SALT P&amp;L'!$A57,'XSALT TB'!H:H)</f>
        <v/>
      </c>
      <c r="U57" s="37">
        <f>SUMIF('SALT TB'!$R:$R,'SALT P&amp;L'!$A57,'SALT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SUMIF('XSALT TB'!$R:$R,'SALT P&amp;L'!$A58,'XSALT TB'!C:C)</f>
        <v/>
      </c>
      <c r="P58" s="37">
        <f>SUMIF('XSALT TB'!$R:$R,'SALT P&amp;L'!$A58,'XSALT TB'!D:D)</f>
        <v/>
      </c>
      <c r="Q58" s="37">
        <f>SUMIF('XSALT TB'!$R:$R,'SALT P&amp;L'!$A58,'XSALT TB'!E:E)</f>
        <v/>
      </c>
      <c r="R58" s="37">
        <f>SUMIF('XSALT TB'!$R:$R,'SALT P&amp;L'!$A58,'XSALT TB'!F:F)</f>
        <v/>
      </c>
      <c r="S58" s="37">
        <f>SUMIF('XSALT TB'!$R:$R,'SALT P&amp;L'!$A58,'XSALT TB'!G:G)</f>
        <v/>
      </c>
      <c r="T58" s="37">
        <f>SUMIF('XSALT TB'!$R:$R,'SALT P&amp;L'!$A58,'XSALT TB'!H:H)</f>
        <v/>
      </c>
      <c r="U58" s="37">
        <f>SUMIF('SALT TB'!$R:$R,'SALT P&amp;L'!$A58,'SALT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201.37</v>
      </c>
      <c r="J59" s="35" t="n">
        <v>201.37</v>
      </c>
      <c r="K59" s="35" t="n">
        <v>214.8</v>
      </c>
      <c r="L59" s="35" t="n">
        <v>214.8</v>
      </c>
      <c r="M59" s="35" t="n">
        <v>244.7</v>
      </c>
      <c r="N59" s="36">
        <f>SUM(B59:M59)</f>
        <v/>
      </c>
      <c r="O59" s="37" t="n">
        <v>244.7</v>
      </c>
      <c r="P59" s="37" t="n">
        <v>244.7</v>
      </c>
      <c r="Q59" s="37" t="n">
        <v>244.7</v>
      </c>
      <c r="R59" s="37" t="n">
        <v>244.7</v>
      </c>
      <c r="S59" s="37" t="n">
        <v>244.7</v>
      </c>
      <c r="T59" s="37" t="n">
        <v>244.7</v>
      </c>
      <c r="U59" s="37" t="n">
        <v>244.7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2.4</v>
      </c>
      <c r="C60" s="35" t="n">
        <v>1.8</v>
      </c>
      <c r="D60" s="35" t="n">
        <v>2.4</v>
      </c>
      <c r="E60" s="35" t="n">
        <v>2.4</v>
      </c>
      <c r="F60" s="35" t="n">
        <v>3</v>
      </c>
      <c r="G60" s="35" t="n">
        <v>48</v>
      </c>
      <c r="H60" s="35" t="n">
        <v>3.6</v>
      </c>
      <c r="I60" s="35" t="n">
        <v>3</v>
      </c>
      <c r="J60" s="35" t="n">
        <v>293.66</v>
      </c>
      <c r="K60" s="35" t="n">
        <v>1.8</v>
      </c>
      <c r="L60" s="35" t="n">
        <v>2.4</v>
      </c>
      <c r="M60" s="35" t="n">
        <v>47.40000000000001</v>
      </c>
      <c r="N60" s="36">
        <f>SUM(B60:M60)</f>
        <v/>
      </c>
      <c r="O60" s="37" t="n">
        <v>151.8</v>
      </c>
      <c r="P60" s="37" t="n">
        <v>8.790000000000001</v>
      </c>
      <c r="Q60" s="37" t="n">
        <v>43.65</v>
      </c>
      <c r="R60" s="37" t="n">
        <v>175.8</v>
      </c>
      <c r="S60" s="37" t="n">
        <v>1.8</v>
      </c>
      <c r="T60" s="37" t="n">
        <v>59.3</v>
      </c>
      <c r="U60" s="37" t="n">
        <v>2.4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90</v>
      </c>
      <c r="C61" s="35" t="n">
        <v>47.93000000000001</v>
      </c>
      <c r="D61" s="35" t="n">
        <v>9.98</v>
      </c>
      <c r="E61" s="35" t="n">
        <v>51.04</v>
      </c>
      <c r="F61" s="35" t="n">
        <v>0</v>
      </c>
      <c r="G61" s="35" t="n">
        <v>0</v>
      </c>
      <c r="H61" s="35" t="n">
        <v>392.16</v>
      </c>
      <c r="I61" s="35" t="n">
        <v>0</v>
      </c>
      <c r="J61" s="35" t="n">
        <v>0</v>
      </c>
      <c r="K61" s="35" t="n">
        <v>24.95</v>
      </c>
      <c r="L61" s="35" t="n">
        <v>5.69</v>
      </c>
      <c r="M61" s="35" t="n">
        <v>0</v>
      </c>
      <c r="N61" s="36">
        <f>SUM(B61:M61)</f>
        <v/>
      </c>
      <c r="O61" s="37">
        <f>SUMIF('XSALT TB'!$R:$R,'SALT P&amp;L'!$A61,'XSALT TB'!C:C)</f>
        <v/>
      </c>
      <c r="P61" s="37">
        <f>SUMIF('XSALT TB'!$R:$R,'SALT P&amp;L'!$A61,'XSALT TB'!D:D)</f>
        <v/>
      </c>
      <c r="Q61" s="37">
        <f>SUMIF('XSALT TB'!$R:$R,'SALT P&amp;L'!$A61,'XSALT TB'!E:E)</f>
        <v/>
      </c>
      <c r="R61" s="37">
        <f>SUMIF('XSALT TB'!$R:$R,'SALT P&amp;L'!$A61,'XSALT TB'!F:F)</f>
        <v/>
      </c>
      <c r="S61" s="37">
        <f>SUMIF('XSALT TB'!$R:$R,'SALT P&amp;L'!$A61,'XSALT TB'!G:G)</f>
        <v/>
      </c>
      <c r="T61" s="37">
        <f>SUMIF('XSALT TB'!$R:$R,'SALT P&amp;L'!$A61,'XSALT TB'!H:H)</f>
        <v/>
      </c>
      <c r="U61" s="37">
        <f>SUMIF('SALT TB'!$R:$R,'SALT P&amp;L'!$A61,'SALT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8.4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7.2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SUMIF('XSALT TB'!$R:$R,'SALT P&amp;L'!$A62,'XSALT TB'!C:C)</f>
        <v/>
      </c>
      <c r="P62" s="37">
        <f>SUMIF('XSALT TB'!$R:$R,'SALT P&amp;L'!$A62,'XSALT TB'!D:D)</f>
        <v/>
      </c>
      <c r="Q62" s="37">
        <f>SUMIF('XSALT TB'!$R:$R,'SALT P&amp;L'!$A62,'XSALT TB'!E:E)</f>
        <v/>
      </c>
      <c r="R62" s="37">
        <f>SUMIF('XSALT TB'!$R:$R,'SALT P&amp;L'!$A62,'XSALT TB'!F:F)</f>
        <v/>
      </c>
      <c r="S62" s="37">
        <f>SUMIF('XSALT TB'!$R:$R,'SALT P&amp;L'!$A62,'XSALT TB'!G:G)</f>
        <v/>
      </c>
      <c r="T62" s="37">
        <f>SUMIF('XSALT TB'!$R:$R,'SALT P&amp;L'!$A62,'XSALT TB'!H:H)</f>
        <v/>
      </c>
      <c r="U62" s="37">
        <f>SUMIF('SALT TB'!$R:$R,'SALT P&amp;L'!$A62,'SALT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SUMIF('XSALT TB'!$R:$R,'SALT P&amp;L'!$A63,'XSALT TB'!C:C)</f>
        <v/>
      </c>
      <c r="P63" s="37">
        <f>SUMIF('XSALT TB'!$R:$R,'SALT P&amp;L'!$A63,'XSALT TB'!D:D)</f>
        <v/>
      </c>
      <c r="Q63" s="37">
        <f>SUMIF('XSALT TB'!$R:$R,'SALT P&amp;L'!$A63,'XSALT TB'!E:E)</f>
        <v/>
      </c>
      <c r="R63" s="37">
        <f>SUMIF('XSALT TB'!$R:$R,'SALT P&amp;L'!$A63,'XSALT TB'!F:F)</f>
        <v/>
      </c>
      <c r="S63" s="37">
        <f>SUMIF('XSALT TB'!$R:$R,'SALT P&amp;L'!$A63,'XSALT TB'!G:G)</f>
        <v/>
      </c>
      <c r="T63" s="37">
        <f>SUMIF('XSALT TB'!$R:$R,'SALT P&amp;L'!$A63,'XSALT TB'!H:H)</f>
        <v/>
      </c>
      <c r="U63" s="37">
        <f>SUMIF('SALT TB'!$R:$R,'SALT P&amp;L'!$A63,'SALT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SUMIF('XSALT TB'!$R:$R,'SALT P&amp;L'!$A64,'XSALT TB'!C:C)</f>
        <v/>
      </c>
      <c r="P64" s="37">
        <f>SUMIF('XSALT TB'!$R:$R,'SALT P&amp;L'!$A64,'XSALT TB'!D:D)</f>
        <v/>
      </c>
      <c r="Q64" s="37">
        <f>SUMIF('XSALT TB'!$R:$R,'SALT P&amp;L'!$A64,'XSALT TB'!E:E)</f>
        <v/>
      </c>
      <c r="R64" s="37">
        <f>SUMIF('XSALT TB'!$R:$R,'SALT P&amp;L'!$A64,'XSALT TB'!F:F)</f>
        <v/>
      </c>
      <c r="S64" s="37">
        <f>SUMIF('XSALT TB'!$R:$R,'SALT P&amp;L'!$A64,'XSALT TB'!G:G)</f>
        <v/>
      </c>
      <c r="T64" s="37">
        <f>SUMIF('XSALT TB'!$R:$R,'SALT P&amp;L'!$A64,'XSALT TB'!H:H)</f>
        <v/>
      </c>
      <c r="U64" s="37">
        <f>SUMIF('SALT TB'!$R:$R,'SALT P&amp;L'!$A64,'SALT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SUMIF('XSALT TB'!$R:$R,'SALT P&amp;L'!$A65,'XSALT TB'!C:C)</f>
        <v/>
      </c>
      <c r="P65" s="37">
        <f>SUMIF('XSALT TB'!$R:$R,'SALT P&amp;L'!$A65,'XSALT TB'!D:D)</f>
        <v/>
      </c>
      <c r="Q65" s="37">
        <f>SUMIF('XSALT TB'!$R:$R,'SALT P&amp;L'!$A65,'XSALT TB'!E:E)</f>
        <v/>
      </c>
      <c r="R65" s="37">
        <f>SUMIF('XSALT TB'!$R:$R,'SALT P&amp;L'!$A65,'XSALT TB'!F:F)</f>
        <v/>
      </c>
      <c r="S65" s="37">
        <f>SUMIF('XSALT TB'!$R:$R,'SALT P&amp;L'!$A65,'XSALT TB'!G:G)</f>
        <v/>
      </c>
      <c r="T65" s="37">
        <f>SUMIF('XSALT TB'!$R:$R,'SALT P&amp;L'!$A65,'XSALT TB'!H:H)</f>
        <v/>
      </c>
      <c r="U65" s="37">
        <f>SUMIF('SALT TB'!$R:$R,'SALT P&amp;L'!$A65,'SALT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SUMIF('XSALT TB'!$R:$R,'SALT P&amp;L'!$A66,'XSALT TB'!C:C)</f>
        <v/>
      </c>
      <c r="P66" s="37">
        <f>SUMIF('XSALT TB'!$R:$R,'SALT P&amp;L'!$A66,'XSALT TB'!D:D)</f>
        <v/>
      </c>
      <c r="Q66" s="37">
        <f>SUMIF('XSALT TB'!$R:$R,'SALT P&amp;L'!$A66,'XSALT TB'!E:E)</f>
        <v/>
      </c>
      <c r="R66" s="37">
        <f>SUMIF('XSALT TB'!$R:$R,'SALT P&amp;L'!$A66,'XSALT TB'!F:F)</f>
        <v/>
      </c>
      <c r="S66" s="37">
        <f>SUMIF('XSALT TB'!$R:$R,'SALT P&amp;L'!$A66,'XSALT TB'!G:G)</f>
        <v/>
      </c>
      <c r="T66" s="37">
        <f>SUMIF('XSALT TB'!$R:$R,'SALT P&amp;L'!$A66,'XSALT TB'!H:H)</f>
        <v/>
      </c>
      <c r="U66" s="37">
        <f>SUMIF('SALT TB'!$R:$R,'SALT P&amp;L'!$A66,'SALT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1800</v>
      </c>
      <c r="C67" s="35" t="n">
        <v>0</v>
      </c>
      <c r="D67" s="35" t="n">
        <v>0</v>
      </c>
      <c r="E67" s="35" t="n">
        <v>1084.8</v>
      </c>
      <c r="F67" s="35" t="n">
        <v>0</v>
      </c>
      <c r="G67" s="35" t="n">
        <v>179.4</v>
      </c>
      <c r="H67" s="35" t="n">
        <v>42.75</v>
      </c>
      <c r="I67" s="35" t="n">
        <v>42.75</v>
      </c>
      <c r="J67" s="35" t="n">
        <v>42.75</v>
      </c>
      <c r="K67" s="35" t="n">
        <v>42.75</v>
      </c>
      <c r="L67" s="35" t="n">
        <v>89.75</v>
      </c>
      <c r="M67" s="35" t="n">
        <v>877.95</v>
      </c>
      <c r="N67" s="36">
        <f>SUM(B67:M67)</f>
        <v/>
      </c>
      <c r="O67" s="37">
        <f>SUMIF('XSALT TB'!$R:$R,'SALT P&amp;L'!$A67,'XSALT TB'!C:C)</f>
        <v/>
      </c>
      <c r="P67" s="37">
        <f>SUMIF('XSALT TB'!$R:$R,'SALT P&amp;L'!$A67,'XSALT TB'!D:D)</f>
        <v/>
      </c>
      <c r="Q67" s="37">
        <f>SUMIF('XSALT TB'!$R:$R,'SALT P&amp;L'!$A67,'XSALT TB'!E:E)</f>
        <v/>
      </c>
      <c r="R67" s="37">
        <f>SUMIF('XSALT TB'!$R:$R,'SALT P&amp;L'!$A67,'XSALT TB'!F:F)</f>
        <v/>
      </c>
      <c r="S67" s="37">
        <f>SUMIF('XSALT TB'!$R:$R,'SALT P&amp;L'!$A67,'XSALT TB'!G:G)</f>
        <v/>
      </c>
      <c r="T67" s="37">
        <f>SUMIF('XSALT TB'!$R:$R,'SALT P&amp;L'!$A67,'XSALT TB'!H:H)</f>
        <v/>
      </c>
      <c r="U67" s="37">
        <f>SUMIF('SALT TB'!$R:$R,'SALT P&amp;L'!$A67,'SALT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7.5</v>
      </c>
      <c r="C68" s="35" t="n">
        <v>7.5</v>
      </c>
      <c r="D68" s="35" t="n">
        <v>7.5</v>
      </c>
      <c r="E68" s="35" t="n">
        <v>7.5</v>
      </c>
      <c r="F68" s="35" t="n">
        <v>7.5</v>
      </c>
      <c r="G68" s="35" t="n">
        <v>7.5</v>
      </c>
      <c r="H68" s="35" t="n">
        <v>7.5</v>
      </c>
      <c r="I68" s="35" t="n">
        <v>7.5</v>
      </c>
      <c r="J68" s="35" t="n">
        <v>7.5</v>
      </c>
      <c r="K68" s="35" t="n">
        <v>7.5</v>
      </c>
      <c r="L68" s="35" t="n">
        <v>7.5</v>
      </c>
      <c r="M68" s="35" t="n">
        <v>9.99</v>
      </c>
      <c r="N68" s="36">
        <f>SUM(B68:M68)</f>
        <v/>
      </c>
      <c r="O68" s="37">
        <f>SUMIF('XSALT TB'!$R:$R,'SALT P&amp;L'!$A68,'XSALT TB'!C:C)</f>
        <v/>
      </c>
      <c r="P68" s="37">
        <f>SUMIF('XSALT TB'!$R:$R,'SALT P&amp;L'!$A68,'XSALT TB'!D:D)</f>
        <v/>
      </c>
      <c r="Q68" s="37">
        <f>SUMIF('XSALT TB'!$R:$R,'SALT P&amp;L'!$A68,'XSALT TB'!E:E)</f>
        <v/>
      </c>
      <c r="R68" s="37">
        <f>SUMIF('XSALT TB'!$R:$R,'SALT P&amp;L'!$A68,'XSALT TB'!F:F)</f>
        <v/>
      </c>
      <c r="S68" s="37">
        <f>SUMIF('XSALT TB'!$R:$R,'SALT P&amp;L'!$A68,'XSALT TB'!G:G)</f>
        <v/>
      </c>
      <c r="T68" s="37">
        <f>SUMIF('XSALT TB'!$R:$R,'SALT P&amp;L'!$A68,'XSALT TB'!H:H)</f>
        <v/>
      </c>
      <c r="U68" s="37">
        <f>SUMIF('SALT TB'!$R:$R,'SALT P&amp;L'!$A68,'SALT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2101.28</v>
      </c>
      <c r="C69" s="42" t="n">
        <v>258.61</v>
      </c>
      <c r="D69" s="42" t="n">
        <v>229.66</v>
      </c>
      <c r="E69" s="42" t="n">
        <v>1347.12</v>
      </c>
      <c r="F69" s="42" t="n">
        <v>211.87</v>
      </c>
      <c r="G69" s="42" t="n">
        <v>436.28</v>
      </c>
      <c r="H69" s="42" t="n">
        <v>647.39</v>
      </c>
      <c r="I69" s="42" t="n">
        <v>261.82</v>
      </c>
      <c r="J69" s="42" t="n">
        <v>545.28</v>
      </c>
      <c r="K69" s="42" t="n">
        <v>481.8</v>
      </c>
      <c r="L69" s="42" t="n">
        <v>320.14</v>
      </c>
      <c r="M69" s="42" t="n">
        <v>1656.15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SUM(O69:U69)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13122.3</v>
      </c>
      <c r="C70" s="55" t="n">
        <v>17454.62</v>
      </c>
      <c r="D70" s="55" t="n">
        <v>32248.42000000002</v>
      </c>
      <c r="E70" s="55" t="n">
        <v>16600.31</v>
      </c>
      <c r="F70" s="55" t="n">
        <v>6925.56</v>
      </c>
      <c r="G70" s="55" t="n">
        <v>23535.28000000001</v>
      </c>
      <c r="H70" s="55" t="n">
        <v>38823.55999999999</v>
      </c>
      <c r="I70" s="55" t="n">
        <v>8415.829999999994</v>
      </c>
      <c r="J70" s="55" t="n">
        <v>10740.90000000001</v>
      </c>
      <c r="K70" s="55" t="n">
        <v>6886.050000000006</v>
      </c>
      <c r="L70" s="55" t="n">
        <v>29431.03999999999</v>
      </c>
      <c r="M70" s="55" t="n">
        <v>53445.12000000001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2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60">
        <f>SUM(O71:T71)</f>
        <v/>
      </c>
      <c r="AB71" s="56" t="n"/>
      <c r="AC71" s="8" t="n"/>
      <c r="AD71" s="8" t="n"/>
      <c r="AE71" s="8" t="n"/>
      <c r="AF71" s="8" t="n"/>
      <c r="AG71" s="8" t="n"/>
      <c r="AH71" s="8" t="n"/>
      <c r="AI71" s="148" t="n">
        <v>0</v>
      </c>
      <c r="AJ71" s="148" t="n">
        <v>0</v>
      </c>
      <c r="AK71" s="148" t="n">
        <v>0</v>
      </c>
      <c r="AL71" s="148" t="n">
        <v>0</v>
      </c>
      <c r="AM71" s="148" t="n">
        <v>0</v>
      </c>
      <c r="AN71" s="148" t="n">
        <v>0</v>
      </c>
      <c r="AO71" s="149">
        <f>SUM(AC71:AH71)+SUM(AI71:AN71)</f>
        <v/>
      </c>
      <c r="AP71" s="145">
        <f>IF(AB71&lt;&gt;0,(AO71-AB71)/ABS(AB71),0)</f>
        <v/>
      </c>
    </row>
    <row r="72">
      <c r="A72" s="22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34" t="inlineStr">
        <is>
          <t>Borrowing Costs</t>
        </is>
      </c>
      <c r="B73" s="8" t="n"/>
      <c r="C73" s="8" t="n"/>
      <c r="D73" s="8" t="n"/>
      <c r="E73" s="8" t="n"/>
      <c r="F73" s="8" t="n"/>
      <c r="G73" s="8" t="n"/>
      <c r="H73" s="8" t="n"/>
      <c r="I73" s="56" t="n"/>
      <c r="J73" s="56" t="n"/>
      <c r="K73" s="56" t="n"/>
      <c r="L73" s="56" t="n"/>
      <c r="M73" s="56" t="n"/>
      <c r="N73" s="56" t="n"/>
      <c r="O73" s="60" t="n">
        <v>0</v>
      </c>
      <c r="P73" s="60" t="n">
        <v>0</v>
      </c>
      <c r="Q73" s="60" t="n">
        <v>0</v>
      </c>
      <c r="R73" s="60" t="n">
        <v>0</v>
      </c>
      <c r="S73" s="60" t="n">
        <v>0</v>
      </c>
      <c r="T73" s="60" t="n">
        <v>0</v>
      </c>
      <c r="U73" s="60" t="n">
        <v>0</v>
      </c>
      <c r="V73" s="60" t="n">
        <v>0</v>
      </c>
      <c r="W73" s="60" t="n">
        <v>0</v>
      </c>
      <c r="X73" s="60" t="n">
        <v>0</v>
      </c>
      <c r="Y73" s="60" t="n">
        <v>0</v>
      </c>
      <c r="Z73" s="60" t="n">
        <v>0</v>
      </c>
      <c r="AA73" s="8" t="n"/>
      <c r="AB73" s="60">
        <f>SUM(O73:Z73)</f>
        <v/>
      </c>
      <c r="AC73" s="8" t="n"/>
      <c r="AD73" s="8" t="n"/>
      <c r="AE73" s="8" t="n"/>
      <c r="AF73" s="8" t="n"/>
      <c r="AG73" s="8" t="n"/>
      <c r="AH73" s="8" t="n"/>
      <c r="AI73" s="148" t="n">
        <v>0</v>
      </c>
      <c r="AJ73" s="148" t="n">
        <v>0</v>
      </c>
      <c r="AK73" s="148" t="n">
        <v>0</v>
      </c>
      <c r="AL73" s="148" t="n">
        <v>0</v>
      </c>
      <c r="AM73" s="148" t="n">
        <v>0</v>
      </c>
      <c r="AN73" s="148" t="n">
        <v>0</v>
      </c>
      <c r="AO73" s="149">
        <f>SUM(AC73:AH73)+SUM(AI73:AN73)</f>
        <v/>
      </c>
      <c r="AP73" s="145">
        <f>IF(AB73&lt;&gt;0,(AO73-AB73)/ABS(AB73),0)</f>
        <v/>
      </c>
    </row>
    <row r="74">
      <c r="A74" s="34" t="inlineStr">
        <is>
          <t>Depreciation</t>
        </is>
      </c>
      <c r="B74" s="8" t="n"/>
      <c r="C74" s="8" t="n"/>
      <c r="D74" s="8" t="n"/>
      <c r="E74" s="8" t="n"/>
      <c r="F74" s="8" t="n"/>
      <c r="G74" s="8" t="n"/>
      <c r="H74" s="8" t="n"/>
      <c r="I74" s="56" t="n"/>
      <c r="J74" s="56" t="n"/>
      <c r="K74" s="56" t="n"/>
      <c r="L74" s="56" t="n"/>
      <c r="M74" s="56" t="n"/>
      <c r="N74" s="56" t="n"/>
      <c r="O74" s="60" t="n">
        <v>1214.634947916667</v>
      </c>
      <c r="P74" s="60" t="n">
        <v>1214.634947916667</v>
      </c>
      <c r="Q74" s="60" t="n">
        <v>1214.634947916667</v>
      </c>
      <c r="R74" s="60" t="n">
        <v>1214.634947916667</v>
      </c>
      <c r="S74" s="60" t="n">
        <v>1214.634947916667</v>
      </c>
      <c r="T74" s="60" t="n">
        <v>1214.634947916667</v>
      </c>
      <c r="U74" s="60" t="n">
        <v>1241.90578125</v>
      </c>
      <c r="V74" s="60" t="n">
        <v>1241.90578125</v>
      </c>
      <c r="W74" s="60" t="n">
        <v>1241.90578125</v>
      </c>
      <c r="X74" s="60" t="n">
        <v>1241.90578125</v>
      </c>
      <c r="Y74" s="60" t="n">
        <v>1241.90578125</v>
      </c>
      <c r="Z74" s="60" t="n">
        <v>1241.90578125</v>
      </c>
      <c r="AA74" s="8" t="n"/>
      <c r="AB74" s="60">
        <f>SUM(O74:Z74)</f>
        <v/>
      </c>
      <c r="AC74" s="8" t="n"/>
      <c r="AD74" s="8" t="n"/>
      <c r="AE74" s="8" t="n"/>
      <c r="AF74" s="8" t="n"/>
      <c r="AG74" s="8" t="n"/>
      <c r="AH74" s="8" t="n"/>
      <c r="AI74" s="148" t="n">
        <v>0</v>
      </c>
      <c r="AJ74" s="148" t="n">
        <v>0</v>
      </c>
      <c r="AK74" s="148" t="n">
        <v>0</v>
      </c>
      <c r="AL74" s="148" t="n">
        <v>0</v>
      </c>
      <c r="AM74" s="148" t="n">
        <v>0</v>
      </c>
      <c r="AN74" s="148" t="n">
        <v>0</v>
      </c>
      <c r="AO74" s="149">
        <f>SUM(AC74:AH74)+SUM(AI74:AN74)</f>
        <v/>
      </c>
      <c r="AP74" s="145">
        <f>IF(AB74&lt;&gt;0,(AO74-AB74)/ABS(AB74),0)</f>
        <v/>
      </c>
    </row>
    <row r="75">
      <c r="A75" s="34" t="inlineStr">
        <is>
          <t>Amortisation</t>
        </is>
      </c>
      <c r="B75" s="8" t="n"/>
      <c r="C75" s="8" t="n"/>
      <c r="D75" s="8" t="n"/>
      <c r="E75" s="8" t="n"/>
      <c r="F75" s="8" t="n"/>
      <c r="G75" s="8" t="n"/>
      <c r="H75" s="8" t="n"/>
      <c r="I75" s="56" t="n"/>
      <c r="J75" s="56" t="n"/>
      <c r="K75" s="56" t="n"/>
      <c r="L75" s="56" t="n"/>
      <c r="M75" s="56" t="n"/>
      <c r="N75" s="56" t="n"/>
      <c r="O75" s="60">
        <f>8000/12</f>
        <v/>
      </c>
      <c r="P75" s="60">
        <f>8000/12</f>
        <v/>
      </c>
      <c r="Q75" s="60">
        <f>8000/12</f>
        <v/>
      </c>
      <c r="R75" s="60">
        <f>8000/12</f>
        <v/>
      </c>
      <c r="S75" s="60">
        <f>8000/12</f>
        <v/>
      </c>
      <c r="T75" s="60">
        <f>8000/12</f>
        <v/>
      </c>
      <c r="U75" s="60">
        <f>8000/12</f>
        <v/>
      </c>
      <c r="V75" s="60">
        <f>8000/12</f>
        <v/>
      </c>
      <c r="W75" s="60">
        <f>8000/12</f>
        <v/>
      </c>
      <c r="X75" s="60">
        <f>8000/12</f>
        <v/>
      </c>
      <c r="Y75" s="60">
        <f>8000/12</f>
        <v/>
      </c>
      <c r="Z75" s="60">
        <f>8000/12</f>
        <v/>
      </c>
      <c r="AA75" s="8" t="n"/>
      <c r="AB75" s="60">
        <f>SUM(O75:Z75)</f>
        <v/>
      </c>
      <c r="AC75" s="8" t="n"/>
      <c r="AD75" s="8" t="n"/>
      <c r="AE75" s="8" t="n"/>
      <c r="AF75" s="8" t="n"/>
      <c r="AG75" s="8" t="n"/>
      <c r="AH75" s="8" t="n"/>
      <c r="AI75" s="148" t="n">
        <v>0</v>
      </c>
      <c r="AJ75" s="148" t="n">
        <v>0</v>
      </c>
      <c r="AK75" s="148" t="n">
        <v>0</v>
      </c>
      <c r="AL75" s="148" t="n">
        <v>0</v>
      </c>
      <c r="AM75" s="148" t="n">
        <v>0</v>
      </c>
      <c r="AN75" s="148" t="n">
        <v>0</v>
      </c>
      <c r="AO75" s="149">
        <f>SUM(AC75:AH75)+SUM(AI75:AN75)</f>
        <v/>
      </c>
      <c r="AP75" s="145">
        <f>IF(AB75&lt;&gt;0,(AO75-AB75)/ABS(AB75),0)</f>
        <v/>
      </c>
    </row>
    <row r="76">
      <c r="A76" s="70" t="inlineStr">
        <is>
          <t>Profit Before Tax</t>
        </is>
      </c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>
        <f>O70-SUM(O73:O75)</f>
        <v/>
      </c>
      <c r="P76" s="56">
        <f>P70-SUM(P73:P75)</f>
        <v/>
      </c>
      <c r="Q76" s="56">
        <f>Q70-SUM(Q73:Q75)</f>
        <v/>
      </c>
      <c r="R76" s="56">
        <f>R70-SUM(R73:R75)</f>
        <v/>
      </c>
      <c r="S76" s="56">
        <f>S70-SUM(S73:S75)</f>
        <v/>
      </c>
      <c r="T76" s="56">
        <f>T70-SUM(T73:T75)</f>
        <v/>
      </c>
      <c r="U76" s="56">
        <f>U70-SUM(U73:U75)</f>
        <v/>
      </c>
      <c r="V76" s="56">
        <f>V70-SUM(V73:V75)</f>
        <v/>
      </c>
      <c r="W76" s="56">
        <f>W70-SUM(W73:W75)</f>
        <v/>
      </c>
      <c r="X76" s="56">
        <f>X70-SUM(X73:X75)</f>
        <v/>
      </c>
      <c r="Y76" s="56">
        <f>Y70-SUM(Y73:Y75)</f>
        <v/>
      </c>
      <c r="Z76" s="56">
        <f>Z70-SUM(Z73:Z75)</f>
        <v/>
      </c>
      <c r="AA76" s="56" t="n"/>
      <c r="AB76" s="56">
        <f>AB70-SUM(AB73:AB75)</f>
        <v/>
      </c>
      <c r="AC76" s="56" t="n"/>
      <c r="AD76" s="56" t="n"/>
      <c r="AE76" s="56" t="n"/>
      <c r="AF76" s="56" t="n"/>
      <c r="AG76" s="56" t="n"/>
      <c r="AH76" s="56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50">
        <f>SUM(AC76:AH76)+SUM(AI76:AN76)</f>
        <v/>
      </c>
      <c r="AP76" s="145">
        <f>IF(AB76&lt;&gt;0,(AO76-AB76)/ABS(AB76),0)</f>
        <v/>
      </c>
    </row>
    <row r="77" ht="15.75" customHeight="1">
      <c r="A77" s="71" t="inlineStr">
        <is>
          <t>Corp Tax Due</t>
        </is>
      </c>
      <c r="B77" s="64" t="n"/>
      <c r="C77" s="64" t="n"/>
      <c r="D77" s="64" t="n"/>
      <c r="E77" s="64" t="n"/>
      <c r="F77" s="64" t="n"/>
      <c r="G77" s="64" t="n"/>
      <c r="H77" s="64" t="n"/>
      <c r="I77" s="72" t="n"/>
      <c r="J77" s="72" t="n"/>
      <c r="K77" s="72" t="n"/>
      <c r="L77" s="72" t="n"/>
      <c r="M77" s="72" t="n"/>
      <c r="N77" s="72" t="n"/>
      <c r="O77" s="72">
        <f>(O76*0.25)</f>
        <v/>
      </c>
      <c r="P77" s="72">
        <f>(P76*0.25)</f>
        <v/>
      </c>
      <c r="Q77" s="72">
        <f>(Q76*0.25)</f>
        <v/>
      </c>
      <c r="R77" s="72">
        <f>(R76*0.25)</f>
        <v/>
      </c>
      <c r="S77" s="72">
        <f>(S76*0.25)</f>
        <v/>
      </c>
      <c r="T77" s="72">
        <f>(T76*0.25)</f>
        <v/>
      </c>
      <c r="U77" s="72">
        <f>(U76*0.25)</f>
        <v/>
      </c>
      <c r="V77" s="72">
        <f>(V76*0.25)</f>
        <v/>
      </c>
      <c r="W77" s="72">
        <f>(W76*0.25)</f>
        <v/>
      </c>
      <c r="X77" s="72">
        <f>(X76*0.25)</f>
        <v/>
      </c>
      <c r="Y77" s="72">
        <f>(Y76*0.25)</f>
        <v/>
      </c>
      <c r="Z77" s="72">
        <f>(Z76*0.25)</f>
        <v/>
      </c>
      <c r="AA77" s="72" t="n"/>
      <c r="AB77" s="72">
        <f>(AB76*0.25)</f>
        <v/>
      </c>
      <c r="AC77" s="72" t="n"/>
      <c r="AD77" s="72" t="n"/>
      <c r="AE77" s="72" t="n"/>
      <c r="AF77" s="72" t="n"/>
      <c r="AG77" s="72" t="n"/>
      <c r="AH77" s="72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50">
        <f>SUM(AC77:AH77)+SUM(AI77:AN77)</f>
        <v/>
      </c>
      <c r="AP77" s="145">
        <f>IF(AB77&lt;&gt;0,(AO77-AB77)/ABS(AB77),0)</f>
        <v/>
      </c>
    </row>
    <row r="78" ht="15.75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60" t="inlineStr">
        <is>
          <t>Memo</t>
        </is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60" t="inlineStr">
        <is>
          <t>Direct - Sales</t>
        </is>
      </c>
      <c r="B82" s="60" t="n">
        <v>53106.45</v>
      </c>
      <c r="C82" s="60" t="n">
        <v>64716.66</v>
      </c>
      <c r="D82" s="60" t="n">
        <v>74941.20000000001</v>
      </c>
      <c r="E82" s="60" t="n">
        <v>66027.36</v>
      </c>
      <c r="F82" s="60" t="n">
        <v>52199.18</v>
      </c>
      <c r="G82" s="60" t="n">
        <v>65858.77</v>
      </c>
      <c r="H82" s="60" t="n">
        <v>86466.70999999999</v>
      </c>
      <c r="I82" s="60" t="n">
        <v>54456.27</v>
      </c>
      <c r="J82" s="60" t="n">
        <v>62340.23</v>
      </c>
      <c r="K82" s="60" t="n">
        <v>62043.97</v>
      </c>
      <c r="L82" s="60" t="n">
        <v>77558.12</v>
      </c>
      <c r="M82" s="8" t="n"/>
      <c r="N82" s="8" t="n"/>
      <c r="O82" s="60">
        <f>-SUMIF('XSALT TB'!$T:$T,'SALT P&amp;L'!$A82,'XSALT TB'!C:C)</f>
        <v/>
      </c>
      <c r="P82" s="60">
        <f>-SUMIF('XSALT TB'!$T:$T,'SALT P&amp;L'!$A82,'XSALT TB'!D:D)</f>
        <v/>
      </c>
      <c r="Q82" s="60">
        <f>-SUMIF('XSALT TB'!$T:$T,'SALT P&amp;L'!$A82,'XSALT TB'!E:E)</f>
        <v/>
      </c>
      <c r="R82" s="60">
        <f>-SUMIF('XSALT TB'!$T:$T,'SALT P&amp;L'!$A82,'XSALT TB'!F:F)</f>
        <v/>
      </c>
      <c r="S82" s="60">
        <f>-SUMIF('XSALT TB'!$T:$T,'SALT P&amp;L'!$A82,'XSALT TB'!G:G)</f>
        <v/>
      </c>
      <c r="T82" s="60">
        <f>-SUMIF('XSALT TB'!$T:$T,'SALT P&amp;L'!$A82,'XSALT TB'!H:H)</f>
        <v/>
      </c>
      <c r="U82" s="60">
        <f>-SUMIF('XSALT TB'!$T:$T,'SALT P&amp;L'!$A82,'XSALT TB'!I:I)</f>
        <v/>
      </c>
      <c r="V82" s="60">
        <f>-SUMIF('XSALT TB'!$T:$T,'SALT P&amp;L'!$A82,'XSALT TB'!J:J)</f>
        <v/>
      </c>
      <c r="W82" s="60">
        <f>-SUMIF('XSALT TB'!$T:$T,'SALT P&amp;L'!$A82,'XSALT TB'!K:K)</f>
        <v/>
      </c>
      <c r="X82" s="60">
        <f>-SUMIF('XSALT TB'!$T:$T,'SALT P&amp;L'!$A82,'XSALT TB'!L:L)</f>
        <v/>
      </c>
      <c r="Y82" s="60">
        <f>-SUMIF('XSALT TB'!$T:$T,'SALT P&amp;L'!$A82,'XSALT TB'!M:M)</f>
        <v/>
      </c>
      <c r="Z82" s="60">
        <f>-SUMIF('XSALT TB'!$T:$T,'SALT P&amp;L'!$A82,'XSALT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148" t="n">
        <v>0</v>
      </c>
      <c r="AJ82" s="148" t="n">
        <v>0</v>
      </c>
      <c r="AK82" s="148" t="n">
        <v>0</v>
      </c>
      <c r="AL82" s="148" t="n">
        <v>0</v>
      </c>
      <c r="AM82" s="148" t="n">
        <v>0</v>
      </c>
      <c r="AN82" s="148" t="n">
        <v>0</v>
      </c>
      <c r="AO82" s="149">
        <f>SUM(AC82:AH82)+SUM(AI82:AN82)</f>
        <v/>
      </c>
      <c r="AP82" s="145">
        <f>IF(AB82&lt;&gt;0,(AO82-AB82)/ABS(AB82),0)</f>
        <v/>
      </c>
    </row>
    <row r="83">
      <c r="A83" s="34" t="inlineStr">
        <is>
          <t>Direct - Staff Cost</t>
        </is>
      </c>
      <c r="B83" s="18" t="n">
        <v>-33753.21</v>
      </c>
      <c r="C83" s="18" t="n">
        <v>-39082.28</v>
      </c>
      <c r="D83" s="18" t="n">
        <v>-33706.91</v>
      </c>
      <c r="E83" s="18" t="n">
        <v>-35515.60000000001</v>
      </c>
      <c r="F83" s="18" t="n">
        <v>-37014.82</v>
      </c>
      <c r="G83" s="18" t="n">
        <v>-36110.2</v>
      </c>
      <c r="H83" s="18" t="n">
        <v>-40331.65</v>
      </c>
      <c r="I83" s="18" t="n">
        <v>-40312.61000000001</v>
      </c>
      <c r="J83" s="18" t="n">
        <v>-44205.37999999999</v>
      </c>
      <c r="K83" s="18" t="n">
        <v>-47217.03999999999</v>
      </c>
      <c r="L83" s="18" t="n">
        <v>-41692.43</v>
      </c>
      <c r="M83" s="18" t="n"/>
      <c r="N83" s="8" t="n"/>
      <c r="O83" s="60">
        <f>-SUMIF('XSALT TB'!$T:$T,'SALT P&amp;L'!$A83,'XSALT TB'!C:C)</f>
        <v/>
      </c>
      <c r="P83" s="60">
        <f>-SUMIF('XSALT TB'!$T:$T,'SALT P&amp;L'!$A83,'XSALT TB'!D:D)</f>
        <v/>
      </c>
      <c r="Q83" s="60">
        <f>-SUMIF('XSALT TB'!$T:$T,'SALT P&amp;L'!$A83,'XSALT TB'!E:E)</f>
        <v/>
      </c>
      <c r="R83" s="60">
        <f>-SUMIF('XSALT TB'!$T:$T,'SALT P&amp;L'!$A83,'XSALT TB'!F:F)</f>
        <v/>
      </c>
      <c r="S83" s="60">
        <f>-SUMIF('XSALT TB'!$T:$T,'SALT P&amp;L'!$A83,'XSALT TB'!G:G)</f>
        <v/>
      </c>
      <c r="T83" s="60">
        <f>-SUMIF('XSALT TB'!$T:$T,'SALT P&amp;L'!$A83,'XSALT TB'!H:H)</f>
        <v/>
      </c>
      <c r="U83" s="60">
        <f>-SUMIF('XSALT TB'!$T:$T,'SALT P&amp;L'!$A83,'XSALT TB'!I:I)</f>
        <v/>
      </c>
      <c r="V83" s="60">
        <f>-SUMIF('XSALT TB'!$T:$T,'SALT P&amp;L'!$A83,'XSALT TB'!J:J)</f>
        <v/>
      </c>
      <c r="W83" s="60">
        <f>-SUMIF('XSALT TB'!$T:$T,'SALT P&amp;L'!$A83,'XSALT TB'!K:K)</f>
        <v/>
      </c>
      <c r="X83" s="60">
        <f>-SUMIF('XSALT TB'!$T:$T,'SALT P&amp;L'!$A83,'XSALT TB'!L:L)</f>
        <v/>
      </c>
      <c r="Y83" s="60">
        <f>-SUMIF('XSALT TB'!$T:$T,'SALT P&amp;L'!$A83,'XSALT TB'!M:M)</f>
        <v/>
      </c>
      <c r="Z83" s="60">
        <f>-SUMIF('XSALT TB'!$T:$T,'SALT P&amp;L'!$A83,'XSALT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48" t="n">
        <v>0</v>
      </c>
      <c r="AJ83" s="148" t="n">
        <v>0</v>
      </c>
      <c r="AK83" s="148" t="n">
        <v>0</v>
      </c>
      <c r="AL83" s="148" t="n">
        <v>0</v>
      </c>
      <c r="AM83" s="148" t="n">
        <v>0</v>
      </c>
      <c r="AN83" s="148" t="n">
        <v>0</v>
      </c>
      <c r="AO83" s="149">
        <f>SUM(AC83:AH83)+SUM(AI83:AN83)</f>
        <v/>
      </c>
      <c r="AP83" s="145">
        <f>IF(AB83&lt;&gt;0,(AO83-AB83)/ABS(AB83),0)</f>
        <v/>
      </c>
    </row>
    <row r="84">
      <c r="A84" s="60" t="inlineStr">
        <is>
          <t>Direct - Childcare Cost</t>
        </is>
      </c>
      <c r="B84" s="18" t="n">
        <v>-2159.36</v>
      </c>
      <c r="C84" s="18" t="n">
        <v>-3141.140000000001</v>
      </c>
      <c r="D84" s="18" t="n">
        <v>-2587.19</v>
      </c>
      <c r="E84" s="18" t="n">
        <v>-2671.159999999999</v>
      </c>
      <c r="F84" s="18" t="n">
        <v>-2710.57</v>
      </c>
      <c r="G84" s="18" t="n">
        <v>-2764.38</v>
      </c>
      <c r="H84" s="18" t="n">
        <v>-2795.31</v>
      </c>
      <c r="I84" s="18" t="n">
        <v>-2329.48</v>
      </c>
      <c r="J84" s="18" t="n">
        <v>-3075.97</v>
      </c>
      <c r="K84" s="18" t="n">
        <v>-3186.66</v>
      </c>
      <c r="L84" s="18" t="n">
        <v>-3046.5</v>
      </c>
      <c r="M84" s="18" t="n">
        <v>-2289.84</v>
      </c>
      <c r="N84" s="8" t="n"/>
      <c r="O84" s="60">
        <f>-SUMIF('XSALT TB'!$T:$T,'SALT P&amp;L'!$A84,'XSALT TB'!C:C)</f>
        <v/>
      </c>
      <c r="P84" s="60">
        <f>-SUMIF('XSALT TB'!$T:$T,'SALT P&amp;L'!$A84,'XSALT TB'!D:D)</f>
        <v/>
      </c>
      <c r="Q84" s="60">
        <f>-SUMIF('XSALT TB'!$T:$T,'SALT P&amp;L'!$A84,'XSALT TB'!E:E)</f>
        <v/>
      </c>
      <c r="R84" s="60">
        <f>-SUMIF('XSALT TB'!$T:$T,'SALT P&amp;L'!$A84,'XSALT TB'!F:F)</f>
        <v/>
      </c>
      <c r="S84" s="60">
        <f>-SUMIF('XSALT TB'!$T:$T,'SALT P&amp;L'!$A84,'XSALT TB'!G:G)</f>
        <v/>
      </c>
      <c r="T84" s="60">
        <f>-SUMIF('XSALT TB'!$T:$T,'SALT P&amp;L'!$A84,'XSALT TB'!H:H)</f>
        <v/>
      </c>
      <c r="U84" s="60">
        <f>-SUMIF('XSALT TB'!$T:$T,'SALT P&amp;L'!$A84,'XSALT TB'!I:I)</f>
        <v/>
      </c>
      <c r="V84" s="60">
        <f>-SUMIF('XSALT TB'!$T:$T,'SALT P&amp;L'!$A84,'XSALT TB'!J:J)</f>
        <v/>
      </c>
      <c r="W84" s="60">
        <f>-SUMIF('XSALT TB'!$T:$T,'SALT P&amp;L'!$A84,'XSALT TB'!K:K)</f>
        <v/>
      </c>
      <c r="X84" s="60">
        <f>-SUMIF('XSALT TB'!$T:$T,'SALT P&amp;L'!$A84,'XSALT TB'!L:L)</f>
        <v/>
      </c>
      <c r="Y84" s="60">
        <f>-SUMIF('XSALT TB'!$T:$T,'SALT P&amp;L'!$A84,'XSALT TB'!M:M)</f>
        <v/>
      </c>
      <c r="Z84" s="60">
        <f>-SUMIF('XSALT TB'!$T:$T,'SALT P&amp;L'!$A84,'XSALT TB'!N:N)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48" t="n">
        <v>0</v>
      </c>
      <c r="AJ84" s="148" t="n">
        <v>0</v>
      </c>
      <c r="AK84" s="148" t="n">
        <v>0</v>
      </c>
      <c r="AL84" s="148" t="n">
        <v>0</v>
      </c>
      <c r="AM84" s="148" t="n">
        <v>0</v>
      </c>
      <c r="AN84" s="148" t="n">
        <v>0</v>
      </c>
      <c r="AO84" s="149">
        <f>SUM(AC84:AH84)+SUM(AI84:AN84)</f>
        <v/>
      </c>
      <c r="AP84" s="145">
        <f>IF(AB84&lt;&gt;0,(AO84-AB84)/ABS(AB84),0)</f>
        <v/>
      </c>
    </row>
    <row r="85">
      <c r="A85" s="60" t="inlineStr">
        <is>
          <t>Direct - Premises &amp; Admin</t>
        </is>
      </c>
      <c r="B85" s="18" t="n">
        <v>-1970.299999999999</v>
      </c>
      <c r="C85" s="18" t="n">
        <v>-4780.01</v>
      </c>
      <c r="D85" s="18" t="n">
        <v>-6169.02</v>
      </c>
      <c r="E85" s="18" t="n">
        <v>-9893.169999999998</v>
      </c>
      <c r="F85" s="18" t="n">
        <v>-5336.360000000001</v>
      </c>
      <c r="G85" s="18" t="n">
        <v>-3012.63</v>
      </c>
      <c r="H85" s="18" t="n">
        <v>-3868.8</v>
      </c>
      <c r="I85" s="18" t="n">
        <v>-3136.53</v>
      </c>
      <c r="J85" s="18" t="n">
        <v>-3772.7</v>
      </c>
      <c r="K85" s="18" t="n">
        <v>-4272.42</v>
      </c>
      <c r="L85" s="18" t="n">
        <v>-3068.01</v>
      </c>
      <c r="M85" s="18" t="n">
        <v>-4871.1</v>
      </c>
      <c r="N85" s="8" t="n"/>
      <c r="O85" s="60">
        <f>-SUMIF('XSALT TB'!$T:$T,'SALT P&amp;L'!$A85,'XSALT TB'!C:C)</f>
        <v/>
      </c>
      <c r="P85" s="60">
        <f>-SUMIF('XSALT TB'!$T:$T,'SALT P&amp;L'!$A85,'XSALT TB'!D:D)</f>
        <v/>
      </c>
      <c r="Q85" s="60">
        <f>-SUMIF('XSALT TB'!$T:$T,'SALT P&amp;L'!$A85,'XSALT TB'!E:E)</f>
        <v/>
      </c>
      <c r="R85" s="60">
        <f>-SUMIF('XSALT TB'!$T:$T,'SALT P&amp;L'!$A85,'XSALT TB'!F:F)</f>
        <v/>
      </c>
      <c r="S85" s="60">
        <f>-SUMIF('XSALT TB'!$T:$T,'SALT P&amp;L'!$A85,'XSALT TB'!G:G)</f>
        <v/>
      </c>
      <c r="T85" s="60">
        <f>-SUMIF('XSALT TB'!$T:$T,'SALT P&amp;L'!$A85,'XSALT TB'!H:H)</f>
        <v/>
      </c>
      <c r="U85" s="60">
        <f>-SUMIF('XSALT TB'!$T:$T,'SALT P&amp;L'!$A85,'XSALT TB'!I:I)</f>
        <v/>
      </c>
      <c r="V85" s="60">
        <f>-SUMIF('XSALT TB'!$T:$T,'SALT P&amp;L'!$A85,'XSALT TB'!J:J)</f>
        <v/>
      </c>
      <c r="W85" s="60">
        <f>-SUMIF('XSALT TB'!$T:$T,'SALT P&amp;L'!$A85,'XSALT TB'!K:K)</f>
        <v/>
      </c>
      <c r="X85" s="60">
        <f>-SUMIF('XSALT TB'!$T:$T,'SALT P&amp;L'!$A85,'XSALT TB'!L:L)</f>
        <v/>
      </c>
      <c r="Y85" s="60">
        <f>-SUMIF('XSALT TB'!$T:$T,'SALT P&amp;L'!$A85,'XSALT TB'!M:M)</f>
        <v/>
      </c>
      <c r="Z85" s="60">
        <f>-SUMIF('XSALT TB'!$T:$T,'SALT P&amp;L'!$A85,'XSALT TB'!N:N)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148" t="n">
        <v>0</v>
      </c>
      <c r="AJ85" s="148" t="n">
        <v>0</v>
      </c>
      <c r="AK85" s="148" t="n">
        <v>0</v>
      </c>
      <c r="AL85" s="148" t="n">
        <v>0</v>
      </c>
      <c r="AM85" s="148" t="n">
        <v>0</v>
      </c>
      <c r="AN85" s="148" t="n">
        <v>0</v>
      </c>
      <c r="AO85" s="149">
        <f>SUM(AC85:AH85)+SUM(AI85:AN85)</f>
        <v/>
      </c>
      <c r="AP85" s="145">
        <f>IF(AB85&lt;&gt;0,(AO85-AB85)/ABS(AB85),0)</f>
        <v/>
      </c>
    </row>
    <row r="86">
      <c r="A86" s="60" t="inlineStr">
        <is>
          <t>In-Direct - Staff Cost</t>
        </is>
      </c>
      <c r="B86" s="18" t="n">
        <v>0</v>
      </c>
      <c r="C86" s="18" t="n">
        <v>0</v>
      </c>
      <c r="D86" s="18" t="n">
        <v>0</v>
      </c>
      <c r="E86" s="18" t="n">
        <v>0</v>
      </c>
      <c r="F86" s="18" t="n">
        <v>0</v>
      </c>
      <c r="G86" s="18" t="n">
        <v>0</v>
      </c>
      <c r="H86" s="18" t="n">
        <v>0</v>
      </c>
      <c r="I86" s="18" t="n">
        <v>0</v>
      </c>
      <c r="J86" s="18" t="n">
        <v>0</v>
      </c>
      <c r="K86" s="18" t="n">
        <v>0</v>
      </c>
      <c r="L86" s="18" t="n">
        <v>0</v>
      </c>
      <c r="M86" s="18" t="n">
        <v>0</v>
      </c>
      <c r="N86" s="8" t="n"/>
      <c r="O86" s="60">
        <f>-SUMIF('XSALT TB'!$T:$T,'SALT P&amp;L'!$A86,'XSALT TB'!C:C)</f>
        <v/>
      </c>
      <c r="P86" s="60">
        <f>-SUMIF('XSALT TB'!$T:$T,'SALT P&amp;L'!$A86,'XSALT TB'!D:D)</f>
        <v/>
      </c>
      <c r="Q86" s="60">
        <f>-SUMIF('XSALT TB'!$T:$T,'SALT P&amp;L'!$A86,'XSALT TB'!E:E)</f>
        <v/>
      </c>
      <c r="R86" s="60">
        <f>-SUMIF('XSALT TB'!$T:$T,'SALT P&amp;L'!$A86,'XSALT TB'!F:F)</f>
        <v/>
      </c>
      <c r="S86" s="60">
        <f>-SUMIF('XSALT TB'!$T:$T,'SALT P&amp;L'!$A86,'XSALT TB'!G:G)</f>
        <v/>
      </c>
      <c r="T86" s="60">
        <f>-SUMIF('XSALT TB'!$T:$T,'SALT P&amp;L'!$A86,'XSALT TB'!H:H)</f>
        <v/>
      </c>
      <c r="U86" s="60">
        <f>-SUMIF('XSALT TB'!$T:$T,'SALT P&amp;L'!$A86,'XSALT TB'!I:I)</f>
        <v/>
      </c>
      <c r="V86" s="60">
        <f>-SUMIF('XSALT TB'!$T:$T,'SALT P&amp;L'!$A86,'XSALT TB'!J:J)</f>
        <v/>
      </c>
      <c r="W86" s="60">
        <f>-SUMIF('XSALT TB'!$T:$T,'SALT P&amp;L'!$A86,'XSALT TB'!K:K)</f>
        <v/>
      </c>
      <c r="X86" s="60">
        <f>-SUMIF('XSALT TB'!$T:$T,'SALT P&amp;L'!$A86,'XSALT TB'!L:L)</f>
        <v/>
      </c>
      <c r="Y86" s="60">
        <f>-SUMIF('XSALT TB'!$T:$T,'SALT P&amp;L'!$A86,'XSALT TB'!M:M)</f>
        <v/>
      </c>
      <c r="Z86" s="60">
        <f>-SUMIF('XSALT TB'!$T:$T,'SALT P&amp;L'!$A86,'XSALT TB'!N:N)</f>
        <v/>
      </c>
      <c r="AA86" s="8" t="n"/>
      <c r="AB86" s="8" t="n"/>
      <c r="AC86" s="8" t="n"/>
      <c r="AD86" s="8" t="n"/>
      <c r="AE86" s="8" t="n"/>
      <c r="AF86" s="8" t="n"/>
      <c r="AG86" s="8" t="n"/>
      <c r="AH86" s="8" t="n"/>
      <c r="AI86" s="148" t="n">
        <v>0</v>
      </c>
      <c r="AJ86" s="148" t="n">
        <v>0</v>
      </c>
      <c r="AK86" s="148" t="n">
        <v>0</v>
      </c>
      <c r="AL86" s="148" t="n">
        <v>0</v>
      </c>
      <c r="AM86" s="148" t="n">
        <v>0</v>
      </c>
      <c r="AN86" s="148" t="n">
        <v>0</v>
      </c>
      <c r="AO86" s="149">
        <f>SUM(AC86:AH86)+SUM(AI86:AN86)</f>
        <v/>
      </c>
      <c r="AP86" s="145">
        <f>IF(AB86&lt;&gt;0,(AO86-AB86)/ABS(AB86),0)</f>
        <v/>
      </c>
    </row>
    <row r="87">
      <c r="A87" s="60" t="inlineStr">
        <is>
          <t>In-Direct - Overheads</t>
        </is>
      </c>
      <c r="B87" s="18" t="n">
        <v>-2101.28</v>
      </c>
      <c r="C87" s="18" t="n">
        <v>-258.61</v>
      </c>
      <c r="D87" s="18" t="n">
        <v>-229.66</v>
      </c>
      <c r="E87" s="18" t="n">
        <v>-1347.12</v>
      </c>
      <c r="F87" s="18" t="n">
        <v>-211.87</v>
      </c>
      <c r="G87" s="18" t="n">
        <v>-436.28</v>
      </c>
      <c r="H87" s="18" t="n">
        <v>-647.39</v>
      </c>
      <c r="I87" s="18" t="n">
        <v>-261.82</v>
      </c>
      <c r="J87" s="18" t="n">
        <v>-545.28</v>
      </c>
      <c r="K87" s="18" t="n">
        <v>-481.8</v>
      </c>
      <c r="L87" s="18" t="n">
        <v>-320.14</v>
      </c>
      <c r="M87" s="18" t="n">
        <v>-1656.15</v>
      </c>
      <c r="N87" s="8" t="n"/>
      <c r="O87" s="60">
        <f>-SUMIF('XSALT TB'!$T:$T,'SALT P&amp;L'!$A87,'XSALT TB'!C:C)</f>
        <v/>
      </c>
      <c r="P87" s="60">
        <f>-SUMIF('XSALT TB'!$T:$T,'SALT P&amp;L'!$A87,'XSALT TB'!D:D)</f>
        <v/>
      </c>
      <c r="Q87" s="60">
        <f>-SUMIF('XSALT TB'!$T:$T,'SALT P&amp;L'!$A87,'XSALT TB'!E:E)</f>
        <v/>
      </c>
      <c r="R87" s="60">
        <f>-SUMIF('XSALT TB'!$T:$T,'SALT P&amp;L'!$A87,'XSALT TB'!F:F)</f>
        <v/>
      </c>
      <c r="S87" s="60">
        <f>-SUMIF('XSALT TB'!$T:$T,'SALT P&amp;L'!$A87,'XSALT TB'!G:G)</f>
        <v/>
      </c>
      <c r="T87" s="60">
        <f>-SUMIF('XSALT TB'!$T:$T,'SALT P&amp;L'!$A87,'XSALT TB'!H:H)</f>
        <v/>
      </c>
      <c r="U87" s="60">
        <f>-SUMIF('XSALT TB'!$T:$T,'SALT P&amp;L'!$A87,'XSALT TB'!I:I)</f>
        <v/>
      </c>
      <c r="V87" s="60">
        <f>-SUMIF('XSALT TB'!$T:$T,'SALT P&amp;L'!$A87,'XSALT TB'!J:J)</f>
        <v/>
      </c>
      <c r="W87" s="60">
        <f>-SUMIF('XSALT TB'!$T:$T,'SALT P&amp;L'!$A87,'XSALT TB'!K:K)</f>
        <v/>
      </c>
      <c r="X87" s="60">
        <f>-SUMIF('XSALT TB'!$T:$T,'SALT P&amp;L'!$A87,'XSALT TB'!L:L)</f>
        <v/>
      </c>
      <c r="Y87" s="60">
        <f>-SUMIF('XSALT TB'!$T:$T,'SALT P&amp;L'!$A87,'XSALT TB'!M:M)</f>
        <v/>
      </c>
      <c r="Z87" s="60">
        <f>-SUMIF('XSALT TB'!$T:$T,'SALT P&amp;L'!$A87,'XSALT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48" t="n">
        <v>0</v>
      </c>
      <c r="AJ87" s="148" t="n">
        <v>0</v>
      </c>
      <c r="AK87" s="148" t="n">
        <v>0</v>
      </c>
      <c r="AL87" s="148" t="n">
        <v>0</v>
      </c>
      <c r="AM87" s="148" t="n">
        <v>0</v>
      </c>
      <c r="AN87" s="148" t="n">
        <v>0</v>
      </c>
      <c r="AO87" s="149">
        <f>SUM(AC87:AH87)+SUM(AI87:AN87)</f>
        <v/>
      </c>
      <c r="AP87" s="145">
        <f>IF(AB87&lt;&gt;0,(AO87-AB87)/ABS(AB87),0)</f>
        <v/>
      </c>
    </row>
    <row r="88" ht="15.75" customHeight="1">
      <c r="A88" s="8" t="n"/>
      <c r="B88" s="67" t="n">
        <v>13122.3</v>
      </c>
      <c r="C88" s="67" t="n">
        <v>17454.62</v>
      </c>
      <c r="D88" s="67" t="n">
        <v>32248.42000000001</v>
      </c>
      <c r="E88" s="67" t="n">
        <v>16600.31</v>
      </c>
      <c r="F88" s="67" t="n">
        <v>6925.559999999999</v>
      </c>
      <c r="G88" s="67" t="n">
        <v>23535.28</v>
      </c>
      <c r="H88" s="67" t="n">
        <v>38823.55999999999</v>
      </c>
      <c r="I88" s="67" t="n">
        <v>8415.829999999996</v>
      </c>
      <c r="J88" s="67" t="n">
        <v>10740.9</v>
      </c>
      <c r="K88" s="67" t="n">
        <v>6886.050000000007</v>
      </c>
      <c r="L88" s="67" t="n">
        <v>29431.03999999999</v>
      </c>
      <c r="M88" s="67" t="n">
        <v>-8817.09</v>
      </c>
      <c r="N88" s="8" t="n"/>
      <c r="O88" s="64">
        <f>SUM(O82:O87)</f>
        <v/>
      </c>
      <c r="P88" s="64">
        <f>SUM(P82:P87)</f>
        <v/>
      </c>
      <c r="Q88" s="64">
        <f>SUM(Q82:Q87)</f>
        <v/>
      </c>
      <c r="R88" s="64">
        <f>SUM(R82:R87)</f>
        <v/>
      </c>
      <c r="S88" s="64">
        <f>SUM(S82:S87)</f>
        <v/>
      </c>
      <c r="T88" s="64">
        <f>SUM(T82:T87)</f>
        <v/>
      </c>
      <c r="U88" s="64">
        <f>SUM(U82:U87)</f>
        <v/>
      </c>
      <c r="V88" s="64">
        <f>SUM(V82:V87)</f>
        <v/>
      </c>
      <c r="W88" s="64">
        <f>SUM(W82:W87)</f>
        <v/>
      </c>
      <c r="X88" s="64">
        <f>SUM(X82:X87)</f>
        <v/>
      </c>
      <c r="Y88" s="64">
        <f>SUM(Y82:Y87)</f>
        <v/>
      </c>
      <c r="Z88" s="64">
        <f>SUM(Z82:Z87)</f>
        <v/>
      </c>
      <c r="AA88" s="8" t="n"/>
      <c r="AB88" s="8" t="n"/>
      <c r="AC88" s="64" t="n"/>
      <c r="AD88" s="64" t="n"/>
      <c r="AE88" s="64" t="n"/>
      <c r="AF88" s="64" t="n"/>
      <c r="AG88" s="64" t="n"/>
      <c r="AH88" s="64" t="n"/>
      <c r="AI88" s="134" t="n">
        <v>0</v>
      </c>
      <c r="AJ88" s="134" t="n">
        <v>0</v>
      </c>
      <c r="AK88" s="134" t="n">
        <v>0</v>
      </c>
      <c r="AL88" s="134" t="n">
        <v>0</v>
      </c>
      <c r="AM88" s="134" t="n">
        <v>0</v>
      </c>
      <c r="AN88" s="134" t="n">
        <v>0</v>
      </c>
      <c r="AO88" s="150">
        <f>SUM(AC88:AH88)+SUM(AI88:AN88)</f>
        <v/>
      </c>
      <c r="AP88" s="145">
        <f>IF(AB88&lt;&gt;0,(AO88-AB88)/ABS(AB88),0)</f>
        <v/>
      </c>
    </row>
    <row r="89" ht="15.75" customHeight="1">
      <c r="A89" s="8" t="n"/>
      <c r="B89" s="18" t="n">
        <v>0</v>
      </c>
      <c r="C89" s="18" t="n">
        <v>0</v>
      </c>
      <c r="D89" s="18" t="n">
        <v>0</v>
      </c>
      <c r="E89" s="18" t="n">
        <v>0</v>
      </c>
      <c r="F89" s="18" t="n">
        <v>0</v>
      </c>
      <c r="G89" s="18" t="n">
        <v>0</v>
      </c>
      <c r="H89" s="18" t="n">
        <v>0</v>
      </c>
      <c r="I89" s="18" t="n">
        <v>0</v>
      </c>
      <c r="J89" s="18" t="n">
        <v>0</v>
      </c>
      <c r="K89" s="18" t="n">
        <v>0</v>
      </c>
      <c r="L89" s="18" t="n">
        <v>0</v>
      </c>
      <c r="M89" s="18" t="n">
        <v>0</v>
      </c>
      <c r="N89" s="8" t="n"/>
      <c r="O89" s="60">
        <f>+O70-O88</f>
        <v/>
      </c>
      <c r="P89" s="60">
        <f>+P70-P88</f>
        <v/>
      </c>
      <c r="Q89" s="60">
        <f>+Q70-Q88</f>
        <v/>
      </c>
      <c r="R89" s="60">
        <f>+R70-R88</f>
        <v/>
      </c>
      <c r="S89" s="60">
        <f>+S70-S88</f>
        <v/>
      </c>
      <c r="T89" s="60">
        <f>+T70-T88</f>
        <v/>
      </c>
      <c r="U89" s="60">
        <f>+U70-U88</f>
        <v/>
      </c>
      <c r="V89" s="60">
        <f>+V70-V88</f>
        <v/>
      </c>
      <c r="W89" s="60">
        <f>+W70-W88</f>
        <v/>
      </c>
      <c r="X89" s="60">
        <f>+X70-X88</f>
        <v/>
      </c>
      <c r="Y89" s="60">
        <f>+Y70-Y88</f>
        <v/>
      </c>
      <c r="Z89" s="60">
        <f>+Z70-Z88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48" t="n">
        <v>0</v>
      </c>
      <c r="AJ89" s="148" t="n">
        <v>0</v>
      </c>
      <c r="AK89" s="148" t="n">
        <v>0</v>
      </c>
      <c r="AL89" s="148" t="n">
        <v>0</v>
      </c>
      <c r="AM89" s="148" t="n">
        <v>0</v>
      </c>
      <c r="AN89" s="148" t="n">
        <v>0</v>
      </c>
      <c r="AO89" s="149">
        <f>SUM(AC89:AH89)+SUM(AI89:AN89)</f>
        <v/>
      </c>
      <c r="AP89" s="145">
        <f>IF(AB89&lt;&gt;0,(AO89-AB89)/ABS(AB89),0)</f>
        <v/>
      </c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>
        <v>-1807.499999999989</v>
      </c>
      <c r="C91" s="18" t="n">
        <v>-7.500000000003638</v>
      </c>
      <c r="D91" s="18" t="n">
        <v>-7.500000000007276</v>
      </c>
      <c r="E91" s="18" t="n">
        <v>-1092.300000000003</v>
      </c>
      <c r="F91" s="18" t="n">
        <v>-7.499999999999091</v>
      </c>
      <c r="G91" s="18" t="n">
        <v>-186.9000000000015</v>
      </c>
      <c r="H91" s="18" t="n">
        <v>-50.25</v>
      </c>
      <c r="I91" s="18" t="n">
        <v>-50.25000000000546</v>
      </c>
      <c r="J91" s="18" t="n">
        <v>-50.24999999999272</v>
      </c>
      <c r="K91" s="18" t="n">
        <v>-50.24999999999454</v>
      </c>
      <c r="L91" s="18" t="n">
        <v>-97.24999999999272</v>
      </c>
      <c r="M91" s="18" t="n">
        <v>-63150.15000000001</v>
      </c>
      <c r="N91" s="8" t="n"/>
      <c r="O91" s="60">
        <f>O88+O92</f>
        <v/>
      </c>
      <c r="P91" s="60">
        <f>P88+P92</f>
        <v/>
      </c>
      <c r="Q91" s="60">
        <f>Q88+Q92</f>
        <v/>
      </c>
      <c r="R91" s="60">
        <f>R88+R92</f>
        <v/>
      </c>
      <c r="S91" s="60">
        <f>S88+S92</f>
        <v/>
      </c>
      <c r="T91" s="60">
        <f>T88+T92</f>
        <v/>
      </c>
      <c r="U91" s="60">
        <f>U88+U92</f>
        <v/>
      </c>
      <c r="V91" s="60">
        <f>V88+V92</f>
        <v/>
      </c>
      <c r="W91" s="60">
        <f>W88+W92</f>
        <v/>
      </c>
      <c r="X91" s="60">
        <f>X88+X92</f>
        <v/>
      </c>
      <c r="Y91" s="60">
        <f>Y88+Y92</f>
        <v/>
      </c>
      <c r="Z91" s="60">
        <f>Z88+Z92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48" t="n">
        <v>0</v>
      </c>
      <c r="AJ91" s="148" t="n">
        <v>0</v>
      </c>
      <c r="AK91" s="148" t="n">
        <v>0</v>
      </c>
      <c r="AL91" s="148" t="n">
        <v>0</v>
      </c>
      <c r="AM91" s="148" t="n">
        <v>0</v>
      </c>
      <c r="AN91" s="148" t="n">
        <v>0</v>
      </c>
      <c r="AO91" s="149">
        <f>SUM(AC91:AH91)+SUM(AI91:AN91)</f>
        <v/>
      </c>
      <c r="AP91" s="145">
        <f>IF(AB91&lt;&gt;0,(AO91-AB91)/ABS(AB91),0)</f>
        <v/>
      </c>
    </row>
    <row r="92">
      <c r="A92" s="8" t="n"/>
      <c r="B92" s="18" t="n">
        <v>-14929.79999999999</v>
      </c>
      <c r="C92" s="18" t="n">
        <v>-17462.12000000001</v>
      </c>
      <c r="D92" s="18" t="n">
        <v>-32255.92000000002</v>
      </c>
      <c r="E92" s="18" t="n">
        <v>-17692.61</v>
      </c>
      <c r="F92" s="18" t="n">
        <v>-6933.059999999999</v>
      </c>
      <c r="G92" s="18" t="n">
        <v>-23722.18</v>
      </c>
      <c r="H92" s="18" t="n">
        <v>-38873.80999999999</v>
      </c>
      <c r="I92" s="18" t="n">
        <v>-8466.080000000002</v>
      </c>
      <c r="J92" s="18" t="n">
        <v>-10791.15</v>
      </c>
      <c r="K92" s="18" t="n">
        <v>-6936.300000000002</v>
      </c>
      <c r="L92" s="18" t="n">
        <v>-29528.28999999999</v>
      </c>
      <c r="M92" s="18" t="n">
        <v>-54333.06000000001</v>
      </c>
      <c r="N92" s="8" t="n"/>
      <c r="O92" s="60">
        <f>SUM('XSALT TB'!C2:C36)</f>
        <v/>
      </c>
      <c r="P92" s="60">
        <f>SUM('XSALT TB'!D2:D36)</f>
        <v/>
      </c>
      <c r="Q92" s="60">
        <f>SUM('XSALT TB'!E2:E36)</f>
        <v/>
      </c>
      <c r="R92" s="60">
        <f>SUM('XSALT TB'!F2:F36)</f>
        <v/>
      </c>
      <c r="S92" s="60">
        <f>SUM('XSALT TB'!G2:G36)</f>
        <v/>
      </c>
      <c r="T92" s="60">
        <f>SUM('XSALT TB'!H2:H36)</f>
        <v/>
      </c>
      <c r="U92" s="60">
        <f>SUM('XSALT TB'!I2:I36)</f>
        <v/>
      </c>
      <c r="V92" s="60">
        <f>SUM('XSALT TB'!J2:J36)</f>
        <v/>
      </c>
      <c r="W92" s="60">
        <f>SUM('XSALT TB'!K2:K36)</f>
        <v/>
      </c>
      <c r="X92" s="60">
        <f>SUM('XSALT TB'!L2:L36)</f>
        <v/>
      </c>
      <c r="Y92" s="60">
        <f>SUM('XSALT TB'!M2:M36)</f>
        <v/>
      </c>
      <c r="Z92" s="60">
        <f>SUM('XSALT TB'!N2:N36)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48" t="n">
        <v>0</v>
      </c>
      <c r="AJ92" s="148" t="n">
        <v>0</v>
      </c>
      <c r="AK92" s="148" t="n">
        <v>0</v>
      </c>
      <c r="AL92" s="148" t="n">
        <v>0</v>
      </c>
      <c r="AM92" s="148" t="n">
        <v>0</v>
      </c>
      <c r="AN92" s="148" t="n">
        <v>0</v>
      </c>
      <c r="AO92" s="149">
        <f>SUM(AC92:AH92)+SUM(AI92:AN92)</f>
        <v/>
      </c>
      <c r="AP92" s="145">
        <f>IF(AB92&lt;&gt;0,(AO92-AB92)/ABS(AB92),0)</f>
        <v/>
      </c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</sheetData>
  <mergeCells count="1">
    <mergeCell ref="AI1:AQ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Smart 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35136.66</v>
      </c>
      <c r="C8" s="35" t="n">
        <v>31904.12</v>
      </c>
      <c r="D8" s="35" t="n">
        <v>37428.88</v>
      </c>
      <c r="E8" s="35" t="n">
        <v>44109.71</v>
      </c>
      <c r="F8" s="35" t="n">
        <v>35175.74</v>
      </c>
      <c r="G8" s="35" t="n">
        <v>35630.7</v>
      </c>
      <c r="H8" s="35" t="n">
        <v>48545.23</v>
      </c>
      <c r="I8" s="35" t="n">
        <v>36978.69</v>
      </c>
      <c r="J8" s="35" t="n">
        <v>23539.81</v>
      </c>
      <c r="K8" s="35" t="n">
        <v>21638.64</v>
      </c>
      <c r="L8" s="35" t="n">
        <v>21476.5</v>
      </c>
      <c r="M8" s="35" t="n">
        <v>29823.68</v>
      </c>
      <c r="N8" s="36">
        <f>SUM(B8:M8)</f>
        <v/>
      </c>
      <c r="O8" s="37" t="n">
        <v>27048.5</v>
      </c>
      <c r="P8" s="37" t="n">
        <v>29446.3</v>
      </c>
      <c r="Q8" s="37" t="n">
        <v>33209</v>
      </c>
      <c r="R8" s="37" t="n">
        <v>39710.4</v>
      </c>
      <c r="S8" s="37" t="n">
        <v>34102.1</v>
      </c>
      <c r="T8" s="37" t="n">
        <v>39117.5</v>
      </c>
      <c r="U8" s="37" t="n">
        <v>48092.35000000001</v>
      </c>
      <c r="V8" s="38" t="n">
        <v>41496.99</v>
      </c>
      <c r="W8" s="38" t="n">
        <v>28979</v>
      </c>
      <c r="X8" s="38" t="n">
        <v>26354</v>
      </c>
      <c r="Y8" s="38" t="n">
        <v>25152</v>
      </c>
      <c r="Z8" s="38" t="n">
        <v>34880</v>
      </c>
      <c r="AA8" s="36">
        <f>SUM(O8:U8)</f>
        <v/>
      </c>
      <c r="AB8" s="36">
        <f>SUM(O8:Z8)</f>
        <v/>
      </c>
      <c r="AC8" s="38" t="n">
        <v>51523.8</v>
      </c>
      <c r="AD8" s="38" t="n">
        <v>47675.55</v>
      </c>
      <c r="AE8" s="38" t="n">
        <v>57134.76</v>
      </c>
      <c r="AF8" s="38" t="n">
        <v>48560.52</v>
      </c>
      <c r="AG8" s="38" t="n">
        <v>49676.32</v>
      </c>
      <c r="AH8" s="38" t="n">
        <v>51026.35</v>
      </c>
      <c r="AI8" s="117" t="n">
        <v>51026.35</v>
      </c>
      <c r="AJ8" s="118" t="n">
        <v>51026.35</v>
      </c>
      <c r="AK8" s="118" t="n">
        <v>51026.35</v>
      </c>
      <c r="AL8" s="118" t="n">
        <v>51026.35</v>
      </c>
      <c r="AM8" s="119" t="n">
        <v>51026.35</v>
      </c>
      <c r="AN8" s="117" t="n">
        <v>51026.35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13402.32</v>
      </c>
      <c r="C9" s="35" t="n">
        <v>26714.04</v>
      </c>
      <c r="D9" s="35" t="n">
        <v>26714.04</v>
      </c>
      <c r="E9" s="35" t="n">
        <v>8615.389999999999</v>
      </c>
      <c r="F9" s="35" t="n">
        <v>8615.389999999999</v>
      </c>
      <c r="G9" s="35" t="n">
        <v>22603.64</v>
      </c>
      <c r="H9" s="35" t="n">
        <v>22603.63</v>
      </c>
      <c r="I9" s="35" t="n">
        <v>0</v>
      </c>
      <c r="J9" s="35" t="n">
        <v>9695.389999999999</v>
      </c>
      <c r="K9" s="35" t="n">
        <v>9695.379999999999</v>
      </c>
      <c r="L9" s="35" t="n">
        <v>23858.64</v>
      </c>
      <c r="M9" s="35" t="n">
        <v>23858.64</v>
      </c>
      <c r="N9" s="36">
        <f>SUM(B9:M9)</f>
        <v/>
      </c>
      <c r="O9" s="37" t="n">
        <v>11734.8</v>
      </c>
      <c r="P9" s="37" t="n">
        <v>29745.6</v>
      </c>
      <c r="Q9" s="37" t="n">
        <v>32438.4</v>
      </c>
      <c r="R9" s="37" t="n">
        <v>26264.3</v>
      </c>
      <c r="S9" s="37" t="n">
        <v>24020.2</v>
      </c>
      <c r="T9" s="37" t="n">
        <v>23531.2</v>
      </c>
      <c r="U9" s="37" t="n">
        <v>26524.66</v>
      </c>
      <c r="V9" s="38" t="n"/>
      <c r="W9" s="38" t="n">
        <v>24059</v>
      </c>
      <c r="X9" s="38" t="n">
        <v>27704</v>
      </c>
      <c r="Y9" s="38" t="n">
        <v>26479</v>
      </c>
      <c r="Z9" s="38" t="n">
        <v>11439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193.25</v>
      </c>
      <c r="C10" s="35" t="n">
        <v>100</v>
      </c>
      <c r="D10" s="35" t="n">
        <v>240</v>
      </c>
      <c r="E10" s="35" t="n">
        <v>150</v>
      </c>
      <c r="F10" s="35" t="n">
        <v>150</v>
      </c>
      <c r="G10" s="35" t="n">
        <v>180</v>
      </c>
      <c r="H10" s="35" t="n">
        <v>722.6900000000001</v>
      </c>
      <c r="I10" s="35" t="n">
        <v>3954.91</v>
      </c>
      <c r="J10" s="35" t="n">
        <v>0</v>
      </c>
      <c r="K10" s="35" t="n">
        <v>30</v>
      </c>
      <c r="L10" s="35" t="n">
        <v>0</v>
      </c>
      <c r="M10" s="35" t="n">
        <v>90</v>
      </c>
      <c r="N10" s="36">
        <f>SUM(B10:M10)</f>
        <v/>
      </c>
      <c r="O10" s="37" t="n">
        <v>59.5</v>
      </c>
      <c r="P10" s="37" t="n">
        <v>0</v>
      </c>
      <c r="Q10" s="37" t="n">
        <v>30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48732.23</v>
      </c>
      <c r="C11" s="42" t="n">
        <v>58718.16</v>
      </c>
      <c r="D11" s="42" t="n">
        <v>64382.92</v>
      </c>
      <c r="E11" s="42" t="n">
        <v>52875.1</v>
      </c>
      <c r="F11" s="42" t="n">
        <v>43941.13</v>
      </c>
      <c r="G11" s="42" t="n">
        <v>58414.34</v>
      </c>
      <c r="H11" s="42" t="n">
        <v>71871.55</v>
      </c>
      <c r="I11" s="42" t="n">
        <v>40933.60000000001</v>
      </c>
      <c r="J11" s="42" t="n">
        <v>33235.2</v>
      </c>
      <c r="K11" s="42" t="n">
        <v>31364.02</v>
      </c>
      <c r="L11" s="42" t="n">
        <v>45335.14</v>
      </c>
      <c r="M11" s="42" t="n">
        <v>53772.32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79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30287.19</v>
      </c>
      <c r="C16" s="35" t="n">
        <v>28161.92</v>
      </c>
      <c r="D16" s="35" t="n">
        <v>25110.5</v>
      </c>
      <c r="E16" s="35" t="n">
        <v>28269.59</v>
      </c>
      <c r="F16" s="35" t="n">
        <v>32973.91</v>
      </c>
      <c r="G16" s="35" t="n">
        <v>26527.48</v>
      </c>
      <c r="H16" s="35" t="n">
        <v>26525.69</v>
      </c>
      <c r="I16" s="35" t="n">
        <v>24730.92</v>
      </c>
      <c r="J16" s="35" t="n">
        <v>23058.19</v>
      </c>
      <c r="K16" s="35" t="n">
        <v>26098.63</v>
      </c>
      <c r="L16" s="35" t="n">
        <v>25153.72</v>
      </c>
      <c r="M16" s="35" t="n">
        <v>28256.28</v>
      </c>
      <c r="N16" s="36">
        <f>SUM(B16:M16)</f>
        <v/>
      </c>
      <c r="O16" s="37" t="n">
        <v>29983.84</v>
      </c>
      <c r="P16" s="37" t="n">
        <v>29098.5</v>
      </c>
      <c r="Q16" s="37" t="n">
        <v>32556.97</v>
      </c>
      <c r="R16" s="37" t="n">
        <v>34842.43</v>
      </c>
      <c r="S16" s="37" t="n">
        <v>34444.71</v>
      </c>
      <c r="T16" s="37" t="n">
        <v>37619.83</v>
      </c>
      <c r="U16" s="37" t="n">
        <v>36454.3</v>
      </c>
      <c r="V16" s="38" t="n">
        <v>36454.3</v>
      </c>
      <c r="W16" s="38" t="n">
        <v>36454.3</v>
      </c>
      <c r="X16" s="38" t="n">
        <v>36454.3</v>
      </c>
      <c r="Y16" s="38" t="n">
        <v>36454.3</v>
      </c>
      <c r="Z16" s="38" t="n">
        <v>36454.3</v>
      </c>
      <c r="AA16" s="36">
        <f>SUM(O16:U16)</f>
        <v/>
      </c>
      <c r="AB16" s="36">
        <f>SUM(O16:Z16)</f>
        <v/>
      </c>
      <c r="AC16" s="38" t="n">
        <v>36454.3</v>
      </c>
      <c r="AD16" s="38" t="n">
        <v>36454.3</v>
      </c>
      <c r="AE16" s="38" t="n">
        <v>36454.3</v>
      </c>
      <c r="AF16" s="38" t="n">
        <v>36454.3</v>
      </c>
      <c r="AG16" s="38" t="n">
        <v>36454.3</v>
      </c>
      <c r="AH16" s="38" t="n">
        <v>36454.3</v>
      </c>
      <c r="AI16" s="117" t="n">
        <v>36454.3</v>
      </c>
      <c r="AJ16" s="118" t="n">
        <v>36454.3</v>
      </c>
      <c r="AK16" s="118" t="n">
        <v>36454.3</v>
      </c>
      <c r="AL16" s="118" t="n">
        <v>36454.3</v>
      </c>
      <c r="AM16" s="119" t="n">
        <v>36454.3</v>
      </c>
      <c r="AN16" s="117" t="n">
        <v>36454.3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2317.34</v>
      </c>
      <c r="C17" s="35" t="n">
        <v>2017.92</v>
      </c>
      <c r="D17" s="35" t="n">
        <v>1979.38</v>
      </c>
      <c r="E17" s="35" t="n">
        <v>2908.34</v>
      </c>
      <c r="F17" s="35" t="n">
        <v>3305.33</v>
      </c>
      <c r="G17" s="35" t="n">
        <v>2920.15</v>
      </c>
      <c r="H17" s="35" t="n">
        <v>3181.89</v>
      </c>
      <c r="I17" s="35" t="n">
        <v>2824.01</v>
      </c>
      <c r="J17" s="35" t="n">
        <v>2565.3</v>
      </c>
      <c r="K17" s="35" t="n">
        <v>2981.29</v>
      </c>
      <c r="L17" s="35" t="n">
        <v>2854.93</v>
      </c>
      <c r="M17" s="35" t="n">
        <v>3162.72</v>
      </c>
      <c r="N17" s="36">
        <f>SUM(B17:M17)</f>
        <v/>
      </c>
      <c r="O17" s="37" t="n">
        <v>3426.49</v>
      </c>
      <c r="P17" s="37" t="n">
        <v>3529.84</v>
      </c>
      <c r="Q17" s="37" t="n">
        <v>3556.72</v>
      </c>
      <c r="R17" s="37" t="n">
        <v>3836.75</v>
      </c>
      <c r="S17" s="37" t="n">
        <v>3836.73</v>
      </c>
      <c r="T17" s="37" t="n">
        <v>4158.21</v>
      </c>
      <c r="U17" s="37" t="n">
        <v>4331.47</v>
      </c>
      <c r="V17" s="38" t="n">
        <v>4331.47</v>
      </c>
      <c r="W17" s="38" t="n">
        <v>4331.47</v>
      </c>
      <c r="X17" s="38" t="n">
        <v>4331.47</v>
      </c>
      <c r="Y17" s="38" t="n">
        <v>4331.47</v>
      </c>
      <c r="Z17" s="38" t="n">
        <v>4331.47</v>
      </c>
      <c r="AA17" s="36">
        <f>SUM(O17:U17)</f>
        <v/>
      </c>
      <c r="AB17" s="36">
        <f>SUM(O17:Z17)</f>
        <v/>
      </c>
      <c r="AC17" s="38" t="n">
        <v>4331.47</v>
      </c>
      <c r="AD17" s="38" t="n">
        <v>4331.47</v>
      </c>
      <c r="AE17" s="38" t="n">
        <v>4331.47</v>
      </c>
      <c r="AF17" s="38" t="n">
        <v>4331.47</v>
      </c>
      <c r="AG17" s="38" t="n">
        <v>4331.47</v>
      </c>
      <c r="AH17" s="38" t="n">
        <v>4331.47</v>
      </c>
      <c r="AI17" s="117" t="n">
        <v>4331.47</v>
      </c>
      <c r="AJ17" s="118" t="n">
        <v>4331.47</v>
      </c>
      <c r="AK17" s="118" t="n">
        <v>4331.47</v>
      </c>
      <c r="AL17" s="118" t="n">
        <v>4331.47</v>
      </c>
      <c r="AM17" s="119" t="n">
        <v>4331.47</v>
      </c>
      <c r="AN17" s="117" t="n">
        <v>4331.47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544.37</v>
      </c>
      <c r="C18" s="35" t="n">
        <v>517.16</v>
      </c>
      <c r="D18" s="35" t="n">
        <v>508.79</v>
      </c>
      <c r="E18" s="35" t="n">
        <v>544.54</v>
      </c>
      <c r="F18" s="35" t="n">
        <v>503.06</v>
      </c>
      <c r="G18" s="35" t="n">
        <v>476.9</v>
      </c>
      <c r="H18" s="35" t="n">
        <v>596.13</v>
      </c>
      <c r="I18" s="35" t="n">
        <v>527.66</v>
      </c>
      <c r="J18" s="35" t="n">
        <v>475.92</v>
      </c>
      <c r="K18" s="35" t="n">
        <v>557.97</v>
      </c>
      <c r="L18" s="35" t="n">
        <v>531.24</v>
      </c>
      <c r="M18" s="35" t="n">
        <v>587.5599999999999</v>
      </c>
      <c r="N18" s="36">
        <f>SUM(B18:M18)</f>
        <v/>
      </c>
      <c r="O18" s="37" t="n">
        <v>612.9299999999999</v>
      </c>
      <c r="P18" s="37" t="n">
        <v>578.4400000000001</v>
      </c>
      <c r="Q18" s="37" t="n">
        <v>606.5700000000001</v>
      </c>
      <c r="R18" s="37" t="n">
        <v>659.52</v>
      </c>
      <c r="S18" s="37" t="n">
        <v>659.99</v>
      </c>
      <c r="T18" s="37" t="n">
        <v>662.76</v>
      </c>
      <c r="U18" s="37" t="n">
        <v>650.65</v>
      </c>
      <c r="V18" s="38" t="n">
        <v>650.65</v>
      </c>
      <c r="W18" s="38" t="n">
        <v>650.65</v>
      </c>
      <c r="X18" s="38" t="n">
        <v>650.65</v>
      </c>
      <c r="Y18" s="38" t="n">
        <v>650.65</v>
      </c>
      <c r="Z18" s="38" t="n">
        <v>650.65</v>
      </c>
      <c r="AA18" s="36">
        <f>SUM(O18:U18)</f>
        <v/>
      </c>
      <c r="AB18" s="36">
        <f>SUM(O18:Z18)</f>
        <v/>
      </c>
      <c r="AC18" s="38" t="n">
        <v>650.65</v>
      </c>
      <c r="AD18" s="38" t="n">
        <v>650.65</v>
      </c>
      <c r="AE18" s="38" t="n">
        <v>650.65</v>
      </c>
      <c r="AF18" s="38" t="n">
        <v>650.65</v>
      </c>
      <c r="AG18" s="38" t="n">
        <v>650.65</v>
      </c>
      <c r="AH18" s="38" t="n">
        <v>650.65</v>
      </c>
      <c r="AI18" s="117" t="n">
        <v>650.65</v>
      </c>
      <c r="AJ18" s="118" t="n">
        <v>650.65</v>
      </c>
      <c r="AK18" s="118" t="n">
        <v>650.65</v>
      </c>
      <c r="AL18" s="118" t="n">
        <v>650.65</v>
      </c>
      <c r="AM18" s="119" t="n">
        <v>650.65</v>
      </c>
      <c r="AN18" s="117" t="n">
        <v>650.65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47.28</v>
      </c>
      <c r="E19" s="35" t="n">
        <v>0</v>
      </c>
      <c r="F19" s="35" t="n">
        <v>0</v>
      </c>
      <c r="G19" s="35" t="n">
        <v>0</v>
      </c>
      <c r="H19" s="35" t="n">
        <v>91.14</v>
      </c>
      <c r="I19" s="35" t="n">
        <v>100.14</v>
      </c>
      <c r="J19" s="35" t="n">
        <v>0</v>
      </c>
      <c r="K19" s="35" t="n">
        <v>0</v>
      </c>
      <c r="L19" s="35" t="n">
        <v>39.54</v>
      </c>
      <c r="M19" s="35" t="n">
        <v>24.98</v>
      </c>
      <c r="N19" s="36">
        <f>SUM(B19:M19)</f>
        <v/>
      </c>
      <c r="O19" s="37" t="n">
        <v>0</v>
      </c>
      <c r="P19" s="37" t="n">
        <v>152.88</v>
      </c>
      <c r="Q19" s="37" t="n">
        <v>0</v>
      </c>
      <c r="R19" s="37" t="n">
        <v>119.88</v>
      </c>
      <c r="S19" s="37" t="n">
        <v>0</v>
      </c>
      <c r="T19" s="37" t="n">
        <v>51.24</v>
      </c>
      <c r="U19" s="37" t="n">
        <v>0</v>
      </c>
      <c r="V19" s="38" t="n">
        <v>73.35000000000001</v>
      </c>
      <c r="W19" s="38" t="n">
        <v>73.35000000000001</v>
      </c>
      <c r="X19" s="38" t="n">
        <v>73.35000000000001</v>
      </c>
      <c r="Y19" s="38" t="n">
        <v>73.35000000000001</v>
      </c>
      <c r="Z19" s="38" t="n">
        <v>73.35000000000001</v>
      </c>
      <c r="AA19" s="36">
        <f>SUM(O19:U19)</f>
        <v/>
      </c>
      <c r="AB19" s="36">
        <f>SUM(O19:Z19)</f>
        <v/>
      </c>
      <c r="AC19" s="38" t="n">
        <v>73.35000000000001</v>
      </c>
      <c r="AD19" s="38" t="n">
        <v>73.35000000000001</v>
      </c>
      <c r="AE19" s="38" t="n">
        <v>73.35000000000001</v>
      </c>
      <c r="AF19" s="38" t="n">
        <v>73.35000000000001</v>
      </c>
      <c r="AG19" s="38" t="n">
        <v>73.35000000000001</v>
      </c>
      <c r="AH19" s="38" t="n">
        <v>73.35000000000001</v>
      </c>
      <c r="AI19" s="117" t="n">
        <v>73.35000000000001</v>
      </c>
      <c r="AJ19" s="118" t="n">
        <v>73.35000000000001</v>
      </c>
      <c r="AK19" s="118" t="n">
        <v>73.35000000000001</v>
      </c>
      <c r="AL19" s="118" t="n">
        <v>73.35000000000001</v>
      </c>
      <c r="AM19" s="119" t="n">
        <v>73.35000000000001</v>
      </c>
      <c r="AN19" s="117" t="n">
        <v>73.35000000000001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0</v>
      </c>
      <c r="H20" s="35" t="n">
        <v>162</v>
      </c>
      <c r="I20" s="35" t="n">
        <v>0</v>
      </c>
      <c r="J20" s="35" t="n">
        <v>180.76</v>
      </c>
      <c r="K20" s="35" t="n">
        <v>37.2</v>
      </c>
      <c r="L20" s="35" t="n">
        <v>0</v>
      </c>
      <c r="M20" s="35" t="n">
        <v>13</v>
      </c>
      <c r="N20" s="36">
        <f>SUM(B20:M20)</f>
        <v/>
      </c>
      <c r="O20" s="37" t="n">
        <v>13</v>
      </c>
      <c r="P20" s="37" t="n">
        <v>326</v>
      </c>
      <c r="Q20" s="37" t="n">
        <v>325.2</v>
      </c>
      <c r="R20" s="37" t="n">
        <v>72</v>
      </c>
      <c r="S20" s="37" t="n">
        <v>48</v>
      </c>
      <c r="T20" s="37" t="n">
        <v>0</v>
      </c>
      <c r="U20" s="37" t="n">
        <v>0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7" t="n">
        <v>100</v>
      </c>
      <c r="AJ20" s="118" t="n">
        <v>100</v>
      </c>
      <c r="AK20" s="118" t="n">
        <v>100</v>
      </c>
      <c r="AL20" s="118" t="n">
        <v>100</v>
      </c>
      <c r="AM20" s="119" t="n">
        <v>100</v>
      </c>
      <c r="AN20" s="117" t="n">
        <v>100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113.59</v>
      </c>
      <c r="C21" s="35" t="n">
        <v>168.36</v>
      </c>
      <c r="D21" s="35" t="n">
        <v>51.79</v>
      </c>
      <c r="E21" s="35" t="n">
        <v>150.6</v>
      </c>
      <c r="F21" s="35" t="n">
        <v>120.41</v>
      </c>
      <c r="G21" s="35" t="n">
        <v>113.1</v>
      </c>
      <c r="H21" s="35" t="n">
        <v>47.23</v>
      </c>
      <c r="I21" s="35" t="n">
        <v>145.53</v>
      </c>
      <c r="J21" s="35" t="n">
        <v>0</v>
      </c>
      <c r="K21" s="35" t="n">
        <v>110.87</v>
      </c>
      <c r="L21" s="35" t="n">
        <v>175.33</v>
      </c>
      <c r="M21" s="35" t="n">
        <v>89.36</v>
      </c>
      <c r="N21" s="36">
        <f>SUM(B21:M21)</f>
        <v/>
      </c>
      <c r="O21" s="37" t="n">
        <v>80.19</v>
      </c>
      <c r="P21" s="37" t="n">
        <v>40.29</v>
      </c>
      <c r="Q21" s="37" t="n">
        <v>48.98</v>
      </c>
      <c r="R21" s="37" t="n">
        <v>7</v>
      </c>
      <c r="S21" s="37" t="n">
        <v>141.26</v>
      </c>
      <c r="T21" s="37" t="n">
        <v>79.87</v>
      </c>
      <c r="U21" s="37" t="n">
        <v>7.39</v>
      </c>
      <c r="V21" s="38" t="n">
        <v>150</v>
      </c>
      <c r="W21" s="38" t="n">
        <v>150</v>
      </c>
      <c r="X21" s="38" t="n">
        <v>150</v>
      </c>
      <c r="Y21" s="38" t="n">
        <v>150</v>
      </c>
      <c r="Z21" s="38" t="n">
        <v>150</v>
      </c>
      <c r="AA21" s="36">
        <f>SUM(O21:U21)</f>
        <v/>
      </c>
      <c r="AB21" s="36">
        <f>SUM(O21:Z21)</f>
        <v/>
      </c>
      <c r="AC21" s="38" t="n">
        <v>150</v>
      </c>
      <c r="AD21" s="38" t="n">
        <v>150</v>
      </c>
      <c r="AE21" s="38" t="n">
        <v>150</v>
      </c>
      <c r="AF21" s="38" t="n">
        <v>150</v>
      </c>
      <c r="AG21" s="38" t="n">
        <v>150</v>
      </c>
      <c r="AH21" s="38" t="n">
        <v>150</v>
      </c>
      <c r="AI21" s="117" t="n">
        <v>150</v>
      </c>
      <c r="AJ21" s="118" t="n">
        <v>150</v>
      </c>
      <c r="AK21" s="118" t="n">
        <v>150</v>
      </c>
      <c r="AL21" s="118" t="n">
        <v>150</v>
      </c>
      <c r="AM21" s="119" t="n">
        <v>150</v>
      </c>
      <c r="AN21" s="117" t="n">
        <v>150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SUMIF('XSDN TB'!$R:$R,'SDN P&amp;L'!$A22,'XSDN TB'!C:C)</f>
        <v/>
      </c>
      <c r="P22" s="37">
        <f>SUMIF('XSDN TB'!$R:$R,'SDN P&amp;L'!$A22,'XSDN TB'!D:D)</f>
        <v/>
      </c>
      <c r="Q22" s="37">
        <f>SUMIF('XSDN TB'!$R:$R,'SDN P&amp;L'!$A22,'XSDN TB'!E:E)</f>
        <v/>
      </c>
      <c r="R22" s="37">
        <f>SUMIF('XSDN TB'!$R:$R,'SDN P&amp;L'!$A22,'XSDN TB'!F:F)</f>
        <v/>
      </c>
      <c r="S22" s="37">
        <f>SUMIF('XSDN TB'!$R:$R,'SDN P&amp;L'!$A22,'XSDN TB'!G:G)</f>
        <v/>
      </c>
      <c r="T22" s="37">
        <f>SUMIF('XSDN TB'!$R:$R,'SDN P&amp;L'!$A22,'XSDN TB'!H:H)</f>
        <v/>
      </c>
      <c r="U22" s="37">
        <f>SUMIF('SDN TB'!$R:$R,'SDN P&amp;L'!$A22,'SDN TB'!I:I)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51</v>
      </c>
      <c r="L23" s="35" t="n">
        <v>0</v>
      </c>
      <c r="M23" s="35" t="n">
        <v>0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11.39</v>
      </c>
      <c r="U23" s="37" t="n">
        <v>77.97</v>
      </c>
      <c r="V23" s="38" t="n">
        <v>63</v>
      </c>
      <c r="W23" s="38" t="n">
        <v>63</v>
      </c>
      <c r="X23" s="38" t="n">
        <v>63</v>
      </c>
      <c r="Y23" s="38" t="n">
        <v>63</v>
      </c>
      <c r="Z23" s="38" t="n">
        <v>63</v>
      </c>
      <c r="AA23" s="36">
        <f>SUM(O23:U23)</f>
        <v/>
      </c>
      <c r="AB23" s="36">
        <f>SUM(O23:Z23)</f>
        <v/>
      </c>
      <c r="AC23" s="38" t="n">
        <v>63</v>
      </c>
      <c r="AD23" s="38" t="n">
        <v>63</v>
      </c>
      <c r="AE23" s="38" t="n">
        <v>63</v>
      </c>
      <c r="AF23" s="38" t="n">
        <v>63</v>
      </c>
      <c r="AG23" s="38" t="n">
        <v>63</v>
      </c>
      <c r="AH23" s="38" t="n">
        <v>63</v>
      </c>
      <c r="AI23" s="117" t="n">
        <v>63</v>
      </c>
      <c r="AJ23" s="118" t="n">
        <v>63</v>
      </c>
      <c r="AK23" s="118" t="n">
        <v>63</v>
      </c>
      <c r="AL23" s="118" t="n">
        <v>63</v>
      </c>
      <c r="AM23" s="119" t="n">
        <v>63</v>
      </c>
      <c r="AN23" s="117" t="n">
        <v>63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SUMIF('XSDN TB'!$R:$R,'SDN P&amp;L'!$A24,'XSDN TB'!C:C)</f>
        <v/>
      </c>
      <c r="P24" s="37">
        <f>SUMIF('XSDN TB'!$R:$R,'SDN P&amp;L'!$A24,'XSDN TB'!D:D)</f>
        <v/>
      </c>
      <c r="Q24" s="37">
        <f>SUMIF('XSDN TB'!$R:$R,'SDN P&amp;L'!$A24,'XSDN TB'!E:E)</f>
        <v/>
      </c>
      <c r="R24" s="37">
        <f>SUMIF('XSDN TB'!$R:$R,'SDN P&amp;L'!$A24,'XSDN TB'!F:F)</f>
        <v/>
      </c>
      <c r="S24" s="37">
        <f>SUMIF('XSDN TB'!$R:$R,'SDN P&amp;L'!$A24,'XSDN TB'!G:G)</f>
        <v/>
      </c>
      <c r="T24" s="37">
        <f>SUMIF('XSDN TB'!$R:$R,'SDN P&amp;L'!$A24,'XSDN TB'!H:H)</f>
        <v/>
      </c>
      <c r="U24" s="37">
        <f>SUMIF('SDN TB'!$R:$R,'SDN P&amp;L'!$A24,'SDN TB'!I:I)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33262.49</v>
      </c>
      <c r="C25" s="42" t="n">
        <v>30865.36</v>
      </c>
      <c r="D25" s="42" t="n">
        <v>27697.74</v>
      </c>
      <c r="E25" s="42" t="n">
        <v>31873.07</v>
      </c>
      <c r="F25" s="42" t="n">
        <v>36902.71000000001</v>
      </c>
      <c r="G25" s="42" t="n">
        <v>30037.63</v>
      </c>
      <c r="H25" s="42" t="n">
        <v>30604.08</v>
      </c>
      <c r="I25" s="42" t="n">
        <v>28328.26</v>
      </c>
      <c r="J25" s="42" t="n">
        <v>26280.16999999999</v>
      </c>
      <c r="K25" s="42" t="n">
        <v>29836.96</v>
      </c>
      <c r="L25" s="42" t="n">
        <v>28754.76000000001</v>
      </c>
      <c r="M25" s="42" t="n">
        <v>32133.9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1567.44</v>
      </c>
      <c r="C27" s="35" t="n">
        <v>1984.79</v>
      </c>
      <c r="D27" s="35" t="n">
        <v>1532.82</v>
      </c>
      <c r="E27" s="35" t="n">
        <v>1541.61</v>
      </c>
      <c r="F27" s="35" t="n">
        <v>1710.34</v>
      </c>
      <c r="G27" s="35" t="n">
        <v>1913.82</v>
      </c>
      <c r="H27" s="35" t="n">
        <v>1900.36</v>
      </c>
      <c r="I27" s="35" t="n">
        <v>1513.73</v>
      </c>
      <c r="J27" s="35" t="n">
        <v>1347.69</v>
      </c>
      <c r="K27" s="35" t="n">
        <v>1248.11</v>
      </c>
      <c r="L27" s="35" t="n">
        <v>1303.32</v>
      </c>
      <c r="M27" s="35" t="n">
        <v>1021.02</v>
      </c>
      <c r="N27" s="36">
        <f>SUM(B27:M27)</f>
        <v/>
      </c>
      <c r="O27" s="37" t="n">
        <v>1155.49</v>
      </c>
      <c r="P27" s="37" t="n">
        <v>1469.05</v>
      </c>
      <c r="Q27" s="37" t="n">
        <v>1299.06</v>
      </c>
      <c r="R27" s="37" t="n">
        <v>1308.33</v>
      </c>
      <c r="S27" s="37" t="n">
        <v>1167.54</v>
      </c>
      <c r="T27" s="37" t="n">
        <v>1673.38</v>
      </c>
      <c r="U27" s="37" t="n">
        <v>1315.27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222.62</v>
      </c>
      <c r="C28" s="35" t="n">
        <v>59.73999999999999</v>
      </c>
      <c r="D28" s="35" t="n">
        <v>73.67999999999999</v>
      </c>
      <c r="E28" s="35" t="n">
        <v>488.16</v>
      </c>
      <c r="F28" s="35" t="n">
        <v>415.09</v>
      </c>
      <c r="G28" s="35" t="n">
        <v>429.36</v>
      </c>
      <c r="H28" s="35" t="n">
        <v>221.83</v>
      </c>
      <c r="I28" s="35" t="n">
        <v>213.52</v>
      </c>
      <c r="J28" s="35" t="n">
        <v>155</v>
      </c>
      <c r="K28" s="35" t="n">
        <v>76.69</v>
      </c>
      <c r="L28" s="35" t="n">
        <v>104.83</v>
      </c>
      <c r="M28" s="35" t="n">
        <v>51.49</v>
      </c>
      <c r="N28" s="36">
        <f>SUM(B28:M28)</f>
        <v/>
      </c>
      <c r="O28" s="37" t="n">
        <v>250.3</v>
      </c>
      <c r="P28" s="37" t="n">
        <v>182.73</v>
      </c>
      <c r="Q28" s="37" t="n">
        <v>119.59</v>
      </c>
      <c r="R28" s="37" t="n">
        <v>85.17</v>
      </c>
      <c r="S28" s="37" t="n">
        <v>109.19</v>
      </c>
      <c r="T28" s="37" t="n">
        <v>2384.14</v>
      </c>
      <c r="U28" s="37" t="n">
        <v>725.37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7" t="n">
        <v>50</v>
      </c>
      <c r="AJ28" s="118" t="n">
        <v>50</v>
      </c>
      <c r="AK28" s="118" t="n">
        <v>50</v>
      </c>
      <c r="AL28" s="118" t="n">
        <v>50</v>
      </c>
      <c r="AM28" s="119" t="n">
        <v>50</v>
      </c>
      <c r="AN28" s="117" t="n">
        <v>50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199.22</v>
      </c>
      <c r="C29" s="35" t="n">
        <v>495.7599999999999</v>
      </c>
      <c r="D29" s="35" t="n">
        <v>33.84</v>
      </c>
      <c r="E29" s="35" t="n">
        <v>86.84</v>
      </c>
      <c r="F29" s="35" t="n">
        <v>145.97</v>
      </c>
      <c r="G29" s="35" t="n">
        <v>167.57</v>
      </c>
      <c r="H29" s="35" t="n">
        <v>170.99</v>
      </c>
      <c r="I29" s="35" t="n">
        <v>238.61</v>
      </c>
      <c r="J29" s="35" t="n">
        <v>137.82</v>
      </c>
      <c r="K29" s="35" t="n">
        <v>292.09</v>
      </c>
      <c r="L29" s="35" t="n">
        <v>282.84</v>
      </c>
      <c r="M29" s="35" t="n">
        <v>212.34</v>
      </c>
      <c r="N29" s="36">
        <f>SUM(B29:M29)</f>
        <v/>
      </c>
      <c r="O29" s="37" t="n">
        <v>58.43</v>
      </c>
      <c r="P29" s="37" t="n">
        <v>156.27</v>
      </c>
      <c r="Q29" s="37" t="n">
        <v>14.3</v>
      </c>
      <c r="R29" s="37" t="n">
        <v>120.24</v>
      </c>
      <c r="S29" s="37" t="n">
        <v>106.68</v>
      </c>
      <c r="T29" s="37" t="n">
        <v>0</v>
      </c>
      <c r="U29" s="37" t="n">
        <v>114.74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SUMIF('XSDN TB'!$R:$R,'SDN P&amp;L'!$A30,'XSDN TB'!C:C)</f>
        <v/>
      </c>
      <c r="P30" s="37">
        <f>SUMIF('XSDN TB'!$R:$R,'SDN P&amp;L'!$A30,'XSDN TB'!D:D)</f>
        <v/>
      </c>
      <c r="Q30" s="37">
        <f>SUMIF('XSDN TB'!$R:$R,'SDN P&amp;L'!$A30,'XSDN TB'!E:E)</f>
        <v/>
      </c>
      <c r="R30" s="37">
        <f>SUMIF('XSDN TB'!$R:$R,'SDN P&amp;L'!$A30,'XSDN TB'!F:F)</f>
        <v/>
      </c>
      <c r="S30" s="37">
        <f>SUMIF('XSDN TB'!$R:$R,'SDN P&amp;L'!$A30,'XSDN TB'!G:G)</f>
        <v/>
      </c>
      <c r="T30" s="37">
        <f>SUMIF('XSDN TB'!$R:$R,'SDN P&amp;L'!$A30,'XSDN TB'!H:H)</f>
        <v/>
      </c>
      <c r="U30" s="37">
        <f>SUMIF('SDN TB'!$R:$R,'SDN P&amp;L'!$A30,'SDN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7" t="n">
        <v>100</v>
      </c>
      <c r="AJ30" s="118" t="n">
        <v>100</v>
      </c>
      <c r="AK30" s="118" t="n">
        <v>100</v>
      </c>
      <c r="AL30" s="118" t="n">
        <v>100</v>
      </c>
      <c r="AM30" s="119" t="n">
        <v>100</v>
      </c>
      <c r="AN30" s="117" t="n">
        <v>100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0</v>
      </c>
      <c r="C31" s="35" t="n">
        <v>306.01</v>
      </c>
      <c r="D31" s="35" t="n">
        <v>335.76</v>
      </c>
      <c r="E31" s="35" t="n">
        <v>5.49</v>
      </c>
      <c r="F31" s="35" t="n">
        <v>344.88</v>
      </c>
      <c r="G31" s="35" t="n">
        <v>0</v>
      </c>
      <c r="H31" s="35" t="n">
        <v>159.56</v>
      </c>
      <c r="I31" s="35" t="n">
        <v>34.84999999999999</v>
      </c>
      <c r="J31" s="35" t="n">
        <v>146.99</v>
      </c>
      <c r="K31" s="35" t="n">
        <v>99.87</v>
      </c>
      <c r="L31" s="35" t="n">
        <v>14.99</v>
      </c>
      <c r="M31" s="35" t="n">
        <v>49.87</v>
      </c>
      <c r="N31" s="36">
        <f>SUM(B31:M31)</f>
        <v/>
      </c>
      <c r="O31" s="37" t="n">
        <v>6.98</v>
      </c>
      <c r="P31" s="37" t="n">
        <v>29.99</v>
      </c>
      <c r="Q31" s="37" t="n">
        <v>39.57</v>
      </c>
      <c r="R31" s="37" t="n">
        <v>0</v>
      </c>
      <c r="S31" s="37" t="n">
        <v>0</v>
      </c>
      <c r="T31" s="37" t="n">
        <v>74.03</v>
      </c>
      <c r="U31" s="37" t="n">
        <v>5.87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7" t="n">
        <v>50</v>
      </c>
      <c r="AJ31" s="118" t="n">
        <v>50</v>
      </c>
      <c r="AK31" s="118" t="n">
        <v>50</v>
      </c>
      <c r="AL31" s="118" t="n">
        <v>50</v>
      </c>
      <c r="AM31" s="119" t="n">
        <v>50</v>
      </c>
      <c r="AN31" s="117" t="n">
        <v>50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18.87</v>
      </c>
      <c r="C32" s="35" t="n">
        <v>114.9</v>
      </c>
      <c r="D32" s="35" t="n">
        <v>135.47</v>
      </c>
      <c r="E32" s="35" t="n">
        <v>17.31</v>
      </c>
      <c r="F32" s="35" t="n">
        <v>112.19</v>
      </c>
      <c r="G32" s="35" t="n">
        <v>0</v>
      </c>
      <c r="H32" s="35" t="n">
        <v>13.89</v>
      </c>
      <c r="I32" s="35" t="n">
        <v>233.47</v>
      </c>
      <c r="J32" s="35" t="n">
        <v>59.64</v>
      </c>
      <c r="K32" s="35" t="n">
        <v>170.31</v>
      </c>
      <c r="L32" s="35" t="n">
        <v>206.26</v>
      </c>
      <c r="M32" s="35" t="n">
        <v>171.28</v>
      </c>
      <c r="N32" s="36">
        <f>SUM(B32:M32)</f>
        <v/>
      </c>
      <c r="O32" s="37" t="n">
        <v>88.5</v>
      </c>
      <c r="P32" s="37" t="n">
        <v>326.58</v>
      </c>
      <c r="Q32" s="37" t="n">
        <v>346.91</v>
      </c>
      <c r="R32" s="37" t="n">
        <v>286.34</v>
      </c>
      <c r="S32" s="37" t="n">
        <v>443.89</v>
      </c>
      <c r="T32" s="37" t="n">
        <v>296.29</v>
      </c>
      <c r="U32" s="37" t="n">
        <v>171.34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SUMIF('XSDN TB'!$R:$R,'SDN P&amp;L'!$A33,'XSDN TB'!C:C)</f>
        <v/>
      </c>
      <c r="P33" s="37">
        <f>SUMIF('XSDN TB'!$R:$R,'SDN P&amp;L'!$A33,'XSDN TB'!D:D)</f>
        <v/>
      </c>
      <c r="Q33" s="37">
        <f>SUMIF('XSDN TB'!$R:$R,'SDN P&amp;L'!$A33,'XSDN TB'!E:E)</f>
        <v/>
      </c>
      <c r="R33" s="37">
        <f>SUMIF('XSDN TB'!$R:$R,'SDN P&amp;L'!$A33,'XSDN TB'!F:F)</f>
        <v/>
      </c>
      <c r="S33" s="37">
        <f>SUMIF('XSDN TB'!$R:$R,'SDN P&amp;L'!$A33,'XSDN TB'!G:G)</f>
        <v/>
      </c>
      <c r="T33" s="37">
        <f>SUMIF('XSDN TB'!$R:$R,'SDN P&amp;L'!$A33,'XSDN TB'!H:H)</f>
        <v/>
      </c>
      <c r="U33" s="37">
        <f>SUMIF('SDN TB'!$R:$R,'SDN P&amp;L'!$A33,'SDN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2008.15</v>
      </c>
      <c r="C34" s="42" t="n">
        <v>2961.2</v>
      </c>
      <c r="D34" s="42" t="n">
        <v>2111.57</v>
      </c>
      <c r="E34" s="42" t="n">
        <v>2139.41</v>
      </c>
      <c r="F34" s="42" t="n">
        <v>2728.47</v>
      </c>
      <c r="G34" s="42" t="n">
        <v>2510.75</v>
      </c>
      <c r="H34" s="42" t="n">
        <v>2466.63</v>
      </c>
      <c r="I34" s="42" t="n">
        <v>2234.18</v>
      </c>
      <c r="J34" s="42" t="n">
        <v>1847.14</v>
      </c>
      <c r="K34" s="42" t="n">
        <v>1887.07</v>
      </c>
      <c r="L34" s="42" t="n">
        <v>1912.24</v>
      </c>
      <c r="M34" s="42" t="n">
        <v>1506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SUMIF('XSDN TB'!$R:$R,'SDN P&amp;L'!$A36,'XSDN TB'!C:C)</f>
        <v/>
      </c>
      <c r="P36" s="37">
        <f>SUMIF('XSDN TB'!$R:$R,'SDN P&amp;L'!$A36,'XSDN TB'!D:D)</f>
        <v/>
      </c>
      <c r="Q36" s="37">
        <f>SUMIF('XSDN TB'!$R:$R,'SDN P&amp;L'!$A36,'XSDN TB'!E:E)</f>
        <v/>
      </c>
      <c r="R36" s="37">
        <f>SUMIF('XSDN TB'!$R:$R,'SDN P&amp;L'!$A36,'XSDN TB'!F:F)</f>
        <v/>
      </c>
      <c r="S36" s="37">
        <f>SUMIF('XSDN TB'!$R:$R,'SDN P&amp;L'!$A36,'XSDN TB'!G:G)</f>
        <v/>
      </c>
      <c r="T36" s="37">
        <f>SUMIF('XSDN TB'!$R:$R,'SDN P&amp;L'!$A36,'XSDN TB'!H:H)</f>
        <v/>
      </c>
      <c r="U36" s="37" t="n"/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1263.58</v>
      </c>
      <c r="C37" s="35" t="n">
        <v>1263.58</v>
      </c>
      <c r="D37" s="35" t="n">
        <v>1300.46</v>
      </c>
      <c r="E37" s="35" t="n">
        <v>1263.58</v>
      </c>
      <c r="F37" s="35" t="n">
        <v>1263.59</v>
      </c>
      <c r="G37" s="35" t="n">
        <v>1263.58</v>
      </c>
      <c r="H37" s="35" t="n">
        <v>1263.58</v>
      </c>
      <c r="I37" s="35" t="n">
        <v>1263.58</v>
      </c>
      <c r="J37" s="35" t="n">
        <v>1263.58</v>
      </c>
      <c r="K37" s="35" t="n">
        <v>1263.58</v>
      </c>
      <c r="L37" s="35" t="n">
        <v>1263.58</v>
      </c>
      <c r="M37" s="35" t="n">
        <v>1263.58</v>
      </c>
      <c r="N37" s="36">
        <f>SUM(B37:M37)</f>
        <v/>
      </c>
      <c r="O37" s="37" t="n">
        <v>1263.61</v>
      </c>
      <c r="P37" s="37" t="n">
        <v>1263.59</v>
      </c>
      <c r="Q37" s="37" t="n">
        <v>1226.7</v>
      </c>
      <c r="R37" s="37" t="n">
        <v>1502.59</v>
      </c>
      <c r="S37" s="37" t="n">
        <v>1502.59</v>
      </c>
      <c r="T37" s="37" t="n">
        <v>1502.59</v>
      </c>
      <c r="U37" s="37" t="n">
        <v>1502.59</v>
      </c>
      <c r="V37" s="38" t="n">
        <v>1503</v>
      </c>
      <c r="W37" s="38" t="n">
        <v>1503</v>
      </c>
      <c r="X37" s="38" t="n">
        <v>1503</v>
      </c>
      <c r="Y37" s="38" t="n">
        <v>1503</v>
      </c>
      <c r="Z37" s="38" t="n">
        <v>1503</v>
      </c>
      <c r="AA37" s="36">
        <f>SUM(O37:U37)</f>
        <v/>
      </c>
      <c r="AB37" s="36">
        <f>SUM(O37:Z37)</f>
        <v/>
      </c>
      <c r="AC37" s="38" t="n">
        <v>1503</v>
      </c>
      <c r="AD37" s="38" t="n">
        <v>1503</v>
      </c>
      <c r="AE37" s="38" t="n">
        <v>1503</v>
      </c>
      <c r="AF37" s="38" t="n">
        <v>1503</v>
      </c>
      <c r="AG37" s="38" t="n">
        <v>1503</v>
      </c>
      <c r="AH37" s="38" t="n">
        <v>1503</v>
      </c>
      <c r="AI37" s="117" t="n">
        <v>1503</v>
      </c>
      <c r="AJ37" s="118" t="n">
        <v>1503</v>
      </c>
      <c r="AK37" s="118" t="n">
        <v>1503</v>
      </c>
      <c r="AL37" s="118" t="n">
        <v>1503</v>
      </c>
      <c r="AM37" s="119" t="n">
        <v>1503</v>
      </c>
      <c r="AN37" s="117" t="n">
        <v>1503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1548.48</v>
      </c>
      <c r="C38" s="35" t="n">
        <v>1795.97</v>
      </c>
      <c r="D38" s="35" t="n">
        <v>1775.8</v>
      </c>
      <c r="E38" s="35" t="n">
        <v>1821.43</v>
      </c>
      <c r="F38" s="35" t="n">
        <v>994.7900000000001</v>
      </c>
      <c r="G38" s="35" t="n">
        <v>965.26</v>
      </c>
      <c r="H38" s="35" t="n">
        <v>867.74</v>
      </c>
      <c r="I38" s="35" t="n">
        <v>930.28</v>
      </c>
      <c r="J38" s="35" t="n">
        <v>882.15</v>
      </c>
      <c r="K38" s="35" t="n">
        <v>955.24</v>
      </c>
      <c r="L38" s="35" t="n">
        <v>1003.91</v>
      </c>
      <c r="M38" s="35" t="n">
        <v>347.26</v>
      </c>
      <c r="N38" s="36">
        <f>SUM(B38:M38)</f>
        <v/>
      </c>
      <c r="O38" s="37" t="n">
        <v>575.26</v>
      </c>
      <c r="P38" s="37" t="n">
        <v>953.1100000000001</v>
      </c>
      <c r="Q38" s="37" t="n">
        <v>662.26</v>
      </c>
      <c r="R38" s="37" t="n">
        <v>865.9299999999999</v>
      </c>
      <c r="S38" s="37" t="n">
        <v>733.6800000000001</v>
      </c>
      <c r="T38" s="37" t="n">
        <v>1252</v>
      </c>
      <c r="U38" s="37" t="n">
        <v>0</v>
      </c>
      <c r="V38" s="38" t="n">
        <v>840</v>
      </c>
      <c r="W38" s="38" t="n">
        <v>840</v>
      </c>
      <c r="X38" s="38" t="n">
        <v>840</v>
      </c>
      <c r="Y38" s="38" t="n">
        <v>840</v>
      </c>
      <c r="Z38" s="38" t="n">
        <v>840</v>
      </c>
      <c r="AA38" s="36">
        <f>SUM(O38:U38)</f>
        <v/>
      </c>
      <c r="AB38" s="36">
        <f>SUM(O38:Z38)</f>
        <v/>
      </c>
      <c r="AC38" s="38" t="n">
        <v>840</v>
      </c>
      <c r="AD38" s="38" t="n">
        <v>840</v>
      </c>
      <c r="AE38" s="38" t="n">
        <v>840</v>
      </c>
      <c r="AF38" s="38" t="n">
        <v>840</v>
      </c>
      <c r="AG38" s="38" t="n">
        <v>840</v>
      </c>
      <c r="AH38" s="38" t="n">
        <v>840</v>
      </c>
      <c r="AI38" s="117" t="n">
        <v>840</v>
      </c>
      <c r="AJ38" s="118" t="n">
        <v>840</v>
      </c>
      <c r="AK38" s="118" t="n">
        <v>840</v>
      </c>
      <c r="AL38" s="118" t="n">
        <v>840</v>
      </c>
      <c r="AM38" s="119" t="n">
        <v>840</v>
      </c>
      <c r="AN38" s="117" t="n">
        <v>840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524.33</v>
      </c>
      <c r="C39" s="35" t="n">
        <v>390.5599999999999</v>
      </c>
      <c r="D39" s="35" t="n">
        <v>512.22</v>
      </c>
      <c r="E39" s="35" t="n">
        <v>57.92</v>
      </c>
      <c r="F39" s="35" t="n">
        <v>489.11</v>
      </c>
      <c r="G39" s="35" t="n">
        <v>201.13</v>
      </c>
      <c r="H39" s="35" t="n">
        <v>134.13</v>
      </c>
      <c r="I39" s="35" t="n">
        <v>373.59</v>
      </c>
      <c r="J39" s="35" t="n">
        <v>106.35</v>
      </c>
      <c r="K39" s="35" t="n">
        <v>161.51</v>
      </c>
      <c r="L39" s="35" t="n">
        <v>300.59</v>
      </c>
      <c r="M39" s="35" t="n">
        <v>430.6</v>
      </c>
      <c r="N39" s="36">
        <f>SUM(B39:M39)</f>
        <v/>
      </c>
      <c r="O39" s="37" t="n">
        <v>84.8</v>
      </c>
      <c r="P39" s="37" t="n">
        <v>338.51</v>
      </c>
      <c r="Q39" s="37" t="n">
        <v>38.8</v>
      </c>
      <c r="R39" s="37" t="n">
        <v>60.25</v>
      </c>
      <c r="S39" s="37" t="n">
        <v>38.8</v>
      </c>
      <c r="T39" s="37" t="n">
        <v>38.8</v>
      </c>
      <c r="U39" s="37" t="n">
        <v>423.74</v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396.5600000000001</v>
      </c>
      <c r="C40" s="35" t="n">
        <v>271</v>
      </c>
      <c r="D40" s="35" t="n">
        <v>270.02</v>
      </c>
      <c r="E40" s="35" t="n">
        <v>362.36</v>
      </c>
      <c r="F40" s="35" t="n">
        <v>392.06</v>
      </c>
      <c r="G40" s="35" t="n">
        <v>280.72</v>
      </c>
      <c r="H40" s="35" t="n">
        <v>264.16</v>
      </c>
      <c r="I40" s="35" t="n">
        <v>300.25</v>
      </c>
      <c r="J40" s="35" t="n">
        <v>193.25</v>
      </c>
      <c r="K40" s="35" t="n">
        <v>369.08</v>
      </c>
      <c r="L40" s="35" t="n">
        <v>339.99</v>
      </c>
      <c r="M40" s="35" t="n">
        <v>119.65</v>
      </c>
      <c r="N40" s="36">
        <f>SUM(B40:M40)</f>
        <v/>
      </c>
      <c r="O40" s="37" t="n">
        <v>283.96</v>
      </c>
      <c r="P40" s="37" t="n">
        <v>153.09</v>
      </c>
      <c r="Q40" s="37" t="n">
        <v>338.52</v>
      </c>
      <c r="R40" s="37" t="n">
        <v>221.29</v>
      </c>
      <c r="S40" s="37" t="n">
        <v>202.63</v>
      </c>
      <c r="T40" s="37" t="n">
        <v>251.9</v>
      </c>
      <c r="U40" s="37" t="n">
        <v>296.34</v>
      </c>
      <c r="V40" s="38" t="n">
        <v>242</v>
      </c>
      <c r="W40" s="38" t="n">
        <v>242</v>
      </c>
      <c r="X40" s="38" t="n">
        <v>242</v>
      </c>
      <c r="Y40" s="38" t="n">
        <v>242</v>
      </c>
      <c r="Z40" s="38" t="n">
        <v>242</v>
      </c>
      <c r="AA40" s="36">
        <f>SUM(O40:U40)</f>
        <v/>
      </c>
      <c r="AB40" s="36">
        <f>SUM(O40:Z40)</f>
        <v/>
      </c>
      <c r="AC40" s="38" t="n">
        <v>242</v>
      </c>
      <c r="AD40" s="38" t="n">
        <v>242</v>
      </c>
      <c r="AE40" s="38" t="n">
        <v>242</v>
      </c>
      <c r="AF40" s="38" t="n">
        <v>242</v>
      </c>
      <c r="AG40" s="38" t="n">
        <v>242</v>
      </c>
      <c r="AH40" s="38" t="n">
        <v>242</v>
      </c>
      <c r="AI40" s="117" t="n">
        <v>242</v>
      </c>
      <c r="AJ40" s="118" t="n">
        <v>242</v>
      </c>
      <c r="AK40" s="118" t="n">
        <v>242</v>
      </c>
      <c r="AL40" s="118" t="n">
        <v>242</v>
      </c>
      <c r="AM40" s="119" t="n">
        <v>242</v>
      </c>
      <c r="AN40" s="117" t="n">
        <v>242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308.93</v>
      </c>
      <c r="C41" s="35" t="n">
        <v>362.03</v>
      </c>
      <c r="D41" s="35" t="n">
        <v>281.93</v>
      </c>
      <c r="E41" s="35" t="n">
        <v>329.99</v>
      </c>
      <c r="F41" s="35" t="n">
        <v>314.02</v>
      </c>
      <c r="G41" s="35" t="n">
        <v>314.02</v>
      </c>
      <c r="H41" s="35" t="n">
        <v>389.84</v>
      </c>
      <c r="I41" s="35" t="n">
        <v>314.02</v>
      </c>
      <c r="J41" s="35" t="n">
        <v>540.8200000000001</v>
      </c>
      <c r="K41" s="35" t="n">
        <v>341.02</v>
      </c>
      <c r="L41" s="35" t="n">
        <v>314.02</v>
      </c>
      <c r="M41" s="35" t="n">
        <v>361.42</v>
      </c>
      <c r="N41" s="36">
        <f>SUM(B41:M41)</f>
        <v/>
      </c>
      <c r="O41" s="37" t="n">
        <v>169.69</v>
      </c>
      <c r="P41" s="37" t="n">
        <v>344.25</v>
      </c>
      <c r="Q41" s="37" t="n">
        <v>355.64</v>
      </c>
      <c r="R41" s="37" t="n">
        <v>190.59</v>
      </c>
      <c r="S41" s="37" t="n">
        <v>537.84</v>
      </c>
      <c r="T41" s="37" t="n">
        <v>192.13</v>
      </c>
      <c r="U41" s="37" t="n">
        <v>640</v>
      </c>
      <c r="V41" s="38" t="n">
        <v>298</v>
      </c>
      <c r="W41" s="38" t="n">
        <v>298</v>
      </c>
      <c r="X41" s="38" t="n">
        <v>298</v>
      </c>
      <c r="Y41" s="38" t="n">
        <v>298</v>
      </c>
      <c r="Z41" s="38" t="n">
        <v>298</v>
      </c>
      <c r="AA41" s="36">
        <f>SUM(O41:U41)</f>
        <v/>
      </c>
      <c r="AB41" s="36">
        <f>SUM(O41:Z41)</f>
        <v/>
      </c>
      <c r="AC41" s="38" t="n">
        <v>298</v>
      </c>
      <c r="AD41" s="38" t="n">
        <v>298</v>
      </c>
      <c r="AE41" s="38" t="n">
        <v>298</v>
      </c>
      <c r="AF41" s="38" t="n">
        <v>298</v>
      </c>
      <c r="AG41" s="38" t="n">
        <v>298</v>
      </c>
      <c r="AH41" s="38" t="n">
        <v>298</v>
      </c>
      <c r="AI41" s="117" t="n">
        <v>298</v>
      </c>
      <c r="AJ41" s="118" t="n">
        <v>298</v>
      </c>
      <c r="AK41" s="118" t="n">
        <v>298</v>
      </c>
      <c r="AL41" s="118" t="n">
        <v>298</v>
      </c>
      <c r="AM41" s="119" t="n">
        <v>298</v>
      </c>
      <c r="AN41" s="117" t="n">
        <v>298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557.6900000000001</v>
      </c>
      <c r="C42" s="35" t="n">
        <v>106.55</v>
      </c>
      <c r="D42" s="35" t="n">
        <v>240.41</v>
      </c>
      <c r="E42" s="35" t="n">
        <v>125.88</v>
      </c>
      <c r="F42" s="35" t="n">
        <v>167.31</v>
      </c>
      <c r="G42" s="35" t="n">
        <v>183.93</v>
      </c>
      <c r="H42" s="35" t="n">
        <v>95.75999999999999</v>
      </c>
      <c r="I42" s="35" t="n">
        <v>90.22</v>
      </c>
      <c r="J42" s="35" t="n">
        <v>53.93000000000001</v>
      </c>
      <c r="K42" s="35" t="n">
        <v>168.56</v>
      </c>
      <c r="L42" s="35" t="n">
        <v>112.62</v>
      </c>
      <c r="M42" s="35" t="n">
        <v>144.07</v>
      </c>
      <c r="N42" s="36">
        <f>SUM(B42:M42)</f>
        <v/>
      </c>
      <c r="O42" s="37" t="n">
        <v>42.06</v>
      </c>
      <c r="P42" s="37" t="n">
        <v>19.49</v>
      </c>
      <c r="Q42" s="37" t="n">
        <v>296.73</v>
      </c>
      <c r="R42" s="37" t="n">
        <v>95.23999999999999</v>
      </c>
      <c r="S42" s="37" t="n">
        <v>79.67</v>
      </c>
      <c r="T42" s="37" t="n">
        <v>89.72</v>
      </c>
      <c r="U42" s="37" t="n">
        <v>126.27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54.7</v>
      </c>
      <c r="P43" s="37" t="n">
        <v>23.94</v>
      </c>
      <c r="Q43" s="37" t="n">
        <v>66.09999999999999</v>
      </c>
      <c r="R43" s="37" t="n">
        <v>71.94</v>
      </c>
      <c r="S43" s="37" t="n">
        <v>19.94</v>
      </c>
      <c r="T43" s="37" t="n">
        <v>81.72</v>
      </c>
      <c r="U43" s="37" t="n">
        <v>0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SUMIF('XSDN TB'!$R:$R,'SDN P&amp;L'!$A44,'XSDN TB'!C:C)</f>
        <v/>
      </c>
      <c r="P44" s="37">
        <f>SUMIF('XSDN TB'!$R:$R,'SDN P&amp;L'!$A44,'XSDN TB'!D:D)</f>
        <v/>
      </c>
      <c r="Q44" s="37">
        <f>SUMIF('XSDN TB'!$R:$R,'SDN P&amp;L'!$A44,'XSDN TB'!E:E)</f>
        <v/>
      </c>
      <c r="R44" s="37">
        <f>SUMIF('XSDN TB'!$R:$R,'SDN P&amp;L'!$A44,'XSDN TB'!F:F)</f>
        <v/>
      </c>
      <c r="S44" s="37">
        <f>SUMIF('XSDN TB'!$R:$R,'SDN P&amp;L'!$A44,'XSDN TB'!G:G)</f>
        <v/>
      </c>
      <c r="T44" s="37">
        <f>SUMIF('XSDN TB'!$R:$R,'SDN P&amp;L'!$A44,'XSDN TB'!H:H)</f>
        <v/>
      </c>
      <c r="U44" s="37">
        <f>SUMIF('SDN TB'!$R:$R,'SDN P&amp;L'!$A44,'SDN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57</v>
      </c>
      <c r="K45" s="35" t="n">
        <v>324.79</v>
      </c>
      <c r="L45" s="35" t="n">
        <v>0</v>
      </c>
      <c r="M45" s="35" t="n">
        <v>0</v>
      </c>
      <c r="N45" s="36">
        <f>SUM(B45:M45)</f>
        <v/>
      </c>
      <c r="O45" s="37">
        <f>SUMIF('XSDN TB'!$R:$R,'SDN P&amp;L'!$A45,'XSDN TB'!C:C)</f>
        <v/>
      </c>
      <c r="P45" s="37">
        <f>SUMIF('XSDN TB'!$R:$R,'SDN P&amp;L'!$A45,'XSDN TB'!D:D)</f>
        <v/>
      </c>
      <c r="Q45" s="37">
        <f>SUMIF('XSDN TB'!$R:$R,'SDN P&amp;L'!$A45,'XSDN TB'!E:E)</f>
        <v/>
      </c>
      <c r="R45" s="37">
        <f>SUMIF('XSDN TB'!$R:$R,'SDN P&amp;L'!$A45,'XSDN TB'!F:F)</f>
        <v/>
      </c>
      <c r="S45" s="37">
        <f>SUMIF('XSDN TB'!$R:$R,'SDN P&amp;L'!$A45,'XSDN TB'!G:G)</f>
        <v/>
      </c>
      <c r="T45" s="37">
        <f>SUMIF('XSDN TB'!$R:$R,'SDN P&amp;L'!$A45,'XSDN TB'!H:H)</f>
        <v/>
      </c>
      <c r="U45" s="37">
        <f>SUMIF('SDN TB'!$R:$R,'SDN P&amp;L'!$A45,'SDN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7" t="n">
        <v>100</v>
      </c>
      <c r="AJ45" s="118" t="n">
        <v>100</v>
      </c>
      <c r="AK45" s="118" t="n">
        <v>100</v>
      </c>
      <c r="AL45" s="118" t="n">
        <v>100</v>
      </c>
      <c r="AM45" s="119" t="n">
        <v>100</v>
      </c>
      <c r="AN45" s="117" t="n">
        <v>100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SUMIF('XSDN TB'!$R:$R,'SDN P&amp;L'!$A46,'XSDN TB'!C:C)</f>
        <v/>
      </c>
      <c r="P46" s="37">
        <f>SUMIF('XSDN TB'!$R:$R,'SDN P&amp;L'!$A46,'XSDN TB'!D:D)</f>
        <v/>
      </c>
      <c r="Q46" s="37">
        <f>SUMIF('XSDN TB'!$R:$R,'SDN P&amp;L'!$A46,'XSDN TB'!E:E)</f>
        <v/>
      </c>
      <c r="R46" s="37">
        <f>SUMIF('XSDN TB'!$R:$R,'SDN P&amp;L'!$A46,'XSDN TB'!F:F)</f>
        <v/>
      </c>
      <c r="S46" s="37">
        <f>SUMIF('XSDN TB'!$R:$R,'SDN P&amp;L'!$A46,'XSDN TB'!G:G)</f>
        <v/>
      </c>
      <c r="T46" s="37">
        <f>SUMIF('XSDN TB'!$R:$R,'SDN P&amp;L'!$A46,'XSDN TB'!H:H)</f>
        <v/>
      </c>
      <c r="U46" s="37">
        <f>SUMIF('SDN TB'!$R:$R,'SDN P&amp;L'!$A46,'SDN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4599.57</v>
      </c>
      <c r="C47" s="42" t="n">
        <v>4189.690000000001</v>
      </c>
      <c r="D47" s="42" t="n">
        <v>4380.84</v>
      </c>
      <c r="E47" s="42" t="n">
        <v>3961.160000000001</v>
      </c>
      <c r="F47" s="42" t="n">
        <v>3620.88</v>
      </c>
      <c r="G47" s="42" t="n">
        <v>3208.64</v>
      </c>
      <c r="H47" s="42" t="n">
        <v>3015.21</v>
      </c>
      <c r="I47" s="42" t="n">
        <v>3271.94</v>
      </c>
      <c r="J47" s="42" t="n">
        <v>3097.08</v>
      </c>
      <c r="K47" s="42" t="n">
        <v>3583.78</v>
      </c>
      <c r="L47" s="42" t="n">
        <v>3334.71</v>
      </c>
      <c r="M47" s="42" t="n">
        <v>2666.58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39870.21</v>
      </c>
      <c r="C48" s="23" t="n">
        <v>38016.25</v>
      </c>
      <c r="D48" s="23" t="n">
        <v>34190.15</v>
      </c>
      <c r="E48" s="23" t="n">
        <v>37973.64</v>
      </c>
      <c r="F48" s="23" t="n">
        <v>43252.06</v>
      </c>
      <c r="G48" s="23" t="n">
        <v>35757.02</v>
      </c>
      <c r="H48" s="23" t="n">
        <v>36085.92</v>
      </c>
      <c r="I48" s="23" t="n">
        <v>33834.38</v>
      </c>
      <c r="J48" s="23" t="n">
        <v>31224.38999999999</v>
      </c>
      <c r="K48" s="23" t="n">
        <v>35307.81</v>
      </c>
      <c r="L48" s="23" t="n">
        <v>34001.71000000001</v>
      </c>
      <c r="M48" s="23" t="n">
        <v>36306.48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>U25+U34+U47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8862.019999999997</v>
      </c>
      <c r="C50" s="55" t="n">
        <v>20701.91</v>
      </c>
      <c r="D50" s="55" t="n">
        <v>30192.77</v>
      </c>
      <c r="E50" s="55" t="n">
        <v>14901.46</v>
      </c>
      <c r="F50" s="55" t="n">
        <v>689.0699999999924</v>
      </c>
      <c r="G50" s="55" t="n">
        <v>22657.31999999999</v>
      </c>
      <c r="H50" s="55" t="n">
        <v>35785.63</v>
      </c>
      <c r="I50" s="55" t="n">
        <v>7099.220000000008</v>
      </c>
      <c r="J50" s="55" t="n">
        <v>2010.810000000005</v>
      </c>
      <c r="K50" s="55" t="n">
        <v>-3943.790000000008</v>
      </c>
      <c r="L50" s="55" t="n">
        <v>11333.42999999999</v>
      </c>
      <c r="M50" s="55" t="n">
        <v>17465.84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SUMIF('XSDN TB'!$R:$R,'SDN P&amp;L'!$A53,'XSDN TB'!C:C)</f>
        <v/>
      </c>
      <c r="P53" s="37">
        <f>SUMIF('XSDN TB'!$R:$R,'SDN P&amp;L'!$A53,'XSDN TB'!D:D)</f>
        <v/>
      </c>
      <c r="Q53" s="37">
        <f>SUMIF('XSDN TB'!$R:$R,'SDN P&amp;L'!$A53,'XSDN TB'!E:E)</f>
        <v/>
      </c>
      <c r="R53" s="37">
        <f>SUMIF('XSDN TB'!$R:$R,'SDN P&amp;L'!$A53,'XSDN TB'!F:F)</f>
        <v/>
      </c>
      <c r="S53" s="37">
        <f>SUMIF('XSDN TB'!$R:$R,'SDN P&amp;L'!$A53,'XSDN TB'!G:G)</f>
        <v/>
      </c>
      <c r="T53" s="37">
        <f>SUMIF('XSDN TB'!$R:$R,'SDN P&amp;L'!$A53,'XSDN TB'!H:H)</f>
        <v/>
      </c>
      <c r="U53" s="37">
        <f>SUMIF('SDN TB'!$R:$R,'SDN P&amp;L'!$A53,'SDN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SUMIF('XSDN TB'!$R:$R,'SDN P&amp;L'!$A54,'XSDN TB'!C:C)</f>
        <v/>
      </c>
      <c r="P54" s="37">
        <f>SUMIF('XSDN TB'!$R:$R,'SDN P&amp;L'!$A54,'XSDN TB'!D:D)</f>
        <v/>
      </c>
      <c r="Q54" s="37">
        <f>SUMIF('XSDN TB'!$R:$R,'SDN P&amp;L'!$A54,'XSDN TB'!E:E)</f>
        <v/>
      </c>
      <c r="R54" s="37">
        <f>SUMIF('XSDN TB'!$R:$R,'SDN P&amp;L'!$A54,'XSDN TB'!F:F)</f>
        <v/>
      </c>
      <c r="S54" s="37">
        <f>SUMIF('XSDN TB'!$R:$R,'SDN P&amp;L'!$A54,'XSDN TB'!G:G)</f>
        <v/>
      </c>
      <c r="T54" s="37">
        <f>SUMIF('XSDN TB'!$R:$R,'SDN P&amp;L'!$A54,'XSDN TB'!H:H)</f>
        <v/>
      </c>
      <c r="U54" s="37">
        <f>SUMIF('SDN TB'!$R:$R,'SDN P&amp;L'!$A54,'SDN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SUMIF('XSDN TB'!$R:$R,'SDN P&amp;L'!$A55,'XSDN TB'!C:C)</f>
        <v/>
      </c>
      <c r="P55" s="37">
        <f>SUMIF('XSDN TB'!$R:$R,'SDN P&amp;L'!$A55,'XSDN TB'!D:D)</f>
        <v/>
      </c>
      <c r="Q55" s="37">
        <f>SUMIF('XSDN TB'!$R:$R,'SDN P&amp;L'!$A55,'XSDN TB'!E:E)</f>
        <v/>
      </c>
      <c r="R55" s="37">
        <f>SUMIF('XSDN TB'!$R:$R,'SDN P&amp;L'!$A55,'XSDN TB'!F:F)</f>
        <v/>
      </c>
      <c r="S55" s="37">
        <f>SUMIF('XSDN TB'!$R:$R,'SDN P&amp;L'!$A55,'XSDN TB'!G:G)</f>
        <v/>
      </c>
      <c r="T55" s="37">
        <f>SUMIF('XSDN TB'!$R:$R,'SDN P&amp;L'!$A55,'XSDN TB'!H:H)</f>
        <v/>
      </c>
      <c r="U55" s="37">
        <f>SUMIF('SDN TB'!$R:$R,'SDN P&amp;L'!$A55,'SDN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SUMIF('XSDN TB'!$R:$R,'SDN P&amp;L'!$A56,'XSDN TB'!C:C)</f>
        <v/>
      </c>
      <c r="P56" s="37">
        <f>SUMIF('XSDN TB'!$R:$R,'SDN P&amp;L'!$A56,'XSDN TB'!D:D)</f>
        <v/>
      </c>
      <c r="Q56" s="37">
        <f>SUMIF('XSDN TB'!$R:$R,'SDN P&amp;L'!$A56,'XSDN TB'!E:E)</f>
        <v/>
      </c>
      <c r="R56" s="37">
        <f>SUMIF('XSDN TB'!$R:$R,'SDN P&amp;L'!$A56,'XSDN TB'!F:F)</f>
        <v/>
      </c>
      <c r="S56" s="37">
        <f>SUMIF('XSDN TB'!$R:$R,'SDN P&amp;L'!$A56,'XSDN TB'!G:G)</f>
        <v/>
      </c>
      <c r="T56" s="37">
        <f>SUMIF('XSDN TB'!$R:$R,'SDN P&amp;L'!$A56,'XSDN TB'!H:H)</f>
        <v/>
      </c>
      <c r="U56" s="37">
        <f>SUMIF('SDN TB'!$R:$R,'SDN P&amp;L'!$A56,'SDN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348.87</v>
      </c>
      <c r="N57" s="36">
        <f>SUM(B57:M57)</f>
        <v/>
      </c>
      <c r="O57" s="37">
        <f>SUMIF('XSDN TB'!$R:$R,'SDN P&amp;L'!$A57,'XSDN TB'!C:C)</f>
        <v/>
      </c>
      <c r="P57" s="37">
        <f>SUMIF('XSDN TB'!$R:$R,'SDN P&amp;L'!$A57,'XSDN TB'!D:D)</f>
        <v/>
      </c>
      <c r="Q57" s="37">
        <f>SUMIF('XSDN TB'!$R:$R,'SDN P&amp;L'!$A57,'XSDN TB'!E:E)</f>
        <v/>
      </c>
      <c r="R57" s="37">
        <f>SUMIF('XSDN TB'!$R:$R,'SDN P&amp;L'!$A57,'XSDN TB'!F:F)</f>
        <v/>
      </c>
      <c r="S57" s="37">
        <f>SUMIF('XSDN TB'!$R:$R,'SDN P&amp;L'!$A57,'XSDN TB'!G:G)</f>
        <v/>
      </c>
      <c r="T57" s="37">
        <f>SUMIF('XSDN TB'!$R:$R,'SDN P&amp;L'!$A57,'XSDN TB'!H:H)</f>
        <v/>
      </c>
      <c r="U57" s="37">
        <f>SUMIF('SDN TB'!$R:$R,'SDN P&amp;L'!$A57,'SDN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SUMIF('XSDN TB'!$R:$R,'SDN P&amp;L'!$A58,'XSDN TB'!C:C)</f>
        <v/>
      </c>
      <c r="P58" s="37">
        <f>SUMIF('XSDN TB'!$R:$R,'SDN P&amp;L'!$A58,'XSDN TB'!D:D)</f>
        <v/>
      </c>
      <c r="Q58" s="37">
        <f>SUMIF('XSDN TB'!$R:$R,'SDN P&amp;L'!$A58,'XSDN TB'!E:E)</f>
        <v/>
      </c>
      <c r="R58" s="37">
        <f>SUMIF('XSDN TB'!$R:$R,'SDN P&amp;L'!$A58,'XSDN TB'!F:F)</f>
        <v/>
      </c>
      <c r="S58" s="37">
        <f>SUMIF('XSDN TB'!$R:$R,'SDN P&amp;L'!$A58,'XSDN TB'!G:G)</f>
        <v/>
      </c>
      <c r="T58" s="37">
        <f>SUMIF('XSDN TB'!$R:$R,'SDN P&amp;L'!$A58,'XSDN TB'!H:H)</f>
        <v/>
      </c>
      <c r="U58" s="37">
        <f>SUMIF('SDN TB'!$R:$R,'SDN P&amp;L'!$A58,'SDN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201.37</v>
      </c>
      <c r="D59" s="35" t="n">
        <v>201.37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201.37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8.58</v>
      </c>
      <c r="C60" s="35" t="n">
        <v>0</v>
      </c>
      <c r="D60" s="35" t="n">
        <v>362.21</v>
      </c>
      <c r="E60" s="35" t="n">
        <v>2.4</v>
      </c>
      <c r="F60" s="35" t="n">
        <v>1.8</v>
      </c>
      <c r="G60" s="35" t="n">
        <v>45</v>
      </c>
      <c r="H60" s="35" t="n">
        <v>20.55</v>
      </c>
      <c r="I60" s="35" t="n">
        <v>1.2</v>
      </c>
      <c r="J60" s="35" t="n">
        <v>2.4</v>
      </c>
      <c r="K60" s="35" t="n">
        <v>68.19999999999999</v>
      </c>
      <c r="L60" s="35" t="n">
        <v>2.4</v>
      </c>
      <c r="M60" s="35" t="n">
        <v>47.40000000000001</v>
      </c>
      <c r="N60" s="36">
        <f>SUM(B60:M60)</f>
        <v/>
      </c>
      <c r="O60" s="37" t="n">
        <v>79.8</v>
      </c>
      <c r="P60" s="37" t="n">
        <v>15.98</v>
      </c>
      <c r="Q60" s="37" t="n">
        <v>9.59</v>
      </c>
      <c r="R60" s="37" t="n">
        <v>-124.6</v>
      </c>
      <c r="S60" s="37" t="n">
        <v>2.4</v>
      </c>
      <c r="T60" s="37" t="n">
        <v>-20.26</v>
      </c>
      <c r="U60" s="37" t="n">
        <v>2.4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43.2</v>
      </c>
      <c r="C61" s="35" t="n">
        <v>48.88</v>
      </c>
      <c r="D61" s="35" t="n">
        <v>27.94</v>
      </c>
      <c r="E61" s="35" t="n">
        <v>5.81</v>
      </c>
      <c r="F61" s="35" t="n">
        <v>27.4</v>
      </c>
      <c r="G61" s="35" t="n">
        <v>0</v>
      </c>
      <c r="H61" s="35" t="n">
        <v>31.57</v>
      </c>
      <c r="I61" s="35" t="n">
        <v>0</v>
      </c>
      <c r="J61" s="35" t="n">
        <v>0</v>
      </c>
      <c r="K61" s="35" t="n">
        <v>18.94</v>
      </c>
      <c r="L61" s="35" t="n">
        <v>11.74</v>
      </c>
      <c r="M61" s="35" t="n">
        <v>20.97</v>
      </c>
      <c r="N61" s="36">
        <f>SUM(B61:M61)</f>
        <v/>
      </c>
      <c r="O61" s="37">
        <f>SUMIF('XSDN TB'!$R:$R,'SDN P&amp;L'!$A61,'XSDN TB'!C:C)</f>
        <v/>
      </c>
      <c r="P61" s="37">
        <f>SUMIF('XSDN TB'!$R:$R,'SDN P&amp;L'!$A61,'XSDN TB'!D:D)</f>
        <v/>
      </c>
      <c r="Q61" s="37">
        <f>SUMIF('XSDN TB'!$R:$R,'SDN P&amp;L'!$A61,'XSDN TB'!E:E)</f>
        <v/>
      </c>
      <c r="R61" s="37">
        <f>SUMIF('XSDN TB'!$R:$R,'SDN P&amp;L'!$A61,'XSDN TB'!F:F)</f>
        <v/>
      </c>
      <c r="S61" s="37">
        <f>SUMIF('XSDN TB'!$R:$R,'SDN P&amp;L'!$A61,'XSDN TB'!G:G)</f>
        <v/>
      </c>
      <c r="T61" s="37">
        <f>SUMIF('XSDN TB'!$R:$R,'SDN P&amp;L'!$A61,'XSDN TB'!H:H)</f>
        <v/>
      </c>
      <c r="U61" s="37">
        <f>SUMIF('SDN TB'!$R:$R,'SDN P&amp;L'!$A61,'SDN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61.95</v>
      </c>
      <c r="D62" s="35" t="n">
        <v>0</v>
      </c>
      <c r="E62" s="35" t="n">
        <v>12.1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21.7</v>
      </c>
      <c r="N62" s="36">
        <f>SUM(B62:M62)</f>
        <v/>
      </c>
      <c r="O62" s="37">
        <f>SUMIF('XSDN TB'!$R:$R,'SDN P&amp;L'!$A62,'XSDN TB'!C:C)</f>
        <v/>
      </c>
      <c r="P62" s="37">
        <f>SUMIF('XSDN TB'!$R:$R,'SDN P&amp;L'!$A62,'XSDN TB'!D:D)</f>
        <v/>
      </c>
      <c r="Q62" s="37">
        <f>SUMIF('XSDN TB'!$R:$R,'SDN P&amp;L'!$A62,'XSDN TB'!E:E)</f>
        <v/>
      </c>
      <c r="R62" s="37">
        <f>SUMIF('XSDN TB'!$R:$R,'SDN P&amp;L'!$A62,'XSDN TB'!F:F)</f>
        <v/>
      </c>
      <c r="S62" s="37">
        <f>SUMIF('XSDN TB'!$R:$R,'SDN P&amp;L'!$A62,'XSDN TB'!G:G)</f>
        <v/>
      </c>
      <c r="T62" s="37">
        <f>SUMIF('XSDN TB'!$R:$R,'SDN P&amp;L'!$A62,'XSDN TB'!H:H)</f>
        <v/>
      </c>
      <c r="U62" s="37">
        <f>SUMIF('SDN TB'!$R:$R,'SDN P&amp;L'!$A62,'SDN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SUMIF('XSDN TB'!$R:$R,'SDN P&amp;L'!$A63,'XSDN TB'!C:C)</f>
        <v/>
      </c>
      <c r="P63" s="37">
        <f>SUMIF('XSDN TB'!$R:$R,'SDN P&amp;L'!$A63,'XSDN TB'!D:D)</f>
        <v/>
      </c>
      <c r="Q63" s="37">
        <f>SUMIF('XSDN TB'!$R:$R,'SDN P&amp;L'!$A63,'XSDN TB'!E:E)</f>
        <v/>
      </c>
      <c r="R63" s="37">
        <f>SUMIF('XSDN TB'!$R:$R,'SDN P&amp;L'!$A63,'XSDN TB'!F:F)</f>
        <v/>
      </c>
      <c r="S63" s="37">
        <f>SUMIF('XSDN TB'!$R:$R,'SDN P&amp;L'!$A63,'XSDN TB'!G:G)</f>
        <v/>
      </c>
      <c r="T63" s="37">
        <f>SUMIF('XSDN TB'!$R:$R,'SDN P&amp;L'!$A63,'XSDN TB'!H:H)</f>
        <v/>
      </c>
      <c r="U63" s="37">
        <f>SUMIF('SDN TB'!$R:$R,'SDN P&amp;L'!$A63,'SDN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SUMIF('XSDN TB'!$R:$R,'SDN P&amp;L'!$A64,'XSDN TB'!C:C)</f>
        <v/>
      </c>
      <c r="P64" s="37">
        <f>SUMIF('XSDN TB'!$R:$R,'SDN P&amp;L'!$A64,'XSDN TB'!D:D)</f>
        <v/>
      </c>
      <c r="Q64" s="37">
        <f>SUMIF('XSDN TB'!$R:$R,'SDN P&amp;L'!$A64,'XSDN TB'!E:E)</f>
        <v/>
      </c>
      <c r="R64" s="37">
        <f>SUMIF('XSDN TB'!$R:$R,'SDN P&amp;L'!$A64,'XSDN TB'!F:F)</f>
        <v/>
      </c>
      <c r="S64" s="37">
        <f>SUMIF('XSDN TB'!$R:$R,'SDN P&amp;L'!$A64,'XSDN TB'!G:G)</f>
        <v/>
      </c>
      <c r="T64" s="37">
        <f>SUMIF('XSDN TB'!$R:$R,'SDN P&amp;L'!$A64,'XSDN TB'!H:H)</f>
        <v/>
      </c>
      <c r="U64" s="37">
        <f>SUMIF('SDN TB'!$R:$R,'SDN P&amp;L'!$A64,'SDN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SUMIF('XSDN TB'!$R:$R,'SDN P&amp;L'!$A65,'XSDN TB'!C:C)</f>
        <v/>
      </c>
      <c r="P65" s="37">
        <f>SUMIF('XSDN TB'!$R:$R,'SDN P&amp;L'!$A65,'XSDN TB'!D:D)</f>
        <v/>
      </c>
      <c r="Q65" s="37">
        <f>SUMIF('XSDN TB'!$R:$R,'SDN P&amp;L'!$A65,'XSDN TB'!E:E)</f>
        <v/>
      </c>
      <c r="R65" s="37">
        <f>SUMIF('XSDN TB'!$R:$R,'SDN P&amp;L'!$A65,'XSDN TB'!F:F)</f>
        <v/>
      </c>
      <c r="S65" s="37">
        <f>SUMIF('XSDN TB'!$R:$R,'SDN P&amp;L'!$A65,'XSDN TB'!G:G)</f>
        <v/>
      </c>
      <c r="T65" s="37">
        <f>SUMIF('XSDN TB'!$R:$R,'SDN P&amp;L'!$A65,'XSDN TB'!H:H)</f>
        <v/>
      </c>
      <c r="U65" s="37">
        <f>SUMIF('SDN TB'!$R:$R,'SDN P&amp;L'!$A65,'SDN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SUMIF('XSDN TB'!$R:$R,'SDN P&amp;L'!$A66,'XSDN TB'!C:C)</f>
        <v/>
      </c>
      <c r="P66" s="37">
        <f>SUMIF('XSDN TB'!$R:$R,'SDN P&amp;L'!$A66,'XSDN TB'!D:D)</f>
        <v/>
      </c>
      <c r="Q66" s="37">
        <f>SUMIF('XSDN TB'!$R:$R,'SDN P&amp;L'!$A66,'XSDN TB'!E:E)</f>
        <v/>
      </c>
      <c r="R66" s="37">
        <f>SUMIF('XSDN TB'!$R:$R,'SDN P&amp;L'!$A66,'XSDN TB'!F:F)</f>
        <v/>
      </c>
      <c r="S66" s="37">
        <f>SUMIF('XSDN TB'!$R:$R,'SDN P&amp;L'!$A66,'XSDN TB'!G:G)</f>
        <v/>
      </c>
      <c r="T66" s="37">
        <f>SUMIF('XSDN TB'!$R:$R,'SDN P&amp;L'!$A66,'XSDN TB'!H:H)</f>
        <v/>
      </c>
      <c r="U66" s="37">
        <f>SUMIF('SDN TB'!$R:$R,'SDN P&amp;L'!$A66,'SDN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SUMIF('XSDN TB'!$R:$R,'SDN P&amp;L'!$A67,'XSDN TB'!C:C)</f>
        <v/>
      </c>
      <c r="P67" s="37">
        <f>SUMIF('XSDN TB'!$R:$R,'SDN P&amp;L'!$A67,'XSDN TB'!D:D)</f>
        <v/>
      </c>
      <c r="Q67" s="37">
        <f>SUMIF('XSDN TB'!$R:$R,'SDN P&amp;L'!$A67,'XSDN TB'!E:E)</f>
        <v/>
      </c>
      <c r="R67" s="37">
        <f>SUMIF('XSDN TB'!$R:$R,'SDN P&amp;L'!$A67,'XSDN TB'!F:F)</f>
        <v/>
      </c>
      <c r="S67" s="37">
        <f>SUMIF('XSDN TB'!$R:$R,'SDN P&amp;L'!$A67,'XSDN TB'!G:G)</f>
        <v/>
      </c>
      <c r="T67" s="37">
        <f>SUMIF('XSDN TB'!$R:$R,'SDN P&amp;L'!$A67,'XSDN TB'!H:H)</f>
        <v/>
      </c>
      <c r="U67" s="37">
        <f>SUMIF('SDN TB'!$R:$R,'SDN P&amp;L'!$A67,'SDN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SUMIF('XSDN TB'!$R:$R,'SDN P&amp;L'!$A68,'XSDN TB'!C:C)</f>
        <v/>
      </c>
      <c r="P68" s="37">
        <f>SUMIF('XSDN TB'!$R:$R,'SDN P&amp;L'!$A68,'XSDN TB'!D:D)</f>
        <v/>
      </c>
      <c r="Q68" s="37">
        <f>SUMIF('XSDN TB'!$R:$R,'SDN P&amp;L'!$A68,'XSDN TB'!E:E)</f>
        <v/>
      </c>
      <c r="R68" s="37">
        <f>SUMIF('XSDN TB'!$R:$R,'SDN P&amp;L'!$A68,'XSDN TB'!F:F)</f>
        <v/>
      </c>
      <c r="S68" s="37">
        <f>SUMIF('XSDN TB'!$R:$R,'SDN P&amp;L'!$A68,'XSDN TB'!G:G)</f>
        <v/>
      </c>
      <c r="T68" s="37">
        <f>SUMIF('XSDN TB'!$R:$R,'SDN P&amp;L'!$A68,'XSDN TB'!H:H)</f>
        <v/>
      </c>
      <c r="U68" s="37">
        <f>SUMIF('SDN TB'!$R:$R,'SDN P&amp;L'!$A68,'SDN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253.16</v>
      </c>
      <c r="C69" s="42" t="n">
        <v>312.2</v>
      </c>
      <c r="D69" s="42" t="n">
        <v>591.52</v>
      </c>
      <c r="E69" s="42" t="n">
        <v>221.69</v>
      </c>
      <c r="F69" s="42" t="n">
        <v>230.58</v>
      </c>
      <c r="G69" s="42" t="n">
        <v>246.38</v>
      </c>
      <c r="H69" s="42" t="n">
        <v>253.5</v>
      </c>
      <c r="I69" s="42" t="n">
        <v>202.58</v>
      </c>
      <c r="J69" s="42" t="n">
        <v>203.77</v>
      </c>
      <c r="K69" s="42" t="n">
        <v>301.94</v>
      </c>
      <c r="L69" s="42" t="n">
        <v>228.94</v>
      </c>
      <c r="M69" s="42" t="n">
        <v>653.7400000000001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8608.859999999997</v>
      </c>
      <c r="C70" s="55" t="n">
        <v>20389.71</v>
      </c>
      <c r="D70" s="55" t="n">
        <v>29601.25</v>
      </c>
      <c r="E70" s="55" t="n">
        <v>14679.77</v>
      </c>
      <c r="F70" s="55" t="n">
        <v>458.4899999999924</v>
      </c>
      <c r="G70" s="55" t="n">
        <v>22410.93999999999</v>
      </c>
      <c r="H70" s="55" t="n">
        <v>35532.13</v>
      </c>
      <c r="I70" s="55" t="n">
        <v>6896.640000000009</v>
      </c>
      <c r="J70" s="55" t="n">
        <v>1807.040000000005</v>
      </c>
      <c r="K70" s="55" t="n">
        <v>-4245.730000000008</v>
      </c>
      <c r="L70" s="55" t="n">
        <v>11104.48999999999</v>
      </c>
      <c r="M70" s="55" t="n">
        <v>16812.09999999999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22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7">
        <f>SUM(AC72:AH72)+SUM(AI72:AN72)</f>
        <v/>
      </c>
      <c r="AP72" s="145">
        <f>IF(AB72&lt;&gt;0,(AO72-AB72)/ABS(AB72),0)</f>
        <v/>
      </c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148" t="n">
        <v>0</v>
      </c>
      <c r="AJ73" s="148" t="n">
        <v>0</v>
      </c>
      <c r="AK73" s="148" t="n">
        <v>0</v>
      </c>
      <c r="AL73" s="148" t="n">
        <v>0</v>
      </c>
      <c r="AM73" s="148" t="n">
        <v>0</v>
      </c>
      <c r="AN73" s="148" t="n">
        <v>0</v>
      </c>
      <c r="AO73" s="149">
        <f>SUM(AC73:AH73)+SUM(AI73:AN73)</f>
        <v/>
      </c>
      <c r="AP73" s="145">
        <f>IF(AB73&lt;&gt;0,(AO73-AB73)/ABS(AB73),0)</f>
        <v/>
      </c>
    </row>
    <row r="74">
      <c r="A74" s="60" t="inlineStr">
        <is>
          <t>Direct - Sales</t>
        </is>
      </c>
      <c r="B74" s="60" t="n">
        <v>48732.23</v>
      </c>
      <c r="C74" s="60" t="n">
        <v>58718.16</v>
      </c>
      <c r="D74" s="60" t="n">
        <v>64382.92</v>
      </c>
      <c r="E74" s="60" t="n">
        <v>52875.1</v>
      </c>
      <c r="F74" s="60" t="n">
        <v>43941.13</v>
      </c>
      <c r="G74" s="60" t="n">
        <v>58414.34</v>
      </c>
      <c r="H74" s="60" t="n">
        <v>71871.55</v>
      </c>
      <c r="I74" s="60" t="n">
        <v>40933.60000000001</v>
      </c>
      <c r="J74" s="60" t="n">
        <v>33235.2</v>
      </c>
      <c r="K74" s="60" t="n">
        <v>31364.02</v>
      </c>
      <c r="L74" s="60" t="n">
        <v>45335.14</v>
      </c>
      <c r="M74" s="8" t="n"/>
      <c r="N74" s="8" t="n"/>
      <c r="O74" s="60">
        <f>-SUMIF('XSDN TB'!$T:$T,'SDN P&amp;L'!$A74,'XSDN TB'!C:C)</f>
        <v/>
      </c>
      <c r="P74" s="60">
        <f>-SUMIF('XSDN TB'!$T:$T,'SDN P&amp;L'!$A74,'XSDN TB'!D:D)</f>
        <v/>
      </c>
      <c r="Q74" s="60">
        <f>-SUMIF('XSDN TB'!$T:$T,'SDN P&amp;L'!$A74,'XSDN TB'!E:E)</f>
        <v/>
      </c>
      <c r="R74" s="60">
        <f>-SUMIF('XSDN TB'!$T:$T,'SDN P&amp;L'!$A74,'XSDN TB'!F:F)</f>
        <v/>
      </c>
      <c r="S74" s="60">
        <f>-SUMIF('XSDN TB'!$T:$T,'SDN P&amp;L'!$A74,'XSDN TB'!G:G)</f>
        <v/>
      </c>
      <c r="T74" s="60">
        <f>-SUMIF('XSDN TB'!$T:$T,'SDN P&amp;L'!$A74,'XSDN TB'!H:H)</f>
        <v/>
      </c>
      <c r="U74" s="60">
        <f>-SUMIF('XSDN TB'!$T:$T,'SDN P&amp;L'!$A74,'XSDN TB'!I:I)</f>
        <v/>
      </c>
      <c r="V74" s="60">
        <f>-SUMIF('XSDN TB'!$T:$T,'SDN P&amp;L'!$A74,'XSDN TB'!J:J)</f>
        <v/>
      </c>
      <c r="W74" s="60">
        <f>-SUMIF('XSDN TB'!$T:$T,'SDN P&amp;L'!$A74,'XSDN TB'!K:K)</f>
        <v/>
      </c>
      <c r="X74" s="60">
        <f>-SUMIF('XSDN TB'!$T:$T,'SDN P&amp;L'!$A74,'XSDN TB'!L:L)</f>
        <v/>
      </c>
      <c r="Y74" s="60">
        <f>-SUMIF('XSDN TB'!$T:$T,'SDN P&amp;L'!$A74,'XSDN TB'!M:M)</f>
        <v/>
      </c>
      <c r="Z74" s="60">
        <f>-SUMIF('XSDN TB'!$T:$T,'SDN P&amp;L'!$A74,'XSDN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148" t="n">
        <v>0</v>
      </c>
      <c r="AJ74" s="148" t="n">
        <v>0</v>
      </c>
      <c r="AK74" s="148" t="n">
        <v>0</v>
      </c>
      <c r="AL74" s="148" t="n">
        <v>0</v>
      </c>
      <c r="AM74" s="148" t="n">
        <v>0</v>
      </c>
      <c r="AN74" s="148" t="n">
        <v>0</v>
      </c>
      <c r="AO74" s="149">
        <f>SUM(AC74:AH74)+SUM(AI74:AN74)</f>
        <v/>
      </c>
      <c r="AP74" s="145">
        <f>IF(AB74&lt;&gt;0,(AO74-AB74)/ABS(AB74),0)</f>
        <v/>
      </c>
    </row>
    <row r="75">
      <c r="A75" s="34" t="inlineStr">
        <is>
          <t>Direct - Staff Cost</t>
        </is>
      </c>
      <c r="B75" s="18" t="n">
        <v>-33262.49</v>
      </c>
      <c r="C75" s="18" t="n">
        <v>-30865.36</v>
      </c>
      <c r="D75" s="18" t="n">
        <v>-27697.74</v>
      </c>
      <c r="E75" s="18" t="n">
        <v>-31873.07</v>
      </c>
      <c r="F75" s="18" t="n">
        <v>-36902.71000000001</v>
      </c>
      <c r="G75" s="18" t="n">
        <v>-30037.63</v>
      </c>
      <c r="H75" s="18" t="n">
        <v>-30604.08</v>
      </c>
      <c r="I75" s="18" t="n">
        <v>-28328.26</v>
      </c>
      <c r="J75" s="18" t="n">
        <v>-26280.16999999999</v>
      </c>
      <c r="K75" s="18" t="n">
        <v>-29836.96</v>
      </c>
      <c r="L75" s="18" t="n">
        <v>-28754.76000000001</v>
      </c>
      <c r="M75" s="18" t="n"/>
      <c r="N75" s="8" t="n"/>
      <c r="O75" s="60">
        <f>-SUMIF('XSDN TB'!$T:$T,'SDN P&amp;L'!$A75,'XSDN TB'!C:C)</f>
        <v/>
      </c>
      <c r="P75" s="60">
        <f>-SUMIF('XSDN TB'!$T:$T,'SDN P&amp;L'!$A75,'XSDN TB'!D:D)</f>
        <v/>
      </c>
      <c r="Q75" s="60">
        <f>-SUMIF('XSDN TB'!$T:$T,'SDN P&amp;L'!$A75,'XSDN TB'!E:E)</f>
        <v/>
      </c>
      <c r="R75" s="60">
        <f>-SUMIF('XSDN TB'!$T:$T,'SDN P&amp;L'!$A75,'XSDN TB'!F:F)</f>
        <v/>
      </c>
      <c r="S75" s="60">
        <f>-SUMIF('XSDN TB'!$T:$T,'SDN P&amp;L'!$A75,'XSDN TB'!G:G)</f>
        <v/>
      </c>
      <c r="T75" s="60">
        <f>-SUMIF('XSDN TB'!$T:$T,'SDN P&amp;L'!$A75,'XSDN TB'!H:H)</f>
        <v/>
      </c>
      <c r="U75" s="60">
        <f>-SUMIF('XSDN TB'!$T:$T,'SDN P&amp;L'!$A75,'XSDN TB'!I:I)</f>
        <v/>
      </c>
      <c r="V75" s="60">
        <f>-SUMIF('XSDN TB'!$T:$T,'SDN P&amp;L'!$A75,'XSDN TB'!J:J)</f>
        <v/>
      </c>
      <c r="W75" s="60">
        <f>-SUMIF('XSDN TB'!$T:$T,'SDN P&amp;L'!$A75,'XSDN TB'!K:K)</f>
        <v/>
      </c>
      <c r="X75" s="60">
        <f>-SUMIF('XSDN TB'!$T:$T,'SDN P&amp;L'!$A75,'XSDN TB'!L:L)</f>
        <v/>
      </c>
      <c r="Y75" s="60">
        <f>-SUMIF('XSDN TB'!$T:$T,'SDN P&amp;L'!$A75,'XSDN TB'!M:M)</f>
        <v/>
      </c>
      <c r="Z75" s="60">
        <f>-SUMIF('XSDN TB'!$T:$T,'SDN P&amp;L'!$A75,'XSDN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148" t="n">
        <v>0</v>
      </c>
      <c r="AJ75" s="148" t="n">
        <v>0</v>
      </c>
      <c r="AK75" s="148" t="n">
        <v>0</v>
      </c>
      <c r="AL75" s="148" t="n">
        <v>0</v>
      </c>
      <c r="AM75" s="148" t="n">
        <v>0</v>
      </c>
      <c r="AN75" s="148" t="n">
        <v>0</v>
      </c>
      <c r="AO75" s="149">
        <f>SUM(AC75:AH75)+SUM(AI75:AN75)</f>
        <v/>
      </c>
      <c r="AP75" s="145">
        <f>IF(AB75&lt;&gt;0,(AO75-AB75)/ABS(AB75),0)</f>
        <v/>
      </c>
    </row>
    <row r="76">
      <c r="A76" s="60" t="inlineStr">
        <is>
          <t>Direct - Childcare Cost</t>
        </is>
      </c>
      <c r="B76" s="18" t="n">
        <v>-2008.15</v>
      </c>
      <c r="C76" s="18" t="n">
        <v>-2961.2</v>
      </c>
      <c r="D76" s="18" t="n">
        <v>-2111.57</v>
      </c>
      <c r="E76" s="18" t="n">
        <v>-2139.41</v>
      </c>
      <c r="F76" s="18" t="n">
        <v>-2728.47</v>
      </c>
      <c r="G76" s="18" t="n">
        <v>-2510.75</v>
      </c>
      <c r="H76" s="18" t="n">
        <v>-2466.63</v>
      </c>
      <c r="I76" s="18" t="n">
        <v>-2234.18</v>
      </c>
      <c r="J76" s="18" t="n">
        <v>-1847.14</v>
      </c>
      <c r="K76" s="18" t="n">
        <v>-1887.07</v>
      </c>
      <c r="L76" s="18" t="n">
        <v>-1912.24</v>
      </c>
      <c r="M76" s="18" t="n">
        <v>-1506</v>
      </c>
      <c r="N76" s="8" t="n"/>
      <c r="O76" s="60">
        <f>-SUMIF('XSDN TB'!$T:$T,'SDN P&amp;L'!$A76,'XSDN TB'!C:C)</f>
        <v/>
      </c>
      <c r="P76" s="60">
        <f>-SUMIF('XSDN TB'!$T:$T,'SDN P&amp;L'!$A76,'XSDN TB'!D:D)</f>
        <v/>
      </c>
      <c r="Q76" s="60">
        <f>-SUMIF('XSDN TB'!$T:$T,'SDN P&amp;L'!$A76,'XSDN TB'!E:E)</f>
        <v/>
      </c>
      <c r="R76" s="60">
        <f>-SUMIF('XSDN TB'!$T:$T,'SDN P&amp;L'!$A76,'XSDN TB'!F:F)</f>
        <v/>
      </c>
      <c r="S76" s="60">
        <f>-SUMIF('XSDN TB'!$T:$T,'SDN P&amp;L'!$A76,'XSDN TB'!G:G)</f>
        <v/>
      </c>
      <c r="T76" s="60">
        <f>-SUMIF('XSDN TB'!$T:$T,'SDN P&amp;L'!$A76,'XSDN TB'!H:H)</f>
        <v/>
      </c>
      <c r="U76" s="60">
        <f>-SUMIF('XSDN TB'!$T:$T,'SDN P&amp;L'!$A76,'XSDN TB'!I:I)</f>
        <v/>
      </c>
      <c r="V76" s="60">
        <f>-SUMIF('XSDN TB'!$T:$T,'SDN P&amp;L'!$A76,'XSDN TB'!J:J)</f>
        <v/>
      </c>
      <c r="W76" s="60">
        <f>-SUMIF('XSDN TB'!$T:$T,'SDN P&amp;L'!$A76,'XSDN TB'!K:K)</f>
        <v/>
      </c>
      <c r="X76" s="60">
        <f>-SUMIF('XSDN TB'!$T:$T,'SDN P&amp;L'!$A76,'XSDN TB'!L:L)</f>
        <v/>
      </c>
      <c r="Y76" s="60">
        <f>-SUMIF('XSDN TB'!$T:$T,'SDN P&amp;L'!$A76,'XSDN TB'!M:M)</f>
        <v/>
      </c>
      <c r="Z76" s="60">
        <f>-SUMIF('XSDN TB'!$T:$T,'SDN P&amp;L'!$A76,'XSDN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148" t="n">
        <v>0</v>
      </c>
      <c r="AJ76" s="148" t="n">
        <v>0</v>
      </c>
      <c r="AK76" s="148" t="n">
        <v>0</v>
      </c>
      <c r="AL76" s="148" t="n">
        <v>0</v>
      </c>
      <c r="AM76" s="148" t="n">
        <v>0</v>
      </c>
      <c r="AN76" s="148" t="n">
        <v>0</v>
      </c>
      <c r="AO76" s="149">
        <f>SUM(AC76:AH76)+SUM(AI76:AN76)</f>
        <v/>
      </c>
      <c r="AP76" s="145">
        <f>IF(AB76&lt;&gt;0,(AO76-AB76)/ABS(AB76),0)</f>
        <v/>
      </c>
    </row>
    <row r="77">
      <c r="A77" s="60" t="inlineStr">
        <is>
          <t>Direct - Premises &amp; Admin</t>
        </is>
      </c>
      <c r="B77" s="18" t="n">
        <v>-4599.569999999999</v>
      </c>
      <c r="C77" s="18" t="n">
        <v>-4189.69</v>
      </c>
      <c r="D77" s="18" t="n">
        <v>-4380.840000000001</v>
      </c>
      <c r="E77" s="18" t="n">
        <v>-3961.16</v>
      </c>
      <c r="F77" s="18" t="n">
        <v>-3620.88</v>
      </c>
      <c r="G77" s="18" t="n">
        <v>-3208.64</v>
      </c>
      <c r="H77" s="18" t="n">
        <v>-3015.21</v>
      </c>
      <c r="I77" s="18" t="n">
        <v>-3271.94</v>
      </c>
      <c r="J77" s="18" t="n">
        <v>-3097.08</v>
      </c>
      <c r="K77" s="18" t="n">
        <v>-3583.78</v>
      </c>
      <c r="L77" s="18" t="n">
        <v>-3334.71</v>
      </c>
      <c r="M77" s="18" t="n">
        <v>-2666.58</v>
      </c>
      <c r="N77" s="8" t="n"/>
      <c r="O77" s="60">
        <f>-SUMIF('XSDN TB'!$T:$T,'SDN P&amp;L'!$A77,'XSDN TB'!C:C)</f>
        <v/>
      </c>
      <c r="P77" s="60">
        <f>-SUMIF('XSDN TB'!$T:$T,'SDN P&amp;L'!$A77,'XSDN TB'!D:D)</f>
        <v/>
      </c>
      <c r="Q77" s="60">
        <f>-SUMIF('XSDN TB'!$T:$T,'SDN P&amp;L'!$A77,'XSDN TB'!E:E)</f>
        <v/>
      </c>
      <c r="R77" s="60">
        <f>-SUMIF('XSDN TB'!$T:$T,'SDN P&amp;L'!$A77,'XSDN TB'!F:F)</f>
        <v/>
      </c>
      <c r="S77" s="60">
        <f>-SUMIF('XSDN TB'!$T:$T,'SDN P&amp;L'!$A77,'XSDN TB'!G:G)</f>
        <v/>
      </c>
      <c r="T77" s="60">
        <f>-SUMIF('XSDN TB'!$T:$T,'SDN P&amp;L'!$A77,'XSDN TB'!H:H)</f>
        <v/>
      </c>
      <c r="U77" s="60">
        <f>-SUMIF('XSDN TB'!$T:$T,'SDN P&amp;L'!$A77,'XSDN TB'!I:I)</f>
        <v/>
      </c>
      <c r="V77" s="60">
        <f>-SUMIF('XSDN TB'!$T:$T,'SDN P&amp;L'!$A77,'XSDN TB'!J:J)</f>
        <v/>
      </c>
      <c r="W77" s="60">
        <f>-SUMIF('XSDN TB'!$T:$T,'SDN P&amp;L'!$A77,'XSDN TB'!K:K)</f>
        <v/>
      </c>
      <c r="X77" s="60">
        <f>-SUMIF('XSDN TB'!$T:$T,'SDN P&amp;L'!$A77,'XSDN TB'!L:L)</f>
        <v/>
      </c>
      <c r="Y77" s="60">
        <f>-SUMIF('XSDN TB'!$T:$T,'SDN P&amp;L'!$A77,'XSDN TB'!M:M)</f>
        <v/>
      </c>
      <c r="Z77" s="60">
        <f>-SUMIF('XSDN TB'!$T:$T,'SDN P&amp;L'!$A77,'XSDN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148" t="n">
        <v>0</v>
      </c>
      <c r="AJ77" s="148" t="n">
        <v>0</v>
      </c>
      <c r="AK77" s="148" t="n">
        <v>0</v>
      </c>
      <c r="AL77" s="148" t="n">
        <v>0</v>
      </c>
      <c r="AM77" s="148" t="n">
        <v>0</v>
      </c>
      <c r="AN77" s="148" t="n">
        <v>0</v>
      </c>
      <c r="AO77" s="149">
        <f>SUM(AC77:AH77)+SUM(AI77:AN77)</f>
        <v/>
      </c>
      <c r="AP77" s="145">
        <f>IF(AB77&lt;&gt;0,(AO77-AB77)/ABS(AB77),0)</f>
        <v/>
      </c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-SUMIF('XSDN TB'!$T:$T,'SDN P&amp;L'!$A78,'XSDN TB'!C:C)</f>
        <v/>
      </c>
      <c r="P78" s="60">
        <f>-SUMIF('XSDN TB'!$T:$T,'SDN P&amp;L'!$A78,'XSDN TB'!D:D)</f>
        <v/>
      </c>
      <c r="Q78" s="60">
        <f>-SUMIF('XSDN TB'!$T:$T,'SDN P&amp;L'!$A78,'XSDN TB'!E:E)</f>
        <v/>
      </c>
      <c r="R78" s="60">
        <f>-SUMIF('XSDN TB'!$T:$T,'SDN P&amp;L'!$A78,'XSDN TB'!F:F)</f>
        <v/>
      </c>
      <c r="S78" s="60">
        <f>-SUMIF('XSDN TB'!$T:$T,'SDN P&amp;L'!$A78,'XSDN TB'!G:G)</f>
        <v/>
      </c>
      <c r="T78" s="60">
        <f>-SUMIF('XSDN TB'!$T:$T,'SDN P&amp;L'!$A78,'XSDN TB'!H:H)</f>
        <v/>
      </c>
      <c r="U78" s="60">
        <f>-SUMIF('XSDN TB'!$T:$T,'SDN P&amp;L'!$A78,'XSDN TB'!I:I)</f>
        <v/>
      </c>
      <c r="V78" s="60">
        <f>-SUMIF('XSDN TB'!$T:$T,'SDN P&amp;L'!$A78,'XSDN TB'!J:J)</f>
        <v/>
      </c>
      <c r="W78" s="60">
        <f>-SUMIF('XSDN TB'!$T:$T,'SDN P&amp;L'!$A78,'XSDN TB'!K:K)</f>
        <v/>
      </c>
      <c r="X78" s="60">
        <f>-SUMIF('XSDN TB'!$T:$T,'SDN P&amp;L'!$A78,'XSDN TB'!L:L)</f>
        <v/>
      </c>
      <c r="Y78" s="60">
        <f>-SUMIF('XSDN TB'!$T:$T,'SDN P&amp;L'!$A78,'XSDN TB'!M:M)</f>
        <v/>
      </c>
      <c r="Z78" s="60">
        <f>-SUMIF('XSDN TB'!$T:$T,'SDN P&amp;L'!$A78,'XSDN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148" t="n">
        <v>0</v>
      </c>
      <c r="AJ78" s="148" t="n">
        <v>0</v>
      </c>
      <c r="AK78" s="148" t="n">
        <v>0</v>
      </c>
      <c r="AL78" s="148" t="n">
        <v>0</v>
      </c>
      <c r="AM78" s="148" t="n">
        <v>0</v>
      </c>
      <c r="AN78" s="148" t="n">
        <v>0</v>
      </c>
      <c r="AO78" s="149">
        <f>SUM(AC78:AH78)+SUM(AI78:AN78)</f>
        <v/>
      </c>
      <c r="AP78" s="145">
        <f>IF(AB78&lt;&gt;0,(AO78-AB78)/ABS(AB78),0)</f>
        <v/>
      </c>
    </row>
    <row r="79">
      <c r="A79" s="60" t="inlineStr">
        <is>
          <t>In-Direct - Overheads</t>
        </is>
      </c>
      <c r="B79" s="18" t="n">
        <v>-253.16</v>
      </c>
      <c r="C79" s="18" t="n">
        <v>-312.2</v>
      </c>
      <c r="D79" s="18" t="n">
        <v>-591.52</v>
      </c>
      <c r="E79" s="18" t="n">
        <v>-221.69</v>
      </c>
      <c r="F79" s="18" t="n">
        <v>-230.58</v>
      </c>
      <c r="G79" s="18" t="n">
        <v>-246.38</v>
      </c>
      <c r="H79" s="18" t="n">
        <v>-253.5</v>
      </c>
      <c r="I79" s="18" t="n">
        <v>-202.58</v>
      </c>
      <c r="J79" s="18" t="n">
        <v>-203.77</v>
      </c>
      <c r="K79" s="18" t="n">
        <v>-301.94</v>
      </c>
      <c r="L79" s="18" t="n">
        <v>-228.94</v>
      </c>
      <c r="M79" s="18" t="n">
        <v>-653.7400000000001</v>
      </c>
      <c r="N79" s="8" t="n"/>
      <c r="O79" s="60">
        <f>-SUMIF('XSDN TB'!$T:$T,'SDN P&amp;L'!$A79,'XSDN TB'!C:C)</f>
        <v/>
      </c>
      <c r="P79" s="60">
        <f>-SUMIF('XSDN TB'!$T:$T,'SDN P&amp;L'!$A79,'XSDN TB'!D:D)</f>
        <v/>
      </c>
      <c r="Q79" s="60">
        <f>-SUMIF('XSDN TB'!$T:$T,'SDN P&amp;L'!$A79,'XSDN TB'!E:E)</f>
        <v/>
      </c>
      <c r="R79" s="60">
        <f>-SUMIF('XSDN TB'!$T:$T,'SDN P&amp;L'!$A79,'XSDN TB'!F:F)</f>
        <v/>
      </c>
      <c r="S79" s="60">
        <f>-SUMIF('XSDN TB'!$T:$T,'SDN P&amp;L'!$A79,'XSDN TB'!G:G)</f>
        <v/>
      </c>
      <c r="T79" s="60">
        <f>-SUMIF('XSDN TB'!$T:$T,'SDN P&amp;L'!$A79,'XSDN TB'!H:H)</f>
        <v/>
      </c>
      <c r="U79" s="60">
        <f>-SUMIF('XSDN TB'!$T:$T,'SDN P&amp;L'!$A79,'XSDN TB'!I:I)</f>
        <v/>
      </c>
      <c r="V79" s="60">
        <f>-SUMIF('XSDN TB'!$T:$T,'SDN P&amp;L'!$A79,'XSDN TB'!J:J)</f>
        <v/>
      </c>
      <c r="W79" s="60">
        <f>-SUMIF('XSDN TB'!$T:$T,'SDN P&amp;L'!$A79,'XSDN TB'!K:K)</f>
        <v/>
      </c>
      <c r="X79" s="60">
        <f>-SUMIF('XSDN TB'!$T:$T,'SDN P&amp;L'!$A79,'XSDN TB'!L:L)</f>
        <v/>
      </c>
      <c r="Y79" s="60">
        <f>-SUMIF('XSDN TB'!$T:$T,'SDN P&amp;L'!$A79,'XSDN TB'!M:M)</f>
        <v/>
      </c>
      <c r="Z79" s="60">
        <f>-SUMIF('XSDN TB'!$T:$T,'SDN P&amp;L'!$A79,'XSDN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148" t="n">
        <v>0</v>
      </c>
      <c r="AJ79" s="148" t="n">
        <v>0</v>
      </c>
      <c r="AK79" s="148" t="n">
        <v>0</v>
      </c>
      <c r="AL79" s="148" t="n">
        <v>0</v>
      </c>
      <c r="AM79" s="148" t="n">
        <v>0</v>
      </c>
      <c r="AN79" s="148" t="n">
        <v>0</v>
      </c>
      <c r="AO79" s="149">
        <f>SUM(AC79:AH79)+SUM(AI79:AN79)</f>
        <v/>
      </c>
      <c r="AP79" s="145">
        <f>IF(AB79&lt;&gt;0,(AO79-AB79)/ABS(AB79),0)</f>
        <v/>
      </c>
    </row>
    <row r="80" ht="15.75" customHeight="1">
      <c r="A80" s="8" t="n"/>
      <c r="B80" s="67" t="n">
        <v>8608.860000000001</v>
      </c>
      <c r="C80" s="67" t="n">
        <v>20389.71000000001</v>
      </c>
      <c r="D80" s="67" t="n">
        <v>29601.24999999999</v>
      </c>
      <c r="E80" s="67" t="n">
        <v>14679.77</v>
      </c>
      <c r="F80" s="67" t="n">
        <v>458.4899999999906</v>
      </c>
      <c r="G80" s="67" t="n">
        <v>22410.94</v>
      </c>
      <c r="H80" s="67" t="n">
        <v>35532.13</v>
      </c>
      <c r="I80" s="67" t="n">
        <v>6896.640000000007</v>
      </c>
      <c r="J80" s="67" t="n">
        <v>1807.040000000002</v>
      </c>
      <c r="K80" s="67" t="n">
        <v>-4245.730000000005</v>
      </c>
      <c r="L80" s="67" t="n">
        <v>11104.48999999999</v>
      </c>
      <c r="M80" s="67" t="n">
        <v>-4826.32</v>
      </c>
      <c r="N80" s="8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0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50">
        <f>SUM(AC80:AH80)+SUM(AI80:AN80)</f>
        <v/>
      </c>
      <c r="AP80" s="145">
        <f>IF(AB80&lt;&gt;0,(AO80-AB80)/ABS(AB80),0)</f>
        <v/>
      </c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1.818989403545856e-12</v>
      </c>
      <c r="G81" s="18" t="n">
        <v>0</v>
      </c>
      <c r="H81" s="18" t="n">
        <v>0</v>
      </c>
      <c r="I81" s="18" t="n">
        <v>0</v>
      </c>
      <c r="J81" s="18" t="n">
        <v>2.728484105318785e-12</v>
      </c>
      <c r="K81" s="18" t="n">
        <v>0</v>
      </c>
      <c r="L81" s="18" t="n">
        <v>0</v>
      </c>
      <c r="M81" s="18" t="n">
        <v>21638.41999999999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-2.216893335571513e-12</v>
      </c>
      <c r="G83" s="18" t="n">
        <v>0</v>
      </c>
      <c r="H83" s="18" t="n">
        <v>0</v>
      </c>
      <c r="I83" s="18" t="n">
        <v>0</v>
      </c>
      <c r="J83" s="18" t="n">
        <v>3.637978807091713e-12</v>
      </c>
      <c r="K83" s="18" t="n">
        <v>0</v>
      </c>
      <c r="L83" s="18" t="n">
        <v>0</v>
      </c>
      <c r="M83" s="18" t="n">
        <v>-21638.42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48" t="n">
        <v>0</v>
      </c>
      <c r="AJ83" s="148" t="n">
        <v>0</v>
      </c>
      <c r="AK83" s="148" t="n">
        <v>0</v>
      </c>
      <c r="AL83" s="148" t="n">
        <v>0</v>
      </c>
      <c r="AM83" s="148" t="n">
        <v>0</v>
      </c>
      <c r="AN83" s="148" t="n">
        <v>0</v>
      </c>
      <c r="AO83" s="149">
        <f>SUM(AC83:AH83)+SUM(AI83:AN83)</f>
        <v/>
      </c>
      <c r="AP83" s="145">
        <f>IF(AB83&lt;&gt;0,(AO83-AB83)/ABS(AB83),0)</f>
        <v/>
      </c>
    </row>
    <row r="84">
      <c r="A84" s="8" t="n"/>
      <c r="B84" s="18" t="n">
        <v>-8608.859999999995</v>
      </c>
      <c r="C84" s="18" t="n">
        <v>-20389.71</v>
      </c>
      <c r="D84" s="18" t="n">
        <v>-29601.25</v>
      </c>
      <c r="E84" s="18" t="n">
        <v>-14679.76999999999</v>
      </c>
      <c r="F84" s="18" t="n">
        <v>-458.4899999999928</v>
      </c>
      <c r="G84" s="18" t="n">
        <v>-22410.94</v>
      </c>
      <c r="H84" s="18" t="n">
        <v>-35532.13</v>
      </c>
      <c r="I84" s="18" t="n">
        <v>-6896.640000000008</v>
      </c>
      <c r="J84" s="18" t="n">
        <v>-1807.039999999999</v>
      </c>
      <c r="K84" s="18" t="n">
        <v>4245.730000000003</v>
      </c>
      <c r="L84" s="18" t="n">
        <v>-11104.48999999999</v>
      </c>
      <c r="M84" s="18" t="n">
        <v>-16812.1</v>
      </c>
      <c r="N84" s="8" t="n"/>
      <c r="O84" s="60">
        <f>SUM('XSDN TB'!C2:C42)</f>
        <v/>
      </c>
      <c r="P84" s="60">
        <f>SUM('XSDN TB'!D2:D42)</f>
        <v/>
      </c>
      <c r="Q84" s="60">
        <f>SUM('XSDN TB'!E2:E42)</f>
        <v/>
      </c>
      <c r="R84" s="60">
        <f>SUM('XSDN TB'!F2:F42)</f>
        <v/>
      </c>
      <c r="S84" s="60">
        <f>SUM('XSDN TB'!G2:G42)</f>
        <v/>
      </c>
      <c r="T84" s="60">
        <f>SUM('XSDN TB'!H2:H42)</f>
        <v/>
      </c>
      <c r="U84" s="60">
        <f>SUM('XSDN TB'!I2:I42)</f>
        <v/>
      </c>
      <c r="V84" s="60">
        <f>SUM('XSDN TB'!J2:J42)</f>
        <v/>
      </c>
      <c r="W84" s="60">
        <f>SUM('XSDN TB'!K2:K42)</f>
        <v/>
      </c>
      <c r="X84" s="60">
        <f>SUM('XSDN TB'!L2:L42)</f>
        <v/>
      </c>
      <c r="Y84" s="60">
        <f>SUM('XSDN TB'!M2:M42)</f>
        <v/>
      </c>
      <c r="Z84" s="60">
        <f>SUM('XSDN TB'!N2:N42)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48" t="n">
        <v>0</v>
      </c>
      <c r="AJ84" s="148" t="n">
        <v>0</v>
      </c>
      <c r="AK84" s="148" t="n">
        <v>0</v>
      </c>
      <c r="AL84" s="148" t="n">
        <v>0</v>
      </c>
      <c r="AM84" s="148" t="n">
        <v>0</v>
      </c>
      <c r="AN84" s="148" t="n">
        <v>0</v>
      </c>
      <c r="AO84" s="149">
        <f>SUM(AC84:AH84)+SUM(AI84:AN84)</f>
        <v/>
      </c>
      <c r="AP84" s="145">
        <f>IF(AB84&lt;&gt;0,(AO84-AB84)/ABS(AB84),0)</f>
        <v/>
      </c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mergeCells count="1">
    <mergeCell ref="AI1:AQ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Steppingstones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47272.73</v>
      </c>
      <c r="C8" s="35" t="n">
        <v>41439.07</v>
      </c>
      <c r="D8" s="35" t="n">
        <v>47933.15</v>
      </c>
      <c r="E8" s="35" t="n">
        <v>50993.37</v>
      </c>
      <c r="F8" s="35" t="n">
        <v>45605.89</v>
      </c>
      <c r="G8" s="35" t="n">
        <v>43338.36</v>
      </c>
      <c r="H8" s="35" t="n">
        <v>49651.73</v>
      </c>
      <c r="I8" s="35" t="n">
        <v>45155.16</v>
      </c>
      <c r="J8" s="35" t="n">
        <v>35763.55</v>
      </c>
      <c r="K8" s="35" t="n">
        <v>37137.94</v>
      </c>
      <c r="L8" s="35" t="n">
        <v>34126.29</v>
      </c>
      <c r="M8" s="35" t="n">
        <v>43136.03</v>
      </c>
      <c r="N8" s="36">
        <f>SUM(B8:M8)</f>
        <v/>
      </c>
      <c r="O8" s="37" t="n">
        <v>39923</v>
      </c>
      <c r="P8" s="37" t="n">
        <v>37444.52</v>
      </c>
      <c r="Q8" s="37" t="n">
        <v>38993.25999999999</v>
      </c>
      <c r="R8" s="37" t="n">
        <v>44955.40999999999</v>
      </c>
      <c r="S8" s="37" t="n">
        <v>36870.75999999999</v>
      </c>
      <c r="T8" s="37" t="n">
        <v>38820.41</v>
      </c>
      <c r="U8" s="37" t="n">
        <v>49058.80000000001</v>
      </c>
      <c r="V8" s="38" t="n">
        <v>43415.66</v>
      </c>
      <c r="W8" s="38" t="n">
        <v>26102</v>
      </c>
      <c r="X8" s="38" t="n">
        <v>22884</v>
      </c>
      <c r="Y8" s="38" t="n">
        <v>22464</v>
      </c>
      <c r="Z8" s="38" t="n">
        <v>31756</v>
      </c>
      <c r="AA8" s="36">
        <f>SUM(O8:U8)</f>
        <v/>
      </c>
      <c r="AB8" s="36">
        <f>SUM(O8:Z8)</f>
        <v/>
      </c>
      <c r="AC8" s="38" t="n">
        <v>42836.88</v>
      </c>
      <c r="AD8" s="38" t="n">
        <v>32424.51</v>
      </c>
      <c r="AE8" s="38" t="n">
        <v>55090.04</v>
      </c>
      <c r="AF8" s="38" t="n">
        <v>42857.01</v>
      </c>
      <c r="AG8" s="38" t="n">
        <v>43360.87</v>
      </c>
      <c r="AH8" s="38" t="n">
        <v>39588.43</v>
      </c>
      <c r="AI8" s="117" t="n">
        <v>39588.43</v>
      </c>
      <c r="AJ8" s="118" t="n">
        <v>39588.43</v>
      </c>
      <c r="AK8" s="118" t="n">
        <v>39588.43</v>
      </c>
      <c r="AL8" s="118" t="n">
        <v>39588.43</v>
      </c>
      <c r="AM8" s="119" t="n">
        <v>39588.43</v>
      </c>
      <c r="AN8" s="117" t="n">
        <v>39588.43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13845.22</v>
      </c>
      <c r="C9" s="35" t="n">
        <v>13845.22</v>
      </c>
      <c r="D9" s="35" t="n">
        <v>14298.7</v>
      </c>
      <c r="E9" s="35" t="n">
        <v>12728.52</v>
      </c>
      <c r="F9" s="35" t="n">
        <v>12728.52</v>
      </c>
      <c r="G9" s="35" t="n">
        <v>12728.53</v>
      </c>
      <c r="H9" s="35" t="n">
        <v>23643.93</v>
      </c>
      <c r="I9" s="35" t="n">
        <v>0</v>
      </c>
      <c r="J9" s="35" t="n">
        <v>11531.5</v>
      </c>
      <c r="K9" s="35" t="n">
        <v>11531.5</v>
      </c>
      <c r="L9" s="35" t="n">
        <v>26935.88999999999</v>
      </c>
      <c r="M9" s="35" t="n">
        <v>27141.4</v>
      </c>
      <c r="N9" s="36">
        <f>SUM(B9:M9)</f>
        <v/>
      </c>
      <c r="O9" s="37" t="n">
        <v>19933.58</v>
      </c>
      <c r="P9" s="37" t="n">
        <v>19933.58</v>
      </c>
      <c r="Q9" s="37" t="n">
        <v>31311.67</v>
      </c>
      <c r="R9" s="37" t="n">
        <v>17938.48</v>
      </c>
      <c r="S9" s="37" t="n">
        <v>17938.48</v>
      </c>
      <c r="T9" s="37" t="n">
        <v>32496.22</v>
      </c>
      <c r="U9" s="37" t="n">
        <v>22791.06</v>
      </c>
      <c r="V9" s="38" t="n">
        <v>0</v>
      </c>
      <c r="W9" s="38" t="n">
        <v>18438</v>
      </c>
      <c r="X9" s="38" t="n">
        <v>22151</v>
      </c>
      <c r="Y9" s="38" t="n">
        <v>21981</v>
      </c>
      <c r="Z9" s="38" t="n">
        <v>9840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2971.91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-SUMIF('SST TB'!$R:$R,'SST P&amp;L'!$A10,'SST TB'!C:C)</f>
        <v/>
      </c>
      <c r="P10" s="37">
        <f>-SUMIF('SST TB'!$R:$R,'SST P&amp;L'!$A10,'SST TB'!D:D)</f>
        <v/>
      </c>
      <c r="Q10" s="37">
        <f>-SUMIF('SST TB'!$R:$R,'SST P&amp;L'!$A10,'SST TB'!E:E)</f>
        <v/>
      </c>
      <c r="R10" s="37">
        <f>-SUMIF('SST TB'!$R:$R,'SST P&amp;L'!$A10,'SST TB'!F:F)</f>
        <v/>
      </c>
      <c r="S10" s="37">
        <f>-SUMIF('SST TB'!$R:$R,'SST P&amp;L'!$A10,'SST TB'!G:G)</f>
        <v/>
      </c>
      <c r="T10" s="37">
        <f>-SUMIF('SST TB'!$R:$R,'SST P&amp;L'!$A10,'SST TB'!H:H)</f>
        <v/>
      </c>
      <c r="U10" s="37">
        <f>-SUMIF('SST TB'!$R:$R,'SST P&amp;L'!$A10,'SST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61117.95</v>
      </c>
      <c r="C11" s="42" t="n">
        <v>55284.29</v>
      </c>
      <c r="D11" s="42" t="n">
        <v>62231.85</v>
      </c>
      <c r="E11" s="42" t="n">
        <v>63721.89</v>
      </c>
      <c r="F11" s="42" t="n">
        <v>58334.41</v>
      </c>
      <c r="G11" s="42" t="n">
        <v>56066.89</v>
      </c>
      <c r="H11" s="42" t="n">
        <v>73295.66</v>
      </c>
      <c r="I11" s="42" t="n">
        <v>48127.07000000001</v>
      </c>
      <c r="J11" s="42" t="n">
        <v>47295.05</v>
      </c>
      <c r="K11" s="42" t="n">
        <v>48669.44</v>
      </c>
      <c r="L11" s="42" t="n">
        <v>61062.17999999999</v>
      </c>
      <c r="M11" s="42" t="n">
        <v>70277.42999999999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21607.1</v>
      </c>
      <c r="C16" s="35" t="n">
        <v>18599.12</v>
      </c>
      <c r="D16" s="35" t="n">
        <v>18828.61</v>
      </c>
      <c r="E16" s="35" t="n">
        <v>30196.38</v>
      </c>
      <c r="F16" s="35" t="n">
        <v>21271.92</v>
      </c>
      <c r="G16" s="35" t="n">
        <v>21185.22</v>
      </c>
      <c r="H16" s="35" t="n">
        <v>20748.59</v>
      </c>
      <c r="I16" s="35" t="n">
        <v>15728.54</v>
      </c>
      <c r="J16" s="35" t="n">
        <v>13769.68</v>
      </c>
      <c r="K16" s="35" t="n">
        <v>21655.25</v>
      </c>
      <c r="L16" s="35" t="n">
        <v>23068.26</v>
      </c>
      <c r="M16" s="35" t="n">
        <v>25028.67</v>
      </c>
      <c r="N16" s="36">
        <f>SUM(B16:M16)</f>
        <v/>
      </c>
      <c r="O16" s="37" t="n">
        <v>26176.86</v>
      </c>
      <c r="P16" s="37" t="n">
        <v>22930.94</v>
      </c>
      <c r="Q16" s="37" t="n">
        <v>24582.34</v>
      </c>
      <c r="R16" s="37" t="n">
        <v>27353.04</v>
      </c>
      <c r="S16" s="37" t="n">
        <v>25209.56</v>
      </c>
      <c r="T16" s="37" t="n">
        <v>23332.22</v>
      </c>
      <c r="U16" s="37" t="n">
        <v>23764.36</v>
      </c>
      <c r="V16" s="38" t="n">
        <v>23764.36</v>
      </c>
      <c r="W16" s="38" t="n">
        <v>23764.36</v>
      </c>
      <c r="X16" s="38" t="n">
        <v>23764.36</v>
      </c>
      <c r="Y16" s="38" t="n">
        <v>23764.36</v>
      </c>
      <c r="Z16" s="38" t="n">
        <v>23764.36</v>
      </c>
      <c r="AA16" s="36">
        <f>SUM(O16:U16)</f>
        <v/>
      </c>
      <c r="AB16" s="36">
        <f>SUM(O16:Z16)</f>
        <v/>
      </c>
      <c r="AC16" s="38" t="n">
        <v>23764.36</v>
      </c>
      <c r="AD16" s="38" t="n">
        <v>23764.36</v>
      </c>
      <c r="AE16" s="38" t="n">
        <v>23764.36</v>
      </c>
      <c r="AF16" s="38" t="n">
        <v>23764.36</v>
      </c>
      <c r="AG16" s="38" t="n">
        <v>23764.36</v>
      </c>
      <c r="AH16" s="38" t="n">
        <v>23764.36</v>
      </c>
      <c r="AI16" s="117" t="n">
        <v>23764.36</v>
      </c>
      <c r="AJ16" s="118" t="n">
        <v>23764.36</v>
      </c>
      <c r="AK16" s="118" t="n">
        <v>23764.36</v>
      </c>
      <c r="AL16" s="118" t="n">
        <v>23764.36</v>
      </c>
      <c r="AM16" s="119" t="n">
        <v>23764.36</v>
      </c>
      <c r="AN16" s="117" t="n">
        <v>23764.36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1518.87</v>
      </c>
      <c r="C17" s="35" t="n">
        <v>1465.4</v>
      </c>
      <c r="D17" s="35" t="n">
        <v>1387.39</v>
      </c>
      <c r="E17" s="35" t="n">
        <v>3382.54</v>
      </c>
      <c r="F17" s="35" t="n">
        <v>2202.22</v>
      </c>
      <c r="G17" s="35" t="n">
        <v>2183.99</v>
      </c>
      <c r="H17" s="35" t="n">
        <v>2079.75</v>
      </c>
      <c r="I17" s="35" t="n">
        <v>1659.35</v>
      </c>
      <c r="J17" s="35" t="n">
        <v>1486.66</v>
      </c>
      <c r="K17" s="35" t="n">
        <v>2384.28</v>
      </c>
      <c r="L17" s="35" t="n">
        <v>2508.07</v>
      </c>
      <c r="M17" s="35" t="n">
        <v>2817.56</v>
      </c>
      <c r="N17" s="36">
        <f>SUM(B17:M17)</f>
        <v/>
      </c>
      <c r="O17" s="37" t="n">
        <v>3017.58</v>
      </c>
      <c r="P17" s="37" t="n">
        <v>2430.94</v>
      </c>
      <c r="Q17" s="37" t="n">
        <v>2706.76</v>
      </c>
      <c r="R17" s="37" t="n">
        <v>3088.37</v>
      </c>
      <c r="S17" s="37" t="n">
        <v>2683.21</v>
      </c>
      <c r="T17" s="37" t="n">
        <v>2439.34</v>
      </c>
      <c r="U17" s="37" t="n">
        <v>2504.85</v>
      </c>
      <c r="V17" s="38" t="n">
        <v>2504.85</v>
      </c>
      <c r="W17" s="38" t="n">
        <v>2504.85</v>
      </c>
      <c r="X17" s="38" t="n">
        <v>2504.85</v>
      </c>
      <c r="Y17" s="38" t="n">
        <v>2504.85</v>
      </c>
      <c r="Z17" s="38" t="n">
        <v>2504.85</v>
      </c>
      <c r="AA17" s="36">
        <f>SUM(O17:U17)</f>
        <v/>
      </c>
      <c r="AB17" s="36">
        <f>SUM(O17:Z17)</f>
        <v/>
      </c>
      <c r="AC17" s="38" t="n">
        <v>2504.85</v>
      </c>
      <c r="AD17" s="38" t="n">
        <v>2504.85</v>
      </c>
      <c r="AE17" s="38" t="n">
        <v>2504.85</v>
      </c>
      <c r="AF17" s="38" t="n">
        <v>2504.85</v>
      </c>
      <c r="AG17" s="38" t="n">
        <v>2504.85</v>
      </c>
      <c r="AH17" s="38" t="n">
        <v>2504.85</v>
      </c>
      <c r="AI17" s="117" t="n">
        <v>2504.85</v>
      </c>
      <c r="AJ17" s="118" t="n">
        <v>2504.85</v>
      </c>
      <c r="AK17" s="118" t="n">
        <v>2504.85</v>
      </c>
      <c r="AL17" s="118" t="n">
        <v>2504.85</v>
      </c>
      <c r="AM17" s="119" t="n">
        <v>2504.85</v>
      </c>
      <c r="AN17" s="117" t="n">
        <v>2504.85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380.15</v>
      </c>
      <c r="C18" s="35" t="n">
        <v>368.53</v>
      </c>
      <c r="D18" s="35" t="n">
        <v>351.56</v>
      </c>
      <c r="E18" s="35" t="n">
        <v>312.94</v>
      </c>
      <c r="F18" s="35" t="n">
        <v>271.31</v>
      </c>
      <c r="G18" s="35" t="n">
        <v>268.31</v>
      </c>
      <c r="H18" s="35" t="n">
        <v>299.41</v>
      </c>
      <c r="I18" s="35" t="n">
        <v>266.04</v>
      </c>
      <c r="J18" s="35" t="n">
        <v>278.77</v>
      </c>
      <c r="K18" s="35" t="n">
        <v>424.36</v>
      </c>
      <c r="L18" s="35" t="n">
        <v>387.08</v>
      </c>
      <c r="M18" s="35" t="n">
        <v>532.5699999999999</v>
      </c>
      <c r="N18" s="36">
        <f>SUM(B18:M18)</f>
        <v/>
      </c>
      <c r="O18" s="37" t="n">
        <v>572.58</v>
      </c>
      <c r="P18" s="37" t="n">
        <v>409.34</v>
      </c>
      <c r="Q18" s="37" t="n">
        <v>367.99</v>
      </c>
      <c r="R18" s="37" t="n">
        <v>468.86</v>
      </c>
      <c r="S18" s="37" t="n">
        <v>505.71</v>
      </c>
      <c r="T18" s="37" t="n">
        <v>456.92</v>
      </c>
      <c r="U18" s="37" t="n">
        <v>417</v>
      </c>
      <c r="V18" s="38" t="n">
        <v>417</v>
      </c>
      <c r="W18" s="38" t="n">
        <v>417</v>
      </c>
      <c r="X18" s="38" t="n">
        <v>417</v>
      </c>
      <c r="Y18" s="38" t="n">
        <v>417</v>
      </c>
      <c r="Z18" s="38" t="n">
        <v>417</v>
      </c>
      <c r="AA18" s="36">
        <f>SUM(O18:U18)</f>
        <v/>
      </c>
      <c r="AB18" s="36">
        <f>SUM(O18:Z18)</f>
        <v/>
      </c>
      <c r="AC18" s="38" t="n">
        <v>417</v>
      </c>
      <c r="AD18" s="38" t="n">
        <v>417</v>
      </c>
      <c r="AE18" s="38" t="n">
        <v>417</v>
      </c>
      <c r="AF18" s="38" t="n">
        <v>417</v>
      </c>
      <c r="AG18" s="38" t="n">
        <v>417</v>
      </c>
      <c r="AH18" s="38" t="n">
        <v>417</v>
      </c>
      <c r="AI18" s="117" t="n">
        <v>417</v>
      </c>
      <c r="AJ18" s="118" t="n">
        <v>417</v>
      </c>
      <c r="AK18" s="118" t="n">
        <v>417</v>
      </c>
      <c r="AL18" s="118" t="n">
        <v>417</v>
      </c>
      <c r="AM18" s="119" t="n">
        <v>417</v>
      </c>
      <c r="AN18" s="117" t="n">
        <v>417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186.12</v>
      </c>
      <c r="C19" s="35" t="n">
        <v>0</v>
      </c>
      <c r="D19" s="35" t="n">
        <v>0</v>
      </c>
      <c r="E19" s="35" t="n">
        <v>67.02</v>
      </c>
      <c r="F19" s="35" t="n">
        <v>0</v>
      </c>
      <c r="G19" s="35" t="n">
        <v>0</v>
      </c>
      <c r="H19" s="35" t="n">
        <v>72.54000000000001</v>
      </c>
      <c r="I19" s="35" t="n">
        <v>0</v>
      </c>
      <c r="J19" s="35" t="n">
        <v>120</v>
      </c>
      <c r="K19" s="35" t="n">
        <v>0</v>
      </c>
      <c r="L19" s="35" t="n">
        <v>128.76</v>
      </c>
      <c r="M19" s="35" t="n">
        <v>0</v>
      </c>
      <c r="N19" s="36">
        <f>SUM(B19:M19)</f>
        <v/>
      </c>
      <c r="O19" s="37" t="n">
        <v>0</v>
      </c>
      <c r="P19" s="37" t="n">
        <v>0</v>
      </c>
      <c r="Q19" s="37" t="n">
        <v>141.3</v>
      </c>
      <c r="R19" s="37" t="n">
        <v>122.4</v>
      </c>
      <c r="S19" s="37" t="n">
        <v>22.72</v>
      </c>
      <c r="T19" s="37" t="n">
        <v>173.22</v>
      </c>
      <c r="U19" s="37" t="n">
        <v>0</v>
      </c>
      <c r="V19" s="38" t="n">
        <v>60</v>
      </c>
      <c r="W19" s="38" t="n">
        <v>60</v>
      </c>
      <c r="X19" s="38" t="n">
        <v>60</v>
      </c>
      <c r="Y19" s="38" t="n">
        <v>60</v>
      </c>
      <c r="Z19" s="38" t="n">
        <v>60</v>
      </c>
      <c r="AA19" s="36">
        <f>SUM(O19:U19)</f>
        <v/>
      </c>
      <c r="AB19" s="36">
        <f>SUM(O19:Z19)</f>
        <v/>
      </c>
      <c r="AC19" s="38" t="n">
        <v>60</v>
      </c>
      <c r="AD19" s="38" t="n">
        <v>60</v>
      </c>
      <c r="AE19" s="38" t="n">
        <v>60</v>
      </c>
      <c r="AF19" s="38" t="n">
        <v>60</v>
      </c>
      <c r="AG19" s="38" t="n">
        <v>60</v>
      </c>
      <c r="AH19" s="38" t="n">
        <v>60</v>
      </c>
      <c r="AI19" s="117" t="n">
        <v>60</v>
      </c>
      <c r="AJ19" s="118" t="n">
        <v>60</v>
      </c>
      <c r="AK19" s="118" t="n">
        <v>60</v>
      </c>
      <c r="AL19" s="118" t="n">
        <v>60</v>
      </c>
      <c r="AM19" s="119" t="n">
        <v>60</v>
      </c>
      <c r="AN19" s="117" t="n">
        <v>60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139.2</v>
      </c>
      <c r="F20" s="35" t="n">
        <v>48</v>
      </c>
      <c r="G20" s="35" t="n">
        <v>164.4</v>
      </c>
      <c r="H20" s="35" t="n">
        <v>0</v>
      </c>
      <c r="I20" s="35" t="n">
        <v>115.2</v>
      </c>
      <c r="J20" s="35" t="n">
        <v>0</v>
      </c>
      <c r="K20" s="35" t="n">
        <v>0</v>
      </c>
      <c r="L20" s="35" t="n">
        <v>403.2</v>
      </c>
      <c r="M20" s="35" t="n">
        <v>0</v>
      </c>
      <c r="N20" s="36">
        <f>SUM(B20:M20)</f>
        <v/>
      </c>
      <c r="O20" s="37" t="n">
        <v>192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7" t="n">
        <v>0</v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7" t="n">
        <v>100</v>
      </c>
      <c r="AJ20" s="118" t="n">
        <v>100</v>
      </c>
      <c r="AK20" s="118" t="n">
        <v>100</v>
      </c>
      <c r="AL20" s="118" t="n">
        <v>100</v>
      </c>
      <c r="AM20" s="119" t="n">
        <v>100</v>
      </c>
      <c r="AN20" s="117" t="n">
        <v>100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106.99</v>
      </c>
      <c r="C21" s="35" t="n">
        <v>173.03</v>
      </c>
      <c r="D21" s="35" t="n">
        <v>86.29000000000001</v>
      </c>
      <c r="E21" s="35" t="n">
        <v>113.6</v>
      </c>
      <c r="F21" s="35" t="n">
        <v>155.62</v>
      </c>
      <c r="G21" s="35" t="n">
        <v>91.43000000000001</v>
      </c>
      <c r="H21" s="35" t="n">
        <v>58.88</v>
      </c>
      <c r="I21" s="35" t="n">
        <v>85.14</v>
      </c>
      <c r="J21" s="35" t="n">
        <v>67.09999999999999</v>
      </c>
      <c r="K21" s="35" t="n">
        <v>62.73</v>
      </c>
      <c r="L21" s="35" t="n">
        <v>40.9</v>
      </c>
      <c r="M21" s="35" t="n">
        <v>86.56</v>
      </c>
      <c r="N21" s="36">
        <f>SUM(B21:M21)</f>
        <v/>
      </c>
      <c r="O21" s="37" t="n">
        <v>0</v>
      </c>
      <c r="P21" s="37" t="n">
        <v>48.03</v>
      </c>
      <c r="Q21" s="37" t="n">
        <v>55.61</v>
      </c>
      <c r="R21" s="37" t="n">
        <v>14</v>
      </c>
      <c r="S21" s="37" t="n">
        <v>69.87</v>
      </c>
      <c r="T21" s="37" t="n">
        <v>106.05</v>
      </c>
      <c r="U21" s="37" t="n">
        <v>207.57</v>
      </c>
      <c r="V21" s="38" t="n">
        <v>120</v>
      </c>
      <c r="W21" s="38" t="n">
        <v>120</v>
      </c>
      <c r="X21" s="38" t="n">
        <v>120</v>
      </c>
      <c r="Y21" s="38" t="n">
        <v>120</v>
      </c>
      <c r="Z21" s="38" t="n">
        <v>120</v>
      </c>
      <c r="AA21" s="36">
        <f>SUM(O21:U21)</f>
        <v/>
      </c>
      <c r="AB21" s="36">
        <f>SUM(O21:Z21)</f>
        <v/>
      </c>
      <c r="AC21" s="38" t="n">
        <v>120</v>
      </c>
      <c r="AD21" s="38" t="n">
        <v>120</v>
      </c>
      <c r="AE21" s="38" t="n">
        <v>120</v>
      </c>
      <c r="AF21" s="38" t="n">
        <v>120</v>
      </c>
      <c r="AG21" s="38" t="n">
        <v>120</v>
      </c>
      <c r="AH21" s="38" t="n">
        <v>120</v>
      </c>
      <c r="AI21" s="117" t="n">
        <v>120</v>
      </c>
      <c r="AJ21" s="118" t="n">
        <v>120</v>
      </c>
      <c r="AK21" s="118" t="n">
        <v>120</v>
      </c>
      <c r="AL21" s="118" t="n">
        <v>120</v>
      </c>
      <c r="AM21" s="119" t="n">
        <v>120</v>
      </c>
      <c r="AN21" s="117" t="n">
        <v>120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4169.88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 t="n">
        <v>0</v>
      </c>
      <c r="P22" s="37" t="n">
        <v>4800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26.99</v>
      </c>
      <c r="I23" s="35" t="n">
        <v>0</v>
      </c>
      <c r="J23" s="35" t="n">
        <v>64.36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SUMIF('SST TB'!$R:$R,'SST P&amp;L'!$A23,'SST TB'!C:C)</f>
        <v/>
      </c>
      <c r="P23" s="37">
        <f>SUMIF('SST TB'!$R:$R,'SST P&amp;L'!$A23,'SST TB'!D:D)</f>
        <v/>
      </c>
      <c r="Q23" s="37">
        <f>SUMIF('SST TB'!$R:$R,'SST P&amp;L'!$A23,'SST TB'!E:E)</f>
        <v/>
      </c>
      <c r="R23" s="37">
        <f>SUMIF('SST TB'!$R:$R,'SST P&amp;L'!$A23,'SST TB'!F:F)</f>
        <v/>
      </c>
      <c r="S23" s="37">
        <f>SUMIF('SST TB'!$R:$R,'SST P&amp;L'!$A23,'SST TB'!G:G)</f>
        <v/>
      </c>
      <c r="T23" s="37">
        <f>SUMIF('SST TB'!$R:$R,'SST P&amp;L'!$A23,'SST TB'!H:H)</f>
        <v/>
      </c>
      <c r="U23" s="37">
        <f>SUMIF('SST TB'!$R:$R,'SST P&amp;L'!$A23,'SST TB'!I:I)</f>
        <v/>
      </c>
      <c r="V23" s="38" t="n">
        <v>50</v>
      </c>
      <c r="W23" s="38" t="n">
        <v>50</v>
      </c>
      <c r="X23" s="38" t="n">
        <v>50</v>
      </c>
      <c r="Y23" s="38" t="n">
        <v>50</v>
      </c>
      <c r="Z23" s="38" t="n">
        <v>50</v>
      </c>
      <c r="AA23" s="36">
        <f>SUM(O23:U23)</f>
        <v/>
      </c>
      <c r="AB23" s="36">
        <f>SUM(O23:Z23)</f>
        <v/>
      </c>
      <c r="AC23" s="38" t="n">
        <v>50</v>
      </c>
      <c r="AD23" s="38" t="n">
        <v>50</v>
      </c>
      <c r="AE23" s="38" t="n">
        <v>50</v>
      </c>
      <c r="AF23" s="38" t="n">
        <v>50</v>
      </c>
      <c r="AG23" s="38" t="n">
        <v>50</v>
      </c>
      <c r="AH23" s="38" t="n">
        <v>50</v>
      </c>
      <c r="AI23" s="117" t="n">
        <v>50</v>
      </c>
      <c r="AJ23" s="118" t="n">
        <v>50</v>
      </c>
      <c r="AK23" s="118" t="n">
        <v>50</v>
      </c>
      <c r="AL23" s="118" t="n">
        <v>50</v>
      </c>
      <c r="AM23" s="119" t="n">
        <v>50</v>
      </c>
      <c r="AN23" s="117" t="n">
        <v>50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SUMIF('SST TB'!$R:$R,'SST P&amp;L'!$A24,'SST TB'!C:C)</f>
        <v/>
      </c>
      <c r="P24" s="37">
        <f>SUMIF('SST TB'!$R:$R,'SST P&amp;L'!$A24,'SST TB'!D:D)</f>
        <v/>
      </c>
      <c r="Q24" s="37">
        <f>SUMIF('SST TB'!$R:$R,'SST P&amp;L'!$A24,'SST TB'!E:E)</f>
        <v/>
      </c>
      <c r="R24" s="37">
        <f>SUMIF('SST TB'!$R:$R,'SST P&amp;L'!$A24,'SST TB'!F:F)</f>
        <v/>
      </c>
      <c r="S24" s="37">
        <f>SUMIF('SST TB'!$R:$R,'SST P&amp;L'!$A24,'SST TB'!G:G)</f>
        <v/>
      </c>
      <c r="T24" s="37">
        <f>SUMIF('SST TB'!$R:$R,'SST P&amp;L'!$A24,'SST TB'!H:H)</f>
        <v/>
      </c>
      <c r="U24" s="37">
        <f>SUMIF('SST TB'!$R:$R,'SST P&amp;L'!$A24,'SST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23799.23</v>
      </c>
      <c r="C25" s="42" t="n">
        <v>20606.08</v>
      </c>
      <c r="D25" s="42" t="n">
        <v>20653.85</v>
      </c>
      <c r="E25" s="42" t="n">
        <v>38381.55999999999</v>
      </c>
      <c r="F25" s="42" t="n">
        <v>23949.07</v>
      </c>
      <c r="G25" s="42" t="n">
        <v>23893.35</v>
      </c>
      <c r="H25" s="42" t="n">
        <v>23286.16</v>
      </c>
      <c r="I25" s="42" t="n">
        <v>17854.27</v>
      </c>
      <c r="J25" s="42" t="n">
        <v>15786.57</v>
      </c>
      <c r="K25" s="42" t="n">
        <v>24526.62</v>
      </c>
      <c r="L25" s="42" t="n">
        <v>26536.27</v>
      </c>
      <c r="M25" s="42" t="n">
        <v>28465.36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1976.95</v>
      </c>
      <c r="C27" s="35" t="n">
        <v>1443.01</v>
      </c>
      <c r="D27" s="35" t="n">
        <v>1187.18</v>
      </c>
      <c r="E27" s="35" t="n">
        <v>1138.34</v>
      </c>
      <c r="F27" s="35" t="n">
        <v>584.17</v>
      </c>
      <c r="G27" s="35" t="n">
        <v>1127.49</v>
      </c>
      <c r="H27" s="35" t="n">
        <v>937.36</v>
      </c>
      <c r="I27" s="35" t="n">
        <v>1743.46</v>
      </c>
      <c r="J27" s="35" t="n">
        <v>1146.68</v>
      </c>
      <c r="K27" s="35" t="n">
        <v>1299.82</v>
      </c>
      <c r="L27" s="35" t="n">
        <v>1334.53</v>
      </c>
      <c r="M27" s="35" t="n">
        <v>968.6700000000001</v>
      </c>
      <c r="N27" s="36">
        <f>SUM(B27:M27)</f>
        <v/>
      </c>
      <c r="O27" s="37" t="n">
        <v>1337.26</v>
      </c>
      <c r="P27" s="37" t="n">
        <v>1507.1</v>
      </c>
      <c r="Q27" s="37" t="n">
        <v>1365.06</v>
      </c>
      <c r="R27" s="37" t="n">
        <v>1339.28</v>
      </c>
      <c r="S27" s="37" t="n">
        <v>1425.53</v>
      </c>
      <c r="T27" s="37" t="n">
        <v>996.95</v>
      </c>
      <c r="U27" s="37" t="n">
        <v>1250.27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152.72</v>
      </c>
      <c r="C28" s="35" t="n">
        <v>57.08</v>
      </c>
      <c r="D28" s="35" t="n">
        <v>79.77</v>
      </c>
      <c r="E28" s="35" t="n">
        <v>114.39</v>
      </c>
      <c r="F28" s="35" t="n">
        <v>137.45</v>
      </c>
      <c r="G28" s="35" t="n">
        <v>30.35</v>
      </c>
      <c r="H28" s="35" t="n">
        <v>123.05</v>
      </c>
      <c r="I28" s="35" t="n">
        <v>2545.39</v>
      </c>
      <c r="J28" s="35" t="n">
        <v>573.58</v>
      </c>
      <c r="K28" s="35" t="n">
        <v>36.85</v>
      </c>
      <c r="L28" s="35" t="n">
        <v>46.98</v>
      </c>
      <c r="M28" s="35" t="n">
        <v>8</v>
      </c>
      <c r="N28" s="36">
        <f>SUM(B28:M28)</f>
        <v/>
      </c>
      <c r="O28" s="37" t="n">
        <v>0</v>
      </c>
      <c r="P28" s="37" t="n">
        <v>293.33</v>
      </c>
      <c r="Q28" s="37" t="n">
        <v>97.14999999999998</v>
      </c>
      <c r="R28" s="37" t="n">
        <v>12</v>
      </c>
      <c r="S28" s="37" t="n">
        <v>565.0000000000001</v>
      </c>
      <c r="T28" s="37" t="n">
        <v>118.01</v>
      </c>
      <c r="U28" s="37" t="n">
        <v>151.37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7" t="n">
        <v>50</v>
      </c>
      <c r="AJ28" s="118" t="n">
        <v>50</v>
      </c>
      <c r="AK28" s="118" t="n">
        <v>50</v>
      </c>
      <c r="AL28" s="118" t="n">
        <v>50</v>
      </c>
      <c r="AM28" s="119" t="n">
        <v>50</v>
      </c>
      <c r="AN28" s="117" t="n">
        <v>50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34.35</v>
      </c>
      <c r="C29" s="35" t="n">
        <v>189.07</v>
      </c>
      <c r="D29" s="35" t="n">
        <v>0</v>
      </c>
      <c r="E29" s="35" t="n">
        <v>5.94</v>
      </c>
      <c r="F29" s="35" t="n">
        <v>0</v>
      </c>
      <c r="G29" s="35" t="n">
        <v>343.1</v>
      </c>
      <c r="H29" s="35" t="n">
        <v>16.74</v>
      </c>
      <c r="I29" s="35" t="n">
        <v>0</v>
      </c>
      <c r="J29" s="35" t="n">
        <v>60.31</v>
      </c>
      <c r="K29" s="35" t="n">
        <v>159.73</v>
      </c>
      <c r="L29" s="35" t="n">
        <v>225.08</v>
      </c>
      <c r="M29" s="35" t="n">
        <v>0</v>
      </c>
      <c r="N29" s="36">
        <f>SUM(B29:M29)</f>
        <v/>
      </c>
      <c r="O29" s="37" t="n">
        <v>48.71</v>
      </c>
      <c r="P29" s="37" t="n">
        <v>0</v>
      </c>
      <c r="Q29" s="37" t="n">
        <v>163.03</v>
      </c>
      <c r="R29" s="37" t="n">
        <v>7.82</v>
      </c>
      <c r="S29" s="37" t="n">
        <v>42.65000000000001</v>
      </c>
      <c r="T29" s="37" t="n">
        <v>9.970000000000001</v>
      </c>
      <c r="U29" s="37" t="n">
        <v>111.26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72.27000000000001</v>
      </c>
      <c r="C30" s="35" t="n">
        <v>90.23999999999999</v>
      </c>
      <c r="D30" s="35" t="n">
        <v>3.95</v>
      </c>
      <c r="E30" s="35" t="n">
        <v>20.61</v>
      </c>
      <c r="F30" s="35" t="n">
        <v>6.64</v>
      </c>
      <c r="G30" s="35" t="n">
        <v>17.43</v>
      </c>
      <c r="H30" s="35" t="n">
        <v>25.88</v>
      </c>
      <c r="I30" s="35" t="n">
        <v>0</v>
      </c>
      <c r="J30" s="35" t="n">
        <v>0</v>
      </c>
      <c r="K30" s="35" t="n">
        <v>25.42</v>
      </c>
      <c r="L30" s="35" t="n">
        <v>28.11</v>
      </c>
      <c r="M30" s="35" t="n">
        <v>0</v>
      </c>
      <c r="N30" s="36">
        <f>SUM(B30:M30)</f>
        <v/>
      </c>
      <c r="O30" s="37" t="n">
        <v>73.53</v>
      </c>
      <c r="P30" s="37" t="n">
        <v>31.81</v>
      </c>
      <c r="Q30" s="37" t="n">
        <v>74.47</v>
      </c>
      <c r="R30" s="37" t="n">
        <v>80.08</v>
      </c>
      <c r="S30" s="37" t="n">
        <v>4.74</v>
      </c>
      <c r="T30" s="37" t="n">
        <v>23.07</v>
      </c>
      <c r="U30" s="37" t="n">
        <v>31.2</v>
      </c>
      <c r="V30" s="38" t="n">
        <v>50</v>
      </c>
      <c r="W30" s="38" t="n">
        <v>50</v>
      </c>
      <c r="X30" s="38" t="n">
        <v>50</v>
      </c>
      <c r="Y30" s="38" t="n">
        <v>50</v>
      </c>
      <c r="Z30" s="38" t="n">
        <v>50</v>
      </c>
      <c r="AA30" s="36">
        <f>SUM(O30:U30)</f>
        <v/>
      </c>
      <c r="AB30" s="36">
        <f>SUM(O30:Z30)</f>
        <v/>
      </c>
      <c r="AC30" s="38" t="n">
        <v>50</v>
      </c>
      <c r="AD30" s="38" t="n">
        <v>50</v>
      </c>
      <c r="AE30" s="38" t="n">
        <v>50</v>
      </c>
      <c r="AF30" s="38" t="n">
        <v>50</v>
      </c>
      <c r="AG30" s="38" t="n">
        <v>50</v>
      </c>
      <c r="AH30" s="38" t="n">
        <v>50</v>
      </c>
      <c r="AI30" s="117" t="n">
        <v>50</v>
      </c>
      <c r="AJ30" s="118" t="n">
        <v>50</v>
      </c>
      <c r="AK30" s="118" t="n">
        <v>50</v>
      </c>
      <c r="AL30" s="118" t="n">
        <v>50</v>
      </c>
      <c r="AM30" s="119" t="n">
        <v>50</v>
      </c>
      <c r="AN30" s="117" t="n">
        <v>50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61.07999999999999</v>
      </c>
      <c r="C31" s="35" t="n">
        <v>408.14</v>
      </c>
      <c r="D31" s="35" t="n">
        <v>0</v>
      </c>
      <c r="E31" s="35" t="n">
        <v>0</v>
      </c>
      <c r="F31" s="35" t="n">
        <v>0</v>
      </c>
      <c r="G31" s="35" t="n">
        <v>137.33</v>
      </c>
      <c r="H31" s="35" t="n">
        <v>0</v>
      </c>
      <c r="I31" s="35" t="n">
        <v>0</v>
      </c>
      <c r="J31" s="35" t="n">
        <v>15.49</v>
      </c>
      <c r="K31" s="35" t="n">
        <v>136.52</v>
      </c>
      <c r="L31" s="35" t="n">
        <v>87.22</v>
      </c>
      <c r="M31" s="35" t="n">
        <v>0</v>
      </c>
      <c r="N31" s="36">
        <f>SUM(B31:M31)</f>
        <v/>
      </c>
      <c r="O31" s="37" t="n">
        <v>39.37</v>
      </c>
      <c r="P31" s="37" t="n">
        <v>15.58</v>
      </c>
      <c r="Q31" s="37" t="n">
        <v>115.35</v>
      </c>
      <c r="R31" s="37" t="n">
        <v>0</v>
      </c>
      <c r="S31" s="37" t="n">
        <v>256.93</v>
      </c>
      <c r="T31" s="37" t="n">
        <v>4.99</v>
      </c>
      <c r="U31" s="37" t="n">
        <v>30.91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7" t="n">
        <v>50</v>
      </c>
      <c r="AJ31" s="118" t="n">
        <v>50</v>
      </c>
      <c r="AK31" s="118" t="n">
        <v>50</v>
      </c>
      <c r="AL31" s="118" t="n">
        <v>50</v>
      </c>
      <c r="AM31" s="119" t="n">
        <v>50</v>
      </c>
      <c r="AN31" s="117" t="n">
        <v>50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153.95</v>
      </c>
      <c r="C32" s="35" t="n">
        <v>25.49</v>
      </c>
      <c r="D32" s="35" t="n">
        <v>76.11</v>
      </c>
      <c r="E32" s="35" t="n">
        <v>48.42</v>
      </c>
      <c r="F32" s="35" t="n">
        <v>528.41</v>
      </c>
      <c r="G32" s="35" t="n">
        <v>177.93</v>
      </c>
      <c r="H32" s="35" t="n">
        <v>177.59</v>
      </c>
      <c r="I32" s="35" t="n">
        <v>40.88</v>
      </c>
      <c r="J32" s="35" t="n">
        <v>118.28</v>
      </c>
      <c r="K32" s="35" t="n">
        <v>171.62</v>
      </c>
      <c r="L32" s="35" t="n">
        <v>380.9999999999999</v>
      </c>
      <c r="M32" s="35" t="n">
        <v>167.87</v>
      </c>
      <c r="N32" s="36">
        <f>SUM(B32:M32)</f>
        <v/>
      </c>
      <c r="O32" s="37" t="n">
        <v>315.38</v>
      </c>
      <c r="P32" s="37" t="n">
        <v>186.04</v>
      </c>
      <c r="Q32" s="37" t="n">
        <v>197.48</v>
      </c>
      <c r="R32" s="37" t="n">
        <v>394.81</v>
      </c>
      <c r="S32" s="37" t="n">
        <v>172.38</v>
      </c>
      <c r="T32" s="37" t="n">
        <v>292.55</v>
      </c>
      <c r="U32" s="37" t="n">
        <v>349.65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SUMIF('SST TB'!$R:$R,'SST P&amp;L'!$A33,'SST TB'!C:C)</f>
        <v/>
      </c>
      <c r="P33" s="37">
        <f>SUMIF('SST TB'!$R:$R,'SST P&amp;L'!$A33,'SST TB'!D:D)</f>
        <v/>
      </c>
      <c r="Q33" s="37">
        <f>SUMIF('SST TB'!$R:$R,'SST P&amp;L'!$A33,'SST TB'!E:E)</f>
        <v/>
      </c>
      <c r="R33" s="37">
        <f>SUMIF('SST TB'!$R:$R,'SST P&amp;L'!$A33,'SST TB'!F:F)</f>
        <v/>
      </c>
      <c r="S33" s="37">
        <f>SUMIF('SST TB'!$R:$R,'SST P&amp;L'!$A33,'SST TB'!G:G)</f>
        <v/>
      </c>
      <c r="T33" s="37">
        <f>SUMIF('SST TB'!$R:$R,'SST P&amp;L'!$A33,'SST TB'!H:H)</f>
        <v/>
      </c>
      <c r="U33" s="37">
        <f>SUMIF('SST TB'!$R:$R,'SST P&amp;L'!$A33,'SST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2451.319999999999</v>
      </c>
      <c r="C34" s="42" t="n">
        <v>2213.03</v>
      </c>
      <c r="D34" s="42" t="n">
        <v>1347.01</v>
      </c>
      <c r="E34" s="42" t="n">
        <v>1327.7</v>
      </c>
      <c r="F34" s="42" t="n">
        <v>1256.67</v>
      </c>
      <c r="G34" s="42" t="n">
        <v>1833.63</v>
      </c>
      <c r="H34" s="42" t="n">
        <v>1280.62</v>
      </c>
      <c r="I34" s="42" t="n">
        <v>4329.73</v>
      </c>
      <c r="J34" s="42" t="n">
        <v>1914.34</v>
      </c>
      <c r="K34" s="42" t="n">
        <v>1829.96</v>
      </c>
      <c r="L34" s="42" t="n">
        <v>2102.92</v>
      </c>
      <c r="M34" s="42" t="n">
        <v>1144.54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SUMIF('SST TB'!$R:$R,'SST P&amp;L'!$A36,'SST TB'!C:C)</f>
        <v/>
      </c>
      <c r="P36" s="37">
        <f>SUMIF('SST TB'!$R:$R,'SST P&amp;L'!$A36,'SST TB'!D:D)</f>
        <v/>
      </c>
      <c r="Q36" s="37">
        <f>SUMIF('SST TB'!$R:$R,'SST P&amp;L'!$A36,'SST TB'!E:E)</f>
        <v/>
      </c>
      <c r="R36" s="37">
        <f>SUMIF('SST TB'!$R:$R,'SST P&amp;L'!$A36,'SST TB'!F:F)</f>
        <v/>
      </c>
      <c r="S36" s="37">
        <f>SUMIF('SST TB'!$R:$R,'SST P&amp;L'!$A36,'SST TB'!G:G)</f>
        <v/>
      </c>
      <c r="T36" s="37">
        <f>SUMIF('SST TB'!$R:$R,'SST P&amp;L'!$A36,'SST TB'!H:H)</f>
        <v/>
      </c>
      <c r="U36" s="37">
        <f>SUMIF('SST TB'!$R:$R,'SST P&amp;L'!$A36,'SST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1382.65</v>
      </c>
      <c r="C37" s="35" t="n">
        <v>1382.65</v>
      </c>
      <c r="D37" s="35" t="n">
        <v>1382.65</v>
      </c>
      <c r="E37" s="35" t="n">
        <v>1382.65</v>
      </c>
      <c r="F37" s="35" t="n">
        <v>1382.65</v>
      </c>
      <c r="G37" s="35" t="n">
        <v>1382.65</v>
      </c>
      <c r="H37" s="35" t="n">
        <v>1382.65</v>
      </c>
      <c r="I37" s="35" t="n">
        <v>1382.65</v>
      </c>
      <c r="J37" s="35" t="n">
        <v>1382.65</v>
      </c>
      <c r="K37" s="35" t="n">
        <v>1382.65</v>
      </c>
      <c r="L37" s="35" t="n">
        <v>1382.65</v>
      </c>
      <c r="M37" s="35" t="n">
        <v>1382.65</v>
      </c>
      <c r="N37" s="36">
        <f>SUM(B37:M37)</f>
        <v/>
      </c>
      <c r="O37" s="37" t="n">
        <v>1382.64</v>
      </c>
      <c r="P37" s="37" t="n">
        <v>1382.63</v>
      </c>
      <c r="Q37" s="37" t="n">
        <v>1382.63</v>
      </c>
      <c r="R37" s="37" t="n">
        <v>1500.96</v>
      </c>
      <c r="S37" s="37" t="n">
        <v>1500.96</v>
      </c>
      <c r="T37" s="37" t="n">
        <v>1500.96</v>
      </c>
      <c r="U37" s="37" t="n">
        <v>1500.96</v>
      </c>
      <c r="V37" s="38" t="n">
        <v>1500.96</v>
      </c>
      <c r="W37" s="38" t="n">
        <v>1500.96</v>
      </c>
      <c r="X37" s="38" t="n">
        <v>1500.96</v>
      </c>
      <c r="Y37" s="38" t="n">
        <v>1500.96</v>
      </c>
      <c r="Z37" s="38" t="n">
        <v>1500.96</v>
      </c>
      <c r="AA37" s="36">
        <f>SUM(O37:U37)</f>
        <v/>
      </c>
      <c r="AB37" s="36">
        <f>SUM(O37:Z37)</f>
        <v/>
      </c>
      <c r="AC37" s="38" t="n">
        <v>1500.96</v>
      </c>
      <c r="AD37" s="38" t="n">
        <v>1500.96</v>
      </c>
      <c r="AE37" s="38" t="n">
        <v>1500.96</v>
      </c>
      <c r="AF37" s="38" t="n">
        <v>1500.96</v>
      </c>
      <c r="AG37" s="38" t="n">
        <v>1500.96</v>
      </c>
      <c r="AH37" s="38" t="n">
        <v>1500.96</v>
      </c>
      <c r="AI37" s="117" t="n">
        <v>1500.96</v>
      </c>
      <c r="AJ37" s="118" t="n">
        <v>1500.96</v>
      </c>
      <c r="AK37" s="118" t="n">
        <v>1500.96</v>
      </c>
      <c r="AL37" s="118" t="n">
        <v>1500.96</v>
      </c>
      <c r="AM37" s="119" t="n">
        <v>1500.96</v>
      </c>
      <c r="AN37" s="117" t="n">
        <v>1500.96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1570.08</v>
      </c>
      <c r="C38" s="35" t="n">
        <v>515.15</v>
      </c>
      <c r="D38" s="35" t="n">
        <v>1396.8</v>
      </c>
      <c r="E38" s="35" t="n">
        <v>1226.21</v>
      </c>
      <c r="F38" s="35" t="n">
        <v>942.79</v>
      </c>
      <c r="G38" s="35" t="n">
        <v>1589.85</v>
      </c>
      <c r="H38" s="35" t="n">
        <v>881.61</v>
      </c>
      <c r="I38" s="35" t="n">
        <v>878.34</v>
      </c>
      <c r="J38" s="35" t="n">
        <v>-105.41</v>
      </c>
      <c r="K38" s="35" t="n">
        <v>934.6199999999999</v>
      </c>
      <c r="L38" s="35" t="n">
        <v>782.97</v>
      </c>
      <c r="M38" s="35" t="n">
        <v>1267.92</v>
      </c>
      <c r="N38" s="36">
        <f>SUM(B38:M38)</f>
        <v/>
      </c>
      <c r="O38" s="37" t="n">
        <v>1165.02</v>
      </c>
      <c r="P38" s="37" t="n">
        <v>1535.61</v>
      </c>
      <c r="Q38" s="37" t="n">
        <v>964.24</v>
      </c>
      <c r="R38" s="37" t="n">
        <v>1026.99</v>
      </c>
      <c r="S38" s="37" t="n">
        <v>802.77</v>
      </c>
      <c r="T38" s="37" t="n">
        <v>584.99</v>
      </c>
      <c r="U38" s="37" t="n">
        <v>1484.64</v>
      </c>
      <c r="V38" s="38" t="n">
        <v>1038</v>
      </c>
      <c r="W38" s="38" t="n">
        <v>1038</v>
      </c>
      <c r="X38" s="38" t="n">
        <v>1038</v>
      </c>
      <c r="Y38" s="38" t="n">
        <v>1038</v>
      </c>
      <c r="Z38" s="38" t="n">
        <v>1038</v>
      </c>
      <c r="AA38" s="36">
        <f>SUM(O38:U38)</f>
        <v/>
      </c>
      <c r="AB38" s="36">
        <f>SUM(O38:Z38)</f>
        <v/>
      </c>
      <c r="AC38" s="38" t="n">
        <v>1038</v>
      </c>
      <c r="AD38" s="38" t="n">
        <v>1038</v>
      </c>
      <c r="AE38" s="38" t="n">
        <v>1038</v>
      </c>
      <c r="AF38" s="38" t="n">
        <v>1038</v>
      </c>
      <c r="AG38" s="38" t="n">
        <v>1038</v>
      </c>
      <c r="AH38" s="38" t="n">
        <v>1038</v>
      </c>
      <c r="AI38" s="117" t="n">
        <v>1038</v>
      </c>
      <c r="AJ38" s="118" t="n">
        <v>1038</v>
      </c>
      <c r="AK38" s="118" t="n">
        <v>1038</v>
      </c>
      <c r="AL38" s="118" t="n">
        <v>1038</v>
      </c>
      <c r="AM38" s="119" t="n">
        <v>1038</v>
      </c>
      <c r="AN38" s="117" t="n">
        <v>1038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383.82</v>
      </c>
      <c r="C39" s="35" t="n">
        <v>21.9</v>
      </c>
      <c r="D39" s="35" t="n">
        <v>102.21</v>
      </c>
      <c r="E39" s="35" t="n">
        <v>9.359999999999999</v>
      </c>
      <c r="F39" s="35" t="n">
        <v>220.56</v>
      </c>
      <c r="G39" s="35" t="n">
        <v>278.76</v>
      </c>
      <c r="H39" s="35" t="n">
        <v>0</v>
      </c>
      <c r="I39" s="35" t="n">
        <v>0</v>
      </c>
      <c r="J39" s="35" t="n">
        <v>107.67</v>
      </c>
      <c r="K39" s="35" t="n">
        <v>169.3</v>
      </c>
      <c r="L39" s="35" t="n">
        <v>179.1</v>
      </c>
      <c r="M39" s="35" t="n">
        <v>428.4</v>
      </c>
      <c r="N39" s="36">
        <f>SUM(B39:M39)</f>
        <v/>
      </c>
      <c r="O39" s="37" t="n">
        <v>14.08</v>
      </c>
      <c r="P39" s="37" t="n">
        <v>548.3</v>
      </c>
      <c r="Q39" s="37" t="n">
        <v>12.58</v>
      </c>
      <c r="R39" s="37" t="n">
        <v>82.67</v>
      </c>
      <c r="S39" s="37" t="n">
        <v>20.55</v>
      </c>
      <c r="T39" s="37" t="n">
        <v>270.84</v>
      </c>
      <c r="U39" s="37" t="n">
        <v>222.69</v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310.57</v>
      </c>
      <c r="C40" s="35" t="n">
        <v>254.08</v>
      </c>
      <c r="D40" s="35" t="n">
        <v>248.65</v>
      </c>
      <c r="E40" s="35" t="n">
        <v>308.98</v>
      </c>
      <c r="F40" s="35" t="n">
        <v>101.99</v>
      </c>
      <c r="G40" s="35" t="n">
        <v>261.22</v>
      </c>
      <c r="H40" s="35" t="n">
        <v>245.36</v>
      </c>
      <c r="I40" s="35" t="n">
        <v>395.58</v>
      </c>
      <c r="J40" s="35" t="n">
        <v>143.96</v>
      </c>
      <c r="K40" s="35" t="n">
        <v>306.08</v>
      </c>
      <c r="L40" s="35" t="n">
        <v>192.07</v>
      </c>
      <c r="M40" s="35" t="n">
        <v>240.79</v>
      </c>
      <c r="N40" s="36">
        <f>SUM(B40:M40)</f>
        <v/>
      </c>
      <c r="O40" s="37" t="n">
        <v>180.35</v>
      </c>
      <c r="P40" s="37" t="n">
        <v>484.77</v>
      </c>
      <c r="Q40" s="37" t="n">
        <v>176.66</v>
      </c>
      <c r="R40" s="37" t="n">
        <v>192.3</v>
      </c>
      <c r="S40" s="37" t="n">
        <v>431.13</v>
      </c>
      <c r="T40" s="37" t="n">
        <v>252.79</v>
      </c>
      <c r="U40" s="37" t="n">
        <v>375.8000000000001</v>
      </c>
      <c r="V40" s="38" t="n">
        <v>257</v>
      </c>
      <c r="W40" s="38" t="n">
        <v>257</v>
      </c>
      <c r="X40" s="38" t="n">
        <v>257</v>
      </c>
      <c r="Y40" s="38" t="n">
        <v>257</v>
      </c>
      <c r="Z40" s="38" t="n">
        <v>257</v>
      </c>
      <c r="AA40" s="36">
        <f>SUM(O40:U40)</f>
        <v/>
      </c>
      <c r="AB40" s="36">
        <f>SUM(O40:Z40)</f>
        <v/>
      </c>
      <c r="AC40" s="38" t="n">
        <v>257</v>
      </c>
      <c r="AD40" s="38" t="n">
        <v>257</v>
      </c>
      <c r="AE40" s="38" t="n">
        <v>257</v>
      </c>
      <c r="AF40" s="38" t="n">
        <v>257</v>
      </c>
      <c r="AG40" s="38" t="n">
        <v>257</v>
      </c>
      <c r="AH40" s="38" t="n">
        <v>257</v>
      </c>
      <c r="AI40" s="117" t="n">
        <v>257</v>
      </c>
      <c r="AJ40" s="118" t="n">
        <v>257</v>
      </c>
      <c r="AK40" s="118" t="n">
        <v>257</v>
      </c>
      <c r="AL40" s="118" t="n">
        <v>257</v>
      </c>
      <c r="AM40" s="119" t="n">
        <v>257</v>
      </c>
      <c r="AN40" s="117" t="n">
        <v>257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204</v>
      </c>
      <c r="C41" s="35" t="n">
        <v>247.44</v>
      </c>
      <c r="D41" s="35" t="n">
        <v>306.67</v>
      </c>
      <c r="E41" s="35" t="n">
        <v>213.65</v>
      </c>
      <c r="F41" s="35" t="n">
        <v>352.32</v>
      </c>
      <c r="G41" s="35" t="n">
        <v>369.11</v>
      </c>
      <c r="H41" s="35" t="n">
        <v>366.11</v>
      </c>
      <c r="I41" s="35" t="n">
        <v>323.55</v>
      </c>
      <c r="J41" s="35" t="n">
        <v>592.36</v>
      </c>
      <c r="K41" s="35" t="n">
        <v>323.56</v>
      </c>
      <c r="L41" s="35" t="n">
        <v>323.55</v>
      </c>
      <c r="M41" s="35" t="n">
        <v>477.7600000000001</v>
      </c>
      <c r="N41" s="36">
        <f>SUM(B41:M41)</f>
        <v/>
      </c>
      <c r="O41" s="37" t="n">
        <v>323.56</v>
      </c>
      <c r="P41" s="37" t="n">
        <v>332.86</v>
      </c>
      <c r="Q41" s="37" t="n">
        <v>436.67</v>
      </c>
      <c r="R41" s="37" t="n">
        <v>383.25</v>
      </c>
      <c r="S41" s="37" t="n">
        <v>467.92</v>
      </c>
      <c r="T41" s="37" t="n">
        <v>251.21</v>
      </c>
      <c r="U41" s="37" t="n">
        <v>428.82</v>
      </c>
      <c r="V41" s="38" t="n">
        <v>330</v>
      </c>
      <c r="W41" s="38" t="n">
        <v>330</v>
      </c>
      <c r="X41" s="38" t="n">
        <v>330</v>
      </c>
      <c r="Y41" s="38" t="n">
        <v>330</v>
      </c>
      <c r="Z41" s="38" t="n">
        <v>330</v>
      </c>
      <c r="AA41" s="36">
        <f>SUM(O41:U41)</f>
        <v/>
      </c>
      <c r="AB41" s="36">
        <f>SUM(O41:Z41)</f>
        <v/>
      </c>
      <c r="AC41" s="38" t="n">
        <v>330</v>
      </c>
      <c r="AD41" s="38" t="n">
        <v>330</v>
      </c>
      <c r="AE41" s="38" t="n">
        <v>330</v>
      </c>
      <c r="AF41" s="38" t="n">
        <v>330</v>
      </c>
      <c r="AG41" s="38" t="n">
        <v>330</v>
      </c>
      <c r="AH41" s="38" t="n">
        <v>330</v>
      </c>
      <c r="AI41" s="117" t="n">
        <v>330</v>
      </c>
      <c r="AJ41" s="118" t="n">
        <v>330</v>
      </c>
      <c r="AK41" s="118" t="n">
        <v>330</v>
      </c>
      <c r="AL41" s="118" t="n">
        <v>330</v>
      </c>
      <c r="AM41" s="119" t="n">
        <v>330</v>
      </c>
      <c r="AN41" s="117" t="n">
        <v>330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51.84</v>
      </c>
      <c r="C42" s="35" t="n">
        <v>71.55</v>
      </c>
      <c r="D42" s="35" t="n">
        <v>38.53</v>
      </c>
      <c r="E42" s="35" t="n">
        <v>53.47</v>
      </c>
      <c r="F42" s="35" t="n">
        <v>25.52</v>
      </c>
      <c r="G42" s="35" t="n">
        <v>21.61</v>
      </c>
      <c r="H42" s="35" t="n">
        <v>43.68</v>
      </c>
      <c r="I42" s="35" t="n">
        <v>41.65</v>
      </c>
      <c r="J42" s="35" t="n">
        <v>40.84</v>
      </c>
      <c r="K42" s="35" t="n">
        <v>31.14</v>
      </c>
      <c r="L42" s="35" t="n">
        <v>22.14</v>
      </c>
      <c r="M42" s="35" t="n">
        <v>46.7</v>
      </c>
      <c r="N42" s="36">
        <f>SUM(B42:M42)</f>
        <v/>
      </c>
      <c r="O42" s="37" t="n">
        <v>31.84</v>
      </c>
      <c r="P42" s="37" t="n">
        <v>36.52</v>
      </c>
      <c r="Q42" s="37" t="n">
        <v>40.32</v>
      </c>
      <c r="R42" s="37" t="n">
        <v>21.9</v>
      </c>
      <c r="S42" s="37" t="n">
        <v>53.64999999999999</v>
      </c>
      <c r="T42" s="37" t="n">
        <v>30.78</v>
      </c>
      <c r="U42" s="37" t="n">
        <v>59.51000000000001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108</v>
      </c>
      <c r="Q43" s="37" t="n">
        <v>18</v>
      </c>
      <c r="R43" s="37" t="n">
        <v>0</v>
      </c>
      <c r="S43" s="37" t="n">
        <v>0</v>
      </c>
      <c r="T43" s="37" t="n">
        <v>0</v>
      </c>
      <c r="U43" s="37" t="n">
        <v>0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SUMIF('SST TB'!$R:$R,'SST P&amp;L'!$A44,'SST TB'!C:C)</f>
        <v/>
      </c>
      <c r="P44" s="37">
        <f>SUMIF('SST TB'!$R:$R,'SST P&amp;L'!$A44,'SST TB'!D:D)</f>
        <v/>
      </c>
      <c r="Q44" s="37">
        <f>SUMIF('SST TB'!$R:$R,'SST P&amp;L'!$A44,'SST TB'!E:E)</f>
        <v/>
      </c>
      <c r="R44" s="37">
        <f>SUMIF('SST TB'!$R:$R,'SST P&amp;L'!$A44,'SST TB'!F:F)</f>
        <v/>
      </c>
      <c r="S44" s="37">
        <f>SUMIF('SST TB'!$R:$R,'SST P&amp;L'!$A44,'SST TB'!G:G)</f>
        <v/>
      </c>
      <c r="T44" s="37">
        <f>SUMIF('SST TB'!$R:$R,'SST P&amp;L'!$A44,'SST TB'!H:H)</f>
        <v/>
      </c>
      <c r="U44" s="37">
        <f>SUMIF('SST TB'!$R:$R,'SST P&amp;L'!$A44,'SST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135.22</v>
      </c>
      <c r="E45" s="35" t="n">
        <v>0</v>
      </c>
      <c r="F45" s="35" t="n">
        <v>0</v>
      </c>
      <c r="G45" s="35" t="n">
        <v>45</v>
      </c>
      <c r="H45" s="35" t="n">
        <v>117.88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87</v>
      </c>
      <c r="P45" s="37" t="n">
        <v>0</v>
      </c>
      <c r="Q45" s="37" t="n">
        <v>18.75</v>
      </c>
      <c r="R45" s="37" t="n">
        <v>105</v>
      </c>
      <c r="S45" s="37" t="n">
        <v>0</v>
      </c>
      <c r="T45" s="37" t="n">
        <v>0</v>
      </c>
      <c r="U45" s="37" t="n">
        <v>14.98</v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7" t="n">
        <v>100</v>
      </c>
      <c r="AJ45" s="118" t="n">
        <v>100</v>
      </c>
      <c r="AK45" s="118" t="n">
        <v>100</v>
      </c>
      <c r="AL45" s="118" t="n">
        <v>100</v>
      </c>
      <c r="AM45" s="119" t="n">
        <v>100</v>
      </c>
      <c r="AN45" s="117" t="n">
        <v>100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SUMIF('SST TB'!$R:$R,'SST P&amp;L'!$A46,'SST TB'!C:C)</f>
        <v/>
      </c>
      <c r="P46" s="37">
        <f>SUMIF('SST TB'!$R:$R,'SST P&amp;L'!$A46,'SST TB'!D:D)</f>
        <v/>
      </c>
      <c r="Q46" s="37">
        <f>SUMIF('SST TB'!$R:$R,'SST P&amp;L'!$A46,'SST TB'!E:E)</f>
        <v/>
      </c>
      <c r="R46" s="37">
        <f>SUMIF('SST TB'!$R:$R,'SST P&amp;L'!$A46,'SST TB'!F:F)</f>
        <v/>
      </c>
      <c r="S46" s="37">
        <f>SUMIF('SST TB'!$R:$R,'SST P&amp;L'!$A46,'SST TB'!G:G)</f>
        <v/>
      </c>
      <c r="T46" s="37">
        <f>SUMIF('SST TB'!$R:$R,'SST P&amp;L'!$A46,'SST TB'!H:H)</f>
        <v/>
      </c>
      <c r="U46" s="37">
        <f>SUMIF('SST TB'!$R:$R,'SST P&amp;L'!$A46,'SST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3902.96</v>
      </c>
      <c r="C47" s="42" t="n">
        <v>2492.77</v>
      </c>
      <c r="D47" s="42" t="n">
        <v>3610.73</v>
      </c>
      <c r="E47" s="42" t="n">
        <v>3194.32</v>
      </c>
      <c r="F47" s="42" t="n">
        <v>3025.83</v>
      </c>
      <c r="G47" s="42" t="n">
        <v>3948.200000000001</v>
      </c>
      <c r="H47" s="42" t="n">
        <v>3037.29</v>
      </c>
      <c r="I47" s="42" t="n">
        <v>3066.77</v>
      </c>
      <c r="J47" s="42" t="n">
        <v>2162.07</v>
      </c>
      <c r="K47" s="42" t="n">
        <v>3147.35</v>
      </c>
      <c r="L47" s="42" t="n">
        <v>2882.48</v>
      </c>
      <c r="M47" s="42" t="n">
        <v>3844.22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30153.51</v>
      </c>
      <c r="C48" s="23" t="n">
        <v>25311.88</v>
      </c>
      <c r="D48" s="23" t="n">
        <v>25611.59</v>
      </c>
      <c r="E48" s="23" t="n">
        <v>42903.57999999999</v>
      </c>
      <c r="F48" s="23" t="n">
        <v>28231.57</v>
      </c>
      <c r="G48" s="23" t="n">
        <v>29675.18</v>
      </c>
      <c r="H48" s="23" t="n">
        <v>27604.07</v>
      </c>
      <c r="I48" s="23" t="n">
        <v>25250.77</v>
      </c>
      <c r="J48" s="23" t="n">
        <v>19862.98</v>
      </c>
      <c r="K48" s="23" t="n">
        <v>29503.93</v>
      </c>
      <c r="L48" s="23" t="n">
        <v>31521.67</v>
      </c>
      <c r="M48" s="23" t="n">
        <v>33454.12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30964.44</v>
      </c>
      <c r="C50" s="55" t="n">
        <v>29972.41</v>
      </c>
      <c r="D50" s="55" t="n">
        <v>36620.25999999999</v>
      </c>
      <c r="E50" s="55" t="n">
        <v>20818.31000000001</v>
      </c>
      <c r="F50" s="55" t="n">
        <v>30102.84</v>
      </c>
      <c r="G50" s="55" t="n">
        <v>26391.71</v>
      </c>
      <c r="H50" s="55" t="n">
        <v>45691.59</v>
      </c>
      <c r="I50" s="55" t="n">
        <v>22876.30000000001</v>
      </c>
      <c r="J50" s="55" t="n">
        <v>27432.07</v>
      </c>
      <c r="K50" s="55" t="n">
        <v>19165.51000000001</v>
      </c>
      <c r="L50" s="55" t="n">
        <v>29540.50999999999</v>
      </c>
      <c r="M50" s="55" t="n">
        <v>36823.30999999999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SUMIF('SST TB'!$R:$R,'SST P&amp;L'!$A53,'SST TB'!C:C)</f>
        <v/>
      </c>
      <c r="P53" s="37">
        <f>SUMIF('SST TB'!$R:$R,'SST P&amp;L'!$A53,'SST TB'!D:D)</f>
        <v/>
      </c>
      <c r="Q53" s="37">
        <f>SUMIF('SST TB'!$R:$R,'SST P&amp;L'!$A53,'SST TB'!E:E)</f>
        <v/>
      </c>
      <c r="R53" s="37">
        <f>SUMIF('SST TB'!$R:$R,'SST P&amp;L'!$A53,'SST TB'!F:F)</f>
        <v/>
      </c>
      <c r="S53" s="37">
        <f>SUMIF('SST TB'!$R:$R,'SST P&amp;L'!$A53,'SST TB'!G:G)</f>
        <v/>
      </c>
      <c r="T53" s="37">
        <f>SUMIF('SST TB'!$R:$R,'SST P&amp;L'!$A53,'SST TB'!H:H)</f>
        <v/>
      </c>
      <c r="U53" s="37">
        <f>SUMIF('SST TB'!$R:$R,'SST P&amp;L'!$A53,'SST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SUMIF('SST TB'!$R:$R,'SST P&amp;L'!$A54,'SST TB'!C:C)</f>
        <v/>
      </c>
      <c r="P54" s="37">
        <f>SUMIF('SST TB'!$R:$R,'SST P&amp;L'!$A54,'SST TB'!D:D)</f>
        <v/>
      </c>
      <c r="Q54" s="37">
        <f>SUMIF('SST TB'!$R:$R,'SST P&amp;L'!$A54,'SST TB'!E:E)</f>
        <v/>
      </c>
      <c r="R54" s="37">
        <f>SUMIF('SST TB'!$R:$R,'SST P&amp;L'!$A54,'SST TB'!F:F)</f>
        <v/>
      </c>
      <c r="S54" s="37">
        <f>SUMIF('SST TB'!$R:$R,'SST P&amp;L'!$A54,'SST TB'!G:G)</f>
        <v/>
      </c>
      <c r="T54" s="37">
        <f>SUMIF('SST TB'!$R:$R,'SST P&amp;L'!$A54,'SST TB'!H:H)</f>
        <v/>
      </c>
      <c r="U54" s="37">
        <f>SUMIF('SST TB'!$R:$R,'SST P&amp;L'!$A54,'SST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SUMIF('SST TB'!$R:$R,'SST P&amp;L'!$A55,'SST TB'!C:C)</f>
        <v/>
      </c>
      <c r="P55" s="37">
        <f>SUMIF('SST TB'!$R:$R,'SST P&amp;L'!$A55,'SST TB'!D:D)</f>
        <v/>
      </c>
      <c r="Q55" s="37">
        <f>SUMIF('SST TB'!$R:$R,'SST P&amp;L'!$A55,'SST TB'!E:E)</f>
        <v/>
      </c>
      <c r="R55" s="37">
        <f>SUMIF('SST TB'!$R:$R,'SST P&amp;L'!$A55,'SST TB'!F:F)</f>
        <v/>
      </c>
      <c r="S55" s="37">
        <f>SUMIF('SST TB'!$R:$R,'SST P&amp;L'!$A55,'SST TB'!G:G)</f>
        <v/>
      </c>
      <c r="T55" s="37">
        <f>SUMIF('SST TB'!$R:$R,'SST P&amp;L'!$A55,'SST TB'!H:H)</f>
        <v/>
      </c>
      <c r="U55" s="37">
        <f>SUMIF('SST TB'!$R:$R,'SST P&amp;L'!$A55,'SST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SUMIF('SST TB'!$R:$R,'SST P&amp;L'!$A56,'SST TB'!C:C)</f>
        <v/>
      </c>
      <c r="P56" s="37">
        <f>SUMIF('SST TB'!$R:$R,'SST P&amp;L'!$A56,'SST TB'!D:D)</f>
        <v/>
      </c>
      <c r="Q56" s="37">
        <f>SUMIF('SST TB'!$R:$R,'SST P&amp;L'!$A56,'SST TB'!E:E)</f>
        <v/>
      </c>
      <c r="R56" s="37">
        <f>SUMIF('SST TB'!$R:$R,'SST P&amp;L'!$A56,'SST TB'!F:F)</f>
        <v/>
      </c>
      <c r="S56" s="37">
        <f>SUMIF('SST TB'!$R:$R,'SST P&amp;L'!$A56,'SST TB'!G:G)</f>
        <v/>
      </c>
      <c r="T56" s="37">
        <f>SUMIF('SST TB'!$R:$R,'SST P&amp;L'!$A56,'SST TB'!H:H)</f>
        <v/>
      </c>
      <c r="U56" s="37">
        <f>SUMIF('SST TB'!$R:$R,'SST P&amp;L'!$A56,'SST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243.93</v>
      </c>
      <c r="N57" s="36">
        <f>SUM(B57:M57)</f>
        <v/>
      </c>
      <c r="O57" s="37">
        <f>SUMIF('SST TB'!$R:$R,'SST P&amp;L'!$A57,'SST TB'!C:C)</f>
        <v/>
      </c>
      <c r="P57" s="37">
        <f>SUMIF('SST TB'!$R:$R,'SST P&amp;L'!$A57,'SST TB'!D:D)</f>
        <v/>
      </c>
      <c r="Q57" s="37">
        <f>SUMIF('SST TB'!$R:$R,'SST P&amp;L'!$A57,'SST TB'!E:E)</f>
        <v/>
      </c>
      <c r="R57" s="37">
        <f>SUMIF('SST TB'!$R:$R,'SST P&amp;L'!$A57,'SST TB'!F:F)</f>
        <v/>
      </c>
      <c r="S57" s="37">
        <f>SUMIF('SST TB'!$R:$R,'SST P&amp;L'!$A57,'SST TB'!G:G)</f>
        <v/>
      </c>
      <c r="T57" s="37">
        <f>SUMIF('SST TB'!$R:$R,'SST P&amp;L'!$A57,'SST TB'!H:H)</f>
        <v/>
      </c>
      <c r="U57" s="37">
        <f>SUMIF('SST TB'!$R:$R,'SST P&amp;L'!$A57,'SST TB'!I:I)</f>
        <v/>
      </c>
      <c r="V57" s="38" t="n"/>
      <c r="W57" s="38" t="n"/>
      <c r="X57" s="38" t="n"/>
      <c r="Y57" s="38" t="n"/>
      <c r="Z57" s="38">
        <f>30*12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SUMIF('SST TB'!$R:$R,'SST P&amp;L'!$A58,'SST TB'!C:C)</f>
        <v/>
      </c>
      <c r="P58" s="37">
        <f>SUMIF('SST TB'!$R:$R,'SST P&amp;L'!$A58,'SST TB'!D:D)</f>
        <v/>
      </c>
      <c r="Q58" s="37">
        <f>SUMIF('SST TB'!$R:$R,'SST P&amp;L'!$A58,'SST TB'!E:E)</f>
        <v/>
      </c>
      <c r="R58" s="37">
        <f>SUMIF('SST TB'!$R:$R,'SST P&amp;L'!$A58,'SST TB'!F:F)</f>
        <v/>
      </c>
      <c r="S58" s="37">
        <f>SUMIF('SST TB'!$R:$R,'SST P&amp;L'!$A58,'SST TB'!G:G)</f>
        <v/>
      </c>
      <c r="T58" s="37">
        <f>SUMIF('SST TB'!$R:$R,'SST P&amp;L'!$A58,'SST TB'!H:H)</f>
        <v/>
      </c>
      <c r="U58" s="37">
        <f>SUMIF('SST TB'!$R:$R,'SST P&amp;L'!$A58,'SST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6.6</v>
      </c>
      <c r="C60" s="35" t="n">
        <v>7.8</v>
      </c>
      <c r="D60" s="35" t="n">
        <v>7.8</v>
      </c>
      <c r="E60" s="35" t="n">
        <v>7.800000000000001</v>
      </c>
      <c r="F60" s="35" t="n">
        <v>10.2</v>
      </c>
      <c r="G60" s="35" t="n">
        <v>8.4</v>
      </c>
      <c r="H60" s="35" t="n">
        <v>7.8</v>
      </c>
      <c r="I60" s="35" t="n">
        <v>7.2</v>
      </c>
      <c r="J60" s="35" t="n">
        <v>7.8</v>
      </c>
      <c r="K60" s="35" t="n">
        <v>74.80000000000001</v>
      </c>
      <c r="L60" s="35" t="n">
        <v>6</v>
      </c>
      <c r="M60" s="35" t="n">
        <v>6.6</v>
      </c>
      <c r="N60" s="36">
        <f>SUM(B60:M60)</f>
        <v/>
      </c>
      <c r="O60" s="37" t="n">
        <v>6.6</v>
      </c>
      <c r="P60" s="37" t="n">
        <v>7.199999999999999</v>
      </c>
      <c r="Q60" s="37" t="n">
        <v>42.96</v>
      </c>
      <c r="R60" s="37" t="n">
        <v>4.8</v>
      </c>
      <c r="S60" s="37" t="n">
        <v>5.399999999999999</v>
      </c>
      <c r="T60" s="37" t="n">
        <v>6.6</v>
      </c>
      <c r="U60" s="37" t="n">
        <v>5.4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3.6</v>
      </c>
      <c r="G61" s="35" t="n">
        <v>46.78</v>
      </c>
      <c r="H61" s="35" t="n">
        <v>0</v>
      </c>
      <c r="I61" s="35" t="n">
        <v>0</v>
      </c>
      <c r="J61" s="35" t="n">
        <v>0</v>
      </c>
      <c r="K61" s="35" t="n">
        <v>13.65</v>
      </c>
      <c r="L61" s="35" t="n">
        <v>0</v>
      </c>
      <c r="M61" s="35" t="n">
        <v>33.4</v>
      </c>
      <c r="N61" s="36">
        <f>SUM(B61:M61)</f>
        <v/>
      </c>
      <c r="O61" s="37">
        <f>SUMIF('SST TB'!$R:$R,'SST P&amp;L'!$A61,'SST TB'!C:C)</f>
        <v/>
      </c>
      <c r="P61" s="37">
        <f>SUMIF('SST TB'!$R:$R,'SST P&amp;L'!$A61,'SST TB'!D:D)</f>
        <v/>
      </c>
      <c r="Q61" s="37">
        <f>SUMIF('SST TB'!$R:$R,'SST P&amp;L'!$A61,'SST TB'!E:E)</f>
        <v/>
      </c>
      <c r="R61" s="37">
        <f>SUMIF('SST TB'!$R:$R,'SST P&amp;L'!$A61,'SST TB'!F:F)</f>
        <v/>
      </c>
      <c r="S61" s="37">
        <f>SUMIF('SST TB'!$R:$R,'SST P&amp;L'!$A61,'SST TB'!G:G)</f>
        <v/>
      </c>
      <c r="T61" s="37">
        <f>SUMIF('SST TB'!$R:$R,'SST P&amp;L'!$A61,'SST TB'!H:H)</f>
        <v/>
      </c>
      <c r="U61" s="37">
        <f>SUMIF('SST TB'!$R:$R,'SST P&amp;L'!$A61,'SST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140</v>
      </c>
      <c r="D62" s="35" t="n">
        <v>180</v>
      </c>
      <c r="E62" s="35" t="n">
        <v>289.5</v>
      </c>
      <c r="F62" s="35" t="n">
        <v>409.5</v>
      </c>
      <c r="G62" s="35" t="n">
        <v>105</v>
      </c>
      <c r="H62" s="35" t="n">
        <v>40</v>
      </c>
      <c r="I62" s="35" t="n">
        <v>157</v>
      </c>
      <c r="J62" s="35" t="n">
        <v>340</v>
      </c>
      <c r="K62" s="35" t="n">
        <v>0</v>
      </c>
      <c r="L62" s="35" t="n">
        <v>40</v>
      </c>
      <c r="M62" s="35" t="n">
        <v>0</v>
      </c>
      <c r="N62" s="36">
        <f>SUM(B62:M62)</f>
        <v/>
      </c>
      <c r="O62" s="37" t="n">
        <v>65</v>
      </c>
      <c r="P62" s="37" t="n">
        <v>25</v>
      </c>
      <c r="Q62" s="37" t="n">
        <v>0</v>
      </c>
      <c r="R62" s="37" t="n">
        <v>62.34</v>
      </c>
      <c r="S62" s="37" t="n">
        <v>0</v>
      </c>
      <c r="T62" s="37" t="n">
        <v>0</v>
      </c>
      <c r="U62" s="37" t="n">
        <v>20.66</v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SUMIF('SST TB'!$R:$R,'SST P&amp;L'!$A63,'SST TB'!C:C)</f>
        <v/>
      </c>
      <c r="P63" s="37">
        <f>SUMIF('SST TB'!$R:$R,'SST P&amp;L'!$A63,'SST TB'!D:D)</f>
        <v/>
      </c>
      <c r="Q63" s="37">
        <f>SUMIF('SST TB'!$R:$R,'SST P&amp;L'!$A63,'SST TB'!E:E)</f>
        <v/>
      </c>
      <c r="R63" s="37">
        <f>SUMIF('SST TB'!$R:$R,'SST P&amp;L'!$A63,'SST TB'!F:F)</f>
        <v/>
      </c>
      <c r="S63" s="37">
        <f>SUMIF('SST TB'!$R:$R,'SST P&amp;L'!$A63,'SST TB'!G:G)</f>
        <v/>
      </c>
      <c r="T63" s="37">
        <f>SUMIF('SST TB'!$R:$R,'SST P&amp;L'!$A63,'SST TB'!H:H)</f>
        <v/>
      </c>
      <c r="U63" s="37">
        <f>SUMIF('SST TB'!$R:$R,'SST P&amp;L'!$A63,'SST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SUMIF('SST TB'!$R:$R,'SST P&amp;L'!$A64,'SST TB'!C:C)</f>
        <v/>
      </c>
      <c r="P64" s="37">
        <f>SUMIF('SST TB'!$R:$R,'SST P&amp;L'!$A64,'SST TB'!D:D)</f>
        <v/>
      </c>
      <c r="Q64" s="37">
        <f>SUMIF('SST TB'!$R:$R,'SST P&amp;L'!$A64,'SST TB'!E:E)</f>
        <v/>
      </c>
      <c r="R64" s="37">
        <f>SUMIF('SST TB'!$R:$R,'SST P&amp;L'!$A64,'SST TB'!F:F)</f>
        <v/>
      </c>
      <c r="S64" s="37">
        <f>SUMIF('SST TB'!$R:$R,'SST P&amp;L'!$A64,'SST TB'!G:G)</f>
        <v/>
      </c>
      <c r="T64" s="37">
        <f>SUMIF('SST TB'!$R:$R,'SST P&amp;L'!$A64,'SST TB'!H:H)</f>
        <v/>
      </c>
      <c r="U64" s="37">
        <f>SUMIF('SST TB'!$R:$R,'SST P&amp;L'!$A64,'SST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SUMIF('SST TB'!$R:$R,'SST P&amp;L'!$A65,'SST TB'!C:C)</f>
        <v/>
      </c>
      <c r="P65" s="37">
        <f>SUMIF('SST TB'!$R:$R,'SST P&amp;L'!$A65,'SST TB'!D:D)</f>
        <v/>
      </c>
      <c r="Q65" s="37">
        <f>SUMIF('SST TB'!$R:$R,'SST P&amp;L'!$A65,'SST TB'!E:E)</f>
        <v/>
      </c>
      <c r="R65" s="37">
        <f>SUMIF('SST TB'!$R:$R,'SST P&amp;L'!$A65,'SST TB'!F:F)</f>
        <v/>
      </c>
      <c r="S65" s="37">
        <f>SUMIF('SST TB'!$R:$R,'SST P&amp;L'!$A65,'SST TB'!G:G)</f>
        <v/>
      </c>
      <c r="T65" s="37">
        <f>SUMIF('SST TB'!$R:$R,'SST P&amp;L'!$A65,'SST TB'!H:H)</f>
        <v/>
      </c>
      <c r="U65" s="37">
        <f>SUMIF('SST TB'!$R:$R,'SST P&amp;L'!$A65,'SST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SUMIF('SST TB'!$R:$R,'SST P&amp;L'!$A66,'SST TB'!C:C)</f>
        <v/>
      </c>
      <c r="P66" s="37">
        <f>SUMIF('SST TB'!$R:$R,'SST P&amp;L'!$A66,'SST TB'!D:D)</f>
        <v/>
      </c>
      <c r="Q66" s="37">
        <f>SUMIF('SST TB'!$R:$R,'SST P&amp;L'!$A66,'SST TB'!E:E)</f>
        <v/>
      </c>
      <c r="R66" s="37">
        <f>SUMIF('SST TB'!$R:$R,'SST P&amp;L'!$A66,'SST TB'!F:F)</f>
        <v/>
      </c>
      <c r="S66" s="37">
        <f>SUMIF('SST TB'!$R:$R,'SST P&amp;L'!$A66,'SST TB'!G:G)</f>
        <v/>
      </c>
      <c r="T66" s="37">
        <f>SUMIF('SST TB'!$R:$R,'SST P&amp;L'!$A66,'SST TB'!H:H)</f>
        <v/>
      </c>
      <c r="U66" s="37">
        <f>SUMIF('SST TB'!$R:$R,'SST P&amp;L'!$A66,'SST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220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SUMIF('SST TB'!$R:$R,'SST P&amp;L'!$A67,'SST TB'!C:C)</f>
        <v/>
      </c>
      <c r="P67" s="37">
        <f>SUMIF('SST TB'!$R:$R,'SST P&amp;L'!$A67,'SST TB'!D:D)</f>
        <v/>
      </c>
      <c r="Q67" s="37">
        <f>SUMIF('SST TB'!$R:$R,'SST P&amp;L'!$A67,'SST TB'!E:E)</f>
        <v/>
      </c>
      <c r="R67" s="37">
        <f>SUMIF('SST TB'!$R:$R,'SST P&amp;L'!$A67,'SST TB'!F:F)</f>
        <v/>
      </c>
      <c r="S67" s="37">
        <f>SUMIF('SST TB'!$R:$R,'SST P&amp;L'!$A67,'SST TB'!G:G)</f>
        <v/>
      </c>
      <c r="T67" s="37">
        <f>SUMIF('SST TB'!$R:$R,'SST P&amp;L'!$A67,'SST TB'!H:H)</f>
        <v/>
      </c>
      <c r="U67" s="37">
        <f>SUMIF('SST TB'!$R:$R,'SST P&amp;L'!$A67,'SST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SUMIF('SST TB'!$R:$R,'SST P&amp;L'!$A68,'SST TB'!C:C)</f>
        <v/>
      </c>
      <c r="P68" s="37">
        <f>SUMIF('SST TB'!$R:$R,'SST P&amp;L'!$A68,'SST TB'!D:D)</f>
        <v/>
      </c>
      <c r="Q68" s="37">
        <f>SUMIF('SST TB'!$R:$R,'SST P&amp;L'!$A68,'SST TB'!E:E)</f>
        <v/>
      </c>
      <c r="R68" s="37">
        <f>SUMIF('SST TB'!$R:$R,'SST P&amp;L'!$A68,'SST TB'!F:F)</f>
        <v/>
      </c>
      <c r="S68" s="37">
        <f>SUMIF('SST TB'!$R:$R,'SST P&amp;L'!$A68,'SST TB'!G:G)</f>
        <v/>
      </c>
      <c r="T68" s="37">
        <f>SUMIF('SST TB'!$R:$R,'SST P&amp;L'!$A68,'SST TB'!H:H)</f>
        <v/>
      </c>
      <c r="U68" s="37">
        <f>SUMIF('SST TB'!$R:$R,'SST P&amp;L'!$A68,'SST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207.98</v>
      </c>
      <c r="C69" s="42" t="n">
        <v>349.18</v>
      </c>
      <c r="D69" s="42" t="n">
        <v>389.18</v>
      </c>
      <c r="E69" s="42" t="n">
        <v>498.68</v>
      </c>
      <c r="F69" s="42" t="n">
        <v>844.6799999999999</v>
      </c>
      <c r="G69" s="42" t="n">
        <v>361.56</v>
      </c>
      <c r="H69" s="42" t="n">
        <v>249.18</v>
      </c>
      <c r="I69" s="42" t="n">
        <v>365.58</v>
      </c>
      <c r="J69" s="42" t="n">
        <v>549.1800000000001</v>
      </c>
      <c r="K69" s="42" t="n">
        <v>303.25</v>
      </c>
      <c r="L69" s="42" t="n">
        <v>260.8</v>
      </c>
      <c r="M69" s="42" t="n">
        <v>498.73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30756.46</v>
      </c>
      <c r="C70" s="55" t="n">
        <v>29623.23</v>
      </c>
      <c r="D70" s="55" t="n">
        <v>36231.07999999999</v>
      </c>
      <c r="E70" s="55" t="n">
        <v>20319.63000000001</v>
      </c>
      <c r="F70" s="55" t="n">
        <v>29258.16</v>
      </c>
      <c r="G70" s="55" t="n">
        <v>26030.14999999999</v>
      </c>
      <c r="H70" s="55" t="n">
        <v>45442.41</v>
      </c>
      <c r="I70" s="55" t="n">
        <v>22510.72</v>
      </c>
      <c r="J70" s="55" t="n">
        <v>26882.89</v>
      </c>
      <c r="K70" s="55" t="n">
        <v>18862.26000000001</v>
      </c>
      <c r="L70" s="55" t="n">
        <v>29279.70999999999</v>
      </c>
      <c r="M70" s="55" t="n">
        <v>36324.57999999999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148" t="n">
        <v>0</v>
      </c>
      <c r="AJ72" s="148" t="n">
        <v>0</v>
      </c>
      <c r="AK72" s="148" t="n">
        <v>0</v>
      </c>
      <c r="AL72" s="148" t="n">
        <v>0</v>
      </c>
      <c r="AM72" s="148" t="n">
        <v>0</v>
      </c>
      <c r="AN72" s="148" t="n">
        <v>0</v>
      </c>
      <c r="AO72" s="149">
        <f>SUM(AC72:AH72)+SUM(AI72:AN72)</f>
        <v/>
      </c>
      <c r="AP72" s="145">
        <f>IF(AB72&lt;&gt;0,(AO72-AB72)/ABS(AB72),0)</f>
        <v/>
      </c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148" t="n">
        <v>0</v>
      </c>
      <c r="AJ73" s="148" t="n">
        <v>0</v>
      </c>
      <c r="AK73" s="148" t="n">
        <v>0</v>
      </c>
      <c r="AL73" s="148" t="n">
        <v>0</v>
      </c>
      <c r="AM73" s="148" t="n">
        <v>0</v>
      </c>
      <c r="AN73" s="148" t="n">
        <v>0</v>
      </c>
      <c r="AO73" s="149">
        <f>SUM(AC73:AH73)+SUM(AI73:AN73)</f>
        <v/>
      </c>
      <c r="AP73" s="145">
        <f>IF(AB73&lt;&gt;0,(AO73-AB73)/ABS(AB73),0)</f>
        <v/>
      </c>
    </row>
    <row r="74">
      <c r="A74" s="60" t="inlineStr">
        <is>
          <t>Direct - Sales</t>
        </is>
      </c>
      <c r="B74" s="60" t="n">
        <v>61117.95</v>
      </c>
      <c r="C74" s="60" t="n">
        <v>55284.29</v>
      </c>
      <c r="D74" s="60" t="n">
        <v>62231.85</v>
      </c>
      <c r="E74" s="60" t="n">
        <v>63721.89</v>
      </c>
      <c r="F74" s="60" t="n">
        <v>58334.41</v>
      </c>
      <c r="G74" s="60" t="n">
        <v>56066.89</v>
      </c>
      <c r="H74" s="60" t="n">
        <v>73295.66</v>
      </c>
      <c r="I74" s="60" t="n">
        <v>48127.07000000001</v>
      </c>
      <c r="J74" s="60" t="n">
        <v>47295.05</v>
      </c>
      <c r="K74" s="60" t="n">
        <v>48669.44</v>
      </c>
      <c r="L74" s="60" t="n">
        <v>61062.17999999999</v>
      </c>
      <c r="M74" s="8" t="n"/>
      <c r="N74" s="8" t="n"/>
      <c r="O74" s="60">
        <f>-SUMIF('SST TB'!$T:$T,'SST P&amp;L'!$A74,'SST TB'!C:C)</f>
        <v/>
      </c>
      <c r="P74" s="60">
        <f>-SUMIF('SST TB'!$T:$T,'SST P&amp;L'!$A74,'SST TB'!D:D)</f>
        <v/>
      </c>
      <c r="Q74" s="60">
        <f>-SUMIF('SST TB'!$T:$T,'SST P&amp;L'!$A74,'SST TB'!E:E)</f>
        <v/>
      </c>
      <c r="R74" s="60">
        <f>-SUMIF('SST TB'!$T:$T,'SST P&amp;L'!$A74,'SST TB'!F:F)</f>
        <v/>
      </c>
      <c r="S74" s="60">
        <f>-SUMIF('SST TB'!$T:$T,'SST P&amp;L'!$A74,'SST TB'!G:G)</f>
        <v/>
      </c>
      <c r="T74" s="60">
        <f>-SUMIF('SST TB'!$T:$T,'SST P&amp;L'!$A74,'SST TB'!H:H)</f>
        <v/>
      </c>
      <c r="U74" s="60">
        <f>-SUMIF('SST TB'!$T:$T,'SST P&amp;L'!$A74,'SST TB'!I:I)</f>
        <v/>
      </c>
      <c r="V74" s="60">
        <f>-SUMIF('SST TB'!$T:$T,'SST P&amp;L'!$A74,'SST TB'!J:J)</f>
        <v/>
      </c>
      <c r="W74" s="60">
        <f>-SUMIF('SST TB'!$T:$T,'SST P&amp;L'!$A74,'SST TB'!K:K)</f>
        <v/>
      </c>
      <c r="X74" s="60">
        <f>-SUMIF('SST TB'!$T:$T,'SST P&amp;L'!$A74,'SST TB'!L:L)</f>
        <v/>
      </c>
      <c r="Y74" s="60">
        <f>-SUMIF('SST TB'!$T:$T,'SST P&amp;L'!$A74,'SST TB'!M:M)</f>
        <v/>
      </c>
      <c r="Z74" s="60">
        <f>-SUMIF('SST TB'!$T:$T,'SST P&amp;L'!$A74,'SST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148" t="n">
        <v>0</v>
      </c>
      <c r="AJ74" s="148" t="n">
        <v>0</v>
      </c>
      <c r="AK74" s="148" t="n">
        <v>0</v>
      </c>
      <c r="AL74" s="148" t="n">
        <v>0</v>
      </c>
      <c r="AM74" s="148" t="n">
        <v>0</v>
      </c>
      <c r="AN74" s="148" t="n">
        <v>0</v>
      </c>
      <c r="AO74" s="149">
        <f>SUM(AC74:AH74)+SUM(AI74:AN74)</f>
        <v/>
      </c>
      <c r="AP74" s="145">
        <f>IF(AB74&lt;&gt;0,(AO74-AB74)/ABS(AB74),0)</f>
        <v/>
      </c>
    </row>
    <row r="75">
      <c r="A75" s="34" t="inlineStr">
        <is>
          <t>Direct - Staff Cost</t>
        </is>
      </c>
      <c r="B75" s="18" t="n">
        <v>-23799.23</v>
      </c>
      <c r="C75" s="18" t="n">
        <v>-20606.08</v>
      </c>
      <c r="D75" s="18" t="n">
        <v>-20653.85</v>
      </c>
      <c r="E75" s="18" t="n">
        <v>-38381.55999999999</v>
      </c>
      <c r="F75" s="18" t="n">
        <v>-23949.07</v>
      </c>
      <c r="G75" s="18" t="n">
        <v>-23893.35</v>
      </c>
      <c r="H75" s="18" t="n">
        <v>-23286.16</v>
      </c>
      <c r="I75" s="18" t="n">
        <v>-17854.27</v>
      </c>
      <c r="J75" s="18" t="n">
        <v>-15786.57</v>
      </c>
      <c r="K75" s="18" t="n">
        <v>-24526.62</v>
      </c>
      <c r="L75" s="18" t="n">
        <v>-26536.27</v>
      </c>
      <c r="M75" s="18" t="n"/>
      <c r="N75" s="8" t="n"/>
      <c r="O75" s="60">
        <f>-SUMIF('SST TB'!$T:$T,'SST P&amp;L'!$A75,'SST TB'!C:C)</f>
        <v/>
      </c>
      <c r="P75" s="60">
        <f>-SUMIF('SST TB'!$T:$T,'SST P&amp;L'!$A75,'SST TB'!D:D)</f>
        <v/>
      </c>
      <c r="Q75" s="60">
        <f>-SUMIF('SST TB'!$T:$T,'SST P&amp;L'!$A75,'SST TB'!E:E)</f>
        <v/>
      </c>
      <c r="R75" s="60">
        <f>-SUMIF('SST TB'!$T:$T,'SST P&amp;L'!$A75,'SST TB'!F:F)</f>
        <v/>
      </c>
      <c r="S75" s="60">
        <f>-SUMIF('SST TB'!$T:$T,'SST P&amp;L'!$A75,'SST TB'!G:G)</f>
        <v/>
      </c>
      <c r="T75" s="60">
        <f>-SUMIF('SST TB'!$T:$T,'SST P&amp;L'!$A75,'SST TB'!H:H)</f>
        <v/>
      </c>
      <c r="U75" s="60">
        <f>-SUMIF('SST TB'!$T:$T,'SST P&amp;L'!$A75,'SST TB'!I:I)</f>
        <v/>
      </c>
      <c r="V75" s="60">
        <f>-SUMIF('SST TB'!$T:$T,'SST P&amp;L'!$A75,'SST TB'!J:J)</f>
        <v/>
      </c>
      <c r="W75" s="60">
        <f>-SUMIF('SST TB'!$T:$T,'SST P&amp;L'!$A75,'SST TB'!K:K)</f>
        <v/>
      </c>
      <c r="X75" s="60">
        <f>-SUMIF('SST TB'!$T:$T,'SST P&amp;L'!$A75,'SST TB'!L:L)</f>
        <v/>
      </c>
      <c r="Y75" s="60">
        <f>-SUMIF('SST TB'!$T:$T,'SST P&amp;L'!$A75,'SST TB'!M:M)</f>
        <v/>
      </c>
      <c r="Z75" s="60">
        <f>-SUMIF('SST TB'!$T:$T,'SST P&amp;L'!$A75,'SST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148" t="n">
        <v>0</v>
      </c>
      <c r="AJ75" s="148" t="n">
        <v>0</v>
      </c>
      <c r="AK75" s="148" t="n">
        <v>0</v>
      </c>
      <c r="AL75" s="148" t="n">
        <v>0</v>
      </c>
      <c r="AM75" s="148" t="n">
        <v>0</v>
      </c>
      <c r="AN75" s="148" t="n">
        <v>0</v>
      </c>
      <c r="AO75" s="149">
        <f>SUM(AC75:AH75)+SUM(AI75:AN75)</f>
        <v/>
      </c>
      <c r="AP75" s="145">
        <f>IF(AB75&lt;&gt;0,(AO75-AB75)/ABS(AB75),0)</f>
        <v/>
      </c>
    </row>
    <row r="76">
      <c r="A76" s="60" t="inlineStr">
        <is>
          <t>Direct - Childcare Cost</t>
        </is>
      </c>
      <c r="B76" s="18" t="n">
        <v>-2451.32</v>
      </c>
      <c r="C76" s="18" t="n">
        <v>-2213.03</v>
      </c>
      <c r="D76" s="18" t="n">
        <v>-1347.01</v>
      </c>
      <c r="E76" s="18" t="n">
        <v>-1327.7</v>
      </c>
      <c r="F76" s="18" t="n">
        <v>-1256.67</v>
      </c>
      <c r="G76" s="18" t="n">
        <v>-1833.63</v>
      </c>
      <c r="H76" s="18" t="n">
        <v>-1280.62</v>
      </c>
      <c r="I76" s="18" t="n">
        <v>-4329.73</v>
      </c>
      <c r="J76" s="18" t="n">
        <v>-1914.34</v>
      </c>
      <c r="K76" s="18" t="n">
        <v>-1829.96</v>
      </c>
      <c r="L76" s="18" t="n">
        <v>-2102.92</v>
      </c>
      <c r="M76" s="18" t="n">
        <v>-1144.54</v>
      </c>
      <c r="N76" s="8" t="n"/>
      <c r="O76" s="60">
        <f>-SUMIF('SST TB'!$T:$T,'SST P&amp;L'!$A76,'SST TB'!C:C)</f>
        <v/>
      </c>
      <c r="P76" s="60">
        <f>-SUMIF('SST TB'!$T:$T,'SST P&amp;L'!$A76,'SST TB'!D:D)</f>
        <v/>
      </c>
      <c r="Q76" s="60">
        <f>-SUMIF('SST TB'!$T:$T,'SST P&amp;L'!$A76,'SST TB'!E:E)</f>
        <v/>
      </c>
      <c r="R76" s="60">
        <f>-SUMIF('SST TB'!$T:$T,'SST P&amp;L'!$A76,'SST TB'!F:F)</f>
        <v/>
      </c>
      <c r="S76" s="60">
        <f>-SUMIF('SST TB'!$T:$T,'SST P&amp;L'!$A76,'SST TB'!G:G)</f>
        <v/>
      </c>
      <c r="T76" s="60">
        <f>-SUMIF('SST TB'!$T:$T,'SST P&amp;L'!$A76,'SST TB'!H:H)</f>
        <v/>
      </c>
      <c r="U76" s="60">
        <f>-SUMIF('SST TB'!$T:$T,'SST P&amp;L'!$A76,'SST TB'!I:I)</f>
        <v/>
      </c>
      <c r="V76" s="60">
        <f>-SUMIF('SST TB'!$T:$T,'SST P&amp;L'!$A76,'SST TB'!J:J)</f>
        <v/>
      </c>
      <c r="W76" s="60">
        <f>-SUMIF('SST TB'!$T:$T,'SST P&amp;L'!$A76,'SST TB'!K:K)</f>
        <v/>
      </c>
      <c r="X76" s="60">
        <f>-SUMIF('SST TB'!$T:$T,'SST P&amp;L'!$A76,'SST TB'!L:L)</f>
        <v/>
      </c>
      <c r="Y76" s="60">
        <f>-SUMIF('SST TB'!$T:$T,'SST P&amp;L'!$A76,'SST TB'!M:M)</f>
        <v/>
      </c>
      <c r="Z76" s="60">
        <f>-SUMIF('SST TB'!$T:$T,'SST P&amp;L'!$A76,'SST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148" t="n">
        <v>0</v>
      </c>
      <c r="AJ76" s="148" t="n">
        <v>0</v>
      </c>
      <c r="AK76" s="148" t="n">
        <v>0</v>
      </c>
      <c r="AL76" s="148" t="n">
        <v>0</v>
      </c>
      <c r="AM76" s="148" t="n">
        <v>0</v>
      </c>
      <c r="AN76" s="148" t="n">
        <v>0</v>
      </c>
      <c r="AO76" s="149">
        <f>SUM(AC76:AH76)+SUM(AI76:AN76)</f>
        <v/>
      </c>
      <c r="AP76" s="145">
        <f>IF(AB76&lt;&gt;0,(AO76-AB76)/ABS(AB76),0)</f>
        <v/>
      </c>
    </row>
    <row r="77">
      <c r="A77" s="60" t="inlineStr">
        <is>
          <t>Direct - Premises &amp; Admin</t>
        </is>
      </c>
      <c r="B77" s="18" t="n">
        <v>-3902.96</v>
      </c>
      <c r="C77" s="18" t="n">
        <v>-2492.77</v>
      </c>
      <c r="D77" s="18" t="n">
        <v>-3610.73</v>
      </c>
      <c r="E77" s="18" t="n">
        <v>-3194.32</v>
      </c>
      <c r="F77" s="18" t="n">
        <v>-3025.83</v>
      </c>
      <c r="G77" s="18" t="n">
        <v>-3948.200000000001</v>
      </c>
      <c r="H77" s="18" t="n">
        <v>-3037.29</v>
      </c>
      <c r="I77" s="18" t="n">
        <v>-3066.77</v>
      </c>
      <c r="J77" s="18" t="n">
        <v>-2162.070000000001</v>
      </c>
      <c r="K77" s="18" t="n">
        <v>-3147.35</v>
      </c>
      <c r="L77" s="18" t="n">
        <v>-2882.48</v>
      </c>
      <c r="M77" s="18" t="n">
        <v>-3844.22</v>
      </c>
      <c r="N77" s="8" t="n"/>
      <c r="O77" s="60">
        <f>-SUMIF('SST TB'!$T:$T,'SST P&amp;L'!$A77,'SST TB'!C:C)</f>
        <v/>
      </c>
      <c r="P77" s="60">
        <f>-SUMIF('SST TB'!$T:$T,'SST P&amp;L'!$A77,'SST TB'!D:D)</f>
        <v/>
      </c>
      <c r="Q77" s="60">
        <f>-SUMIF('SST TB'!$T:$T,'SST P&amp;L'!$A77,'SST TB'!E:E)</f>
        <v/>
      </c>
      <c r="R77" s="60">
        <f>-SUMIF('SST TB'!$T:$T,'SST P&amp;L'!$A77,'SST TB'!F:F)</f>
        <v/>
      </c>
      <c r="S77" s="60">
        <f>-SUMIF('SST TB'!$T:$T,'SST P&amp;L'!$A77,'SST TB'!G:G)</f>
        <v/>
      </c>
      <c r="T77" s="60">
        <f>-SUMIF('SST TB'!$T:$T,'SST P&amp;L'!$A77,'SST TB'!H:H)</f>
        <v/>
      </c>
      <c r="U77" s="60">
        <f>-SUMIF('SST TB'!$T:$T,'SST P&amp;L'!$A77,'SST TB'!I:I)</f>
        <v/>
      </c>
      <c r="V77" s="60">
        <f>-SUMIF('SST TB'!$T:$T,'SST P&amp;L'!$A77,'SST TB'!J:J)</f>
        <v/>
      </c>
      <c r="W77" s="60">
        <f>-SUMIF('SST TB'!$T:$T,'SST P&amp;L'!$A77,'SST TB'!K:K)</f>
        <v/>
      </c>
      <c r="X77" s="60">
        <f>-SUMIF('SST TB'!$T:$T,'SST P&amp;L'!$A77,'SST TB'!L:L)</f>
        <v/>
      </c>
      <c r="Y77" s="60">
        <f>-SUMIF('SST TB'!$T:$T,'SST P&amp;L'!$A77,'SST TB'!M:M)</f>
        <v/>
      </c>
      <c r="Z77" s="60">
        <f>-SUMIF('SST TB'!$T:$T,'SST P&amp;L'!$A77,'SST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148" t="n">
        <v>0</v>
      </c>
      <c r="AJ77" s="148" t="n">
        <v>0</v>
      </c>
      <c r="AK77" s="148" t="n">
        <v>0</v>
      </c>
      <c r="AL77" s="148" t="n">
        <v>0</v>
      </c>
      <c r="AM77" s="148" t="n">
        <v>0</v>
      </c>
      <c r="AN77" s="148" t="n">
        <v>0</v>
      </c>
      <c r="AO77" s="149">
        <f>SUM(AC77:AH77)+SUM(AI77:AN77)</f>
        <v/>
      </c>
      <c r="AP77" s="145">
        <f>IF(AB77&lt;&gt;0,(AO77-AB77)/ABS(AB77),0)</f>
        <v/>
      </c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-SUMIF('SST TB'!$T:$T,'SST P&amp;L'!$A78,'SST TB'!C:C)</f>
        <v/>
      </c>
      <c r="P78" s="60">
        <f>-SUMIF('SST TB'!$T:$T,'SST P&amp;L'!$A78,'SST TB'!D:D)</f>
        <v/>
      </c>
      <c r="Q78" s="60">
        <f>-SUMIF('SST TB'!$T:$T,'SST P&amp;L'!$A78,'SST TB'!E:E)</f>
        <v/>
      </c>
      <c r="R78" s="60">
        <f>-SUMIF('SST TB'!$T:$T,'SST P&amp;L'!$A78,'SST TB'!F:F)</f>
        <v/>
      </c>
      <c r="S78" s="60">
        <f>-SUMIF('SST TB'!$T:$T,'SST P&amp;L'!$A78,'SST TB'!G:G)</f>
        <v/>
      </c>
      <c r="T78" s="60">
        <f>-SUMIF('SST TB'!$T:$T,'SST P&amp;L'!$A78,'SST TB'!H:H)</f>
        <v/>
      </c>
      <c r="U78" s="60">
        <f>-SUMIF('SST TB'!$T:$T,'SST P&amp;L'!$A78,'SST TB'!I:I)</f>
        <v/>
      </c>
      <c r="V78" s="60">
        <f>-SUMIF('SST TB'!$T:$T,'SST P&amp;L'!$A78,'SST TB'!J:J)</f>
        <v/>
      </c>
      <c r="W78" s="60">
        <f>-SUMIF('SST TB'!$T:$T,'SST P&amp;L'!$A78,'SST TB'!K:K)</f>
        <v/>
      </c>
      <c r="X78" s="60">
        <f>-SUMIF('SST TB'!$T:$T,'SST P&amp;L'!$A78,'SST TB'!L:L)</f>
        <v/>
      </c>
      <c r="Y78" s="60">
        <f>-SUMIF('SST TB'!$T:$T,'SST P&amp;L'!$A78,'SST TB'!M:M)</f>
        <v/>
      </c>
      <c r="Z78" s="60">
        <f>-SUMIF('SST TB'!$T:$T,'SST P&amp;L'!$A78,'SST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148" t="n">
        <v>0</v>
      </c>
      <c r="AJ78" s="148" t="n">
        <v>0</v>
      </c>
      <c r="AK78" s="148" t="n">
        <v>0</v>
      </c>
      <c r="AL78" s="148" t="n">
        <v>0</v>
      </c>
      <c r="AM78" s="148" t="n">
        <v>0</v>
      </c>
      <c r="AN78" s="148" t="n">
        <v>0</v>
      </c>
      <c r="AO78" s="149">
        <f>SUM(AC78:AH78)+SUM(AI78:AN78)</f>
        <v/>
      </c>
      <c r="AP78" s="145">
        <f>IF(AB78&lt;&gt;0,(AO78-AB78)/ABS(AB78),0)</f>
        <v/>
      </c>
    </row>
    <row r="79">
      <c r="A79" s="60" t="inlineStr">
        <is>
          <t>In-Direct - Overheads</t>
        </is>
      </c>
      <c r="B79" s="18" t="n">
        <v>-207.98</v>
      </c>
      <c r="C79" s="18" t="n">
        <v>-349.18</v>
      </c>
      <c r="D79" s="18" t="n">
        <v>-389.18</v>
      </c>
      <c r="E79" s="18" t="n">
        <v>-498.68</v>
      </c>
      <c r="F79" s="18" t="n">
        <v>-844.6799999999999</v>
      </c>
      <c r="G79" s="18" t="n">
        <v>-361.56</v>
      </c>
      <c r="H79" s="18" t="n">
        <v>-249.18</v>
      </c>
      <c r="I79" s="18" t="n">
        <v>-365.58</v>
      </c>
      <c r="J79" s="18" t="n">
        <v>-549.1800000000001</v>
      </c>
      <c r="K79" s="18" t="n">
        <v>-303.25</v>
      </c>
      <c r="L79" s="18" t="n">
        <v>-260.8</v>
      </c>
      <c r="M79" s="18" t="n">
        <v>-498.73</v>
      </c>
      <c r="N79" s="8" t="n"/>
      <c r="O79" s="60">
        <f>-SUMIF('SST TB'!$T:$T,'SST P&amp;L'!$A79,'SST TB'!C:C)</f>
        <v/>
      </c>
      <c r="P79" s="60">
        <f>-SUMIF('SST TB'!$T:$T,'SST P&amp;L'!$A79,'SST TB'!D:D)</f>
        <v/>
      </c>
      <c r="Q79" s="60">
        <f>-SUMIF('SST TB'!$T:$T,'SST P&amp;L'!$A79,'SST TB'!E:E)</f>
        <v/>
      </c>
      <c r="R79" s="60">
        <f>-SUMIF('SST TB'!$T:$T,'SST P&amp;L'!$A79,'SST TB'!F:F)</f>
        <v/>
      </c>
      <c r="S79" s="60">
        <f>-SUMIF('SST TB'!$T:$T,'SST P&amp;L'!$A79,'SST TB'!G:G)</f>
        <v/>
      </c>
      <c r="T79" s="60">
        <f>-SUMIF('SST TB'!$T:$T,'SST P&amp;L'!$A79,'SST TB'!H:H)</f>
        <v/>
      </c>
      <c r="U79" s="60">
        <f>-SUMIF('SST TB'!$T:$T,'SST P&amp;L'!$A79,'SST TB'!I:I)</f>
        <v/>
      </c>
      <c r="V79" s="60">
        <f>-SUMIF('SST TB'!$T:$T,'SST P&amp;L'!$A79,'SST TB'!J:J)</f>
        <v/>
      </c>
      <c r="W79" s="60">
        <f>-SUMIF('SST TB'!$T:$T,'SST P&amp;L'!$A79,'SST TB'!K:K)</f>
        <v/>
      </c>
      <c r="X79" s="60">
        <f>-SUMIF('SST TB'!$T:$T,'SST P&amp;L'!$A79,'SST TB'!L:L)</f>
        <v/>
      </c>
      <c r="Y79" s="60">
        <f>-SUMIF('SST TB'!$T:$T,'SST P&amp;L'!$A79,'SST TB'!M:M)</f>
        <v/>
      </c>
      <c r="Z79" s="60">
        <f>-SUMIF('SST TB'!$T:$T,'SST P&amp;L'!$A79,'SST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148" t="n">
        <v>0</v>
      </c>
      <c r="AJ79" s="148" t="n">
        <v>0</v>
      </c>
      <c r="AK79" s="148" t="n">
        <v>0</v>
      </c>
      <c r="AL79" s="148" t="n">
        <v>0</v>
      </c>
      <c r="AM79" s="148" t="n">
        <v>0</v>
      </c>
      <c r="AN79" s="148" t="n">
        <v>0</v>
      </c>
      <c r="AO79" s="149">
        <f>SUM(AC79:AH79)+SUM(AI79:AN79)</f>
        <v/>
      </c>
      <c r="AP79" s="145">
        <f>IF(AB79&lt;&gt;0,(AO79-AB79)/ABS(AB79),0)</f>
        <v/>
      </c>
    </row>
    <row r="80" ht="15.75" customHeight="1">
      <c r="A80" s="8" t="n"/>
      <c r="B80" s="67" t="n">
        <v>30756.46</v>
      </c>
      <c r="C80" s="67" t="n">
        <v>29623.23000000001</v>
      </c>
      <c r="D80" s="67" t="n">
        <v>36231.07999999999</v>
      </c>
      <c r="E80" s="67" t="n">
        <v>20319.63000000001</v>
      </c>
      <c r="F80" s="67" t="n">
        <v>29258.16</v>
      </c>
      <c r="G80" s="67" t="n">
        <v>26030.14999999999</v>
      </c>
      <c r="H80" s="67" t="n">
        <v>45442.41</v>
      </c>
      <c r="I80" s="67" t="n">
        <v>22510.72</v>
      </c>
      <c r="J80" s="67" t="n">
        <v>26882.89</v>
      </c>
      <c r="K80" s="67" t="n">
        <v>18862.26000000001</v>
      </c>
      <c r="L80" s="67" t="n">
        <v>29279.70999999999</v>
      </c>
      <c r="M80" s="67" t="n">
        <v>-5487.49</v>
      </c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134" t="n">
        <v>0</v>
      </c>
      <c r="AJ80" s="153" t="n">
        <v>0</v>
      </c>
      <c r="AK80" s="153" t="n">
        <v>0</v>
      </c>
      <c r="AL80" s="153" t="n">
        <v>0</v>
      </c>
      <c r="AM80" s="153" t="n">
        <v>0</v>
      </c>
      <c r="AN80" s="153" t="n">
        <v>0</v>
      </c>
      <c r="AO80" s="154">
        <f>SUM(AC80:AH80)+SUM(AI80:AN80)</f>
        <v/>
      </c>
      <c r="AP80" s="155">
        <f>IF(AB80&lt;&gt;0,(AO80-AB80)/ABS(AB80),0)</f>
        <v/>
      </c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0</v>
      </c>
      <c r="K81" s="18" t="n">
        <v>0</v>
      </c>
      <c r="L81" s="18" t="n">
        <v>0</v>
      </c>
      <c r="M81" s="18" t="n">
        <v>41812.06999999999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0</v>
      </c>
      <c r="G83" s="18" t="n">
        <v>0</v>
      </c>
      <c r="H83" s="18" t="n">
        <v>0</v>
      </c>
      <c r="I83" s="18" t="n">
        <v>0</v>
      </c>
      <c r="J83" s="18" t="n">
        <v>0</v>
      </c>
      <c r="K83" s="18" t="n">
        <v>0</v>
      </c>
      <c r="L83" s="18" t="n">
        <v>0</v>
      </c>
      <c r="M83" s="18" t="n">
        <v>-41812.06999999999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48" t="n">
        <v>0</v>
      </c>
      <c r="AJ83" s="148" t="n">
        <v>0</v>
      </c>
      <c r="AK83" s="148" t="n">
        <v>0</v>
      </c>
      <c r="AL83" s="148" t="n">
        <v>0</v>
      </c>
      <c r="AM83" s="148" t="n">
        <v>0</v>
      </c>
      <c r="AN83" s="148" t="n">
        <v>0</v>
      </c>
      <c r="AO83" s="149">
        <f>SUM(AC83:AH83)+SUM(AI83:AN83)</f>
        <v/>
      </c>
      <c r="AP83" s="145">
        <f>IF(AB83&lt;&gt;0,(AO83-AB83)/ABS(AB83),0)</f>
        <v/>
      </c>
    </row>
    <row r="84">
      <c r="A84" s="8" t="n"/>
      <c r="B84" s="18" t="n">
        <v>-30756.45999999999</v>
      </c>
      <c r="C84" s="18" t="n">
        <v>-29623.22999999999</v>
      </c>
      <c r="D84" s="18" t="n">
        <v>-36231.08</v>
      </c>
      <c r="E84" s="18" t="n">
        <v>-20319.62999999999</v>
      </c>
      <c r="F84" s="18" t="n">
        <v>-29258.16000000001</v>
      </c>
      <c r="G84" s="18" t="n">
        <v>-26030.14999999999</v>
      </c>
      <c r="H84" s="18" t="n">
        <v>-45442.41000000001</v>
      </c>
      <c r="I84" s="18" t="n">
        <v>-22510.72</v>
      </c>
      <c r="J84" s="18" t="n">
        <v>-26882.89</v>
      </c>
      <c r="K84" s="18" t="n">
        <v>-18862.26</v>
      </c>
      <c r="L84" s="18" t="n">
        <v>-29279.71</v>
      </c>
      <c r="M84" s="18" t="n">
        <v>-36324.57999999999</v>
      </c>
      <c r="N84" s="8" t="n"/>
      <c r="O84" s="60">
        <f>SUM('SST TB'!C2:C44)</f>
        <v/>
      </c>
      <c r="P84" s="60">
        <f>SUM('SST TB'!D2:D44)</f>
        <v/>
      </c>
      <c r="Q84" s="60">
        <f>SUM('SST TB'!E2:E44)</f>
        <v/>
      </c>
      <c r="R84" s="60">
        <f>SUM('SST TB'!F2:F44)</f>
        <v/>
      </c>
      <c r="S84" s="60">
        <f>SUM('SST TB'!G2:G44)</f>
        <v/>
      </c>
      <c r="T84" s="60">
        <f>SUM('SST TB'!H2:H44)</f>
        <v/>
      </c>
      <c r="U84" s="60">
        <f>SUM('SST TB'!I2:I44)</f>
        <v/>
      </c>
      <c r="V84" s="60">
        <f>SUM('SST TB'!J2:J44)</f>
        <v/>
      </c>
      <c r="W84" s="60">
        <f>SUM('SST TB'!K2:K44)</f>
        <v/>
      </c>
      <c r="X84" s="60">
        <f>SUM('SST TB'!L2:L44)</f>
        <v/>
      </c>
      <c r="Y84" s="60">
        <f>SUM('SST TB'!M2:M44)</f>
        <v/>
      </c>
      <c r="Z84" s="60">
        <f>SUM('SST TB'!N2:N44)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48" t="n">
        <v>0</v>
      </c>
      <c r="AJ84" s="148" t="n">
        <v>0</v>
      </c>
      <c r="AK84" s="148" t="n">
        <v>0</v>
      </c>
      <c r="AL84" s="148" t="n">
        <v>0</v>
      </c>
      <c r="AM84" s="148" t="n">
        <v>0</v>
      </c>
      <c r="AN84" s="148" t="n">
        <v>0</v>
      </c>
      <c r="AO84" s="149">
        <f>SUM(AC84:AH84)+SUM(AI84:AN84)</f>
        <v/>
      </c>
      <c r="AP84" s="145">
        <f>IF(AB84&lt;&gt;0,(AO84-AB84)/ABS(AB84),0)</f>
        <v/>
      </c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mergeCells count="1">
    <mergeCell ref="AI1:AQ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Woosehill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46878.47</v>
      </c>
      <c r="C8" s="35" t="n">
        <v>39504.51</v>
      </c>
      <c r="D8" s="35" t="n">
        <v>40145.68</v>
      </c>
      <c r="E8" s="35" t="n">
        <v>48708.67</v>
      </c>
      <c r="F8" s="35" t="n">
        <v>42205.54</v>
      </c>
      <c r="G8" s="35" t="n">
        <v>34613.52</v>
      </c>
      <c r="H8" s="35" t="n">
        <v>42245.26</v>
      </c>
      <c r="I8" s="35" t="n">
        <v>33672.63</v>
      </c>
      <c r="J8" s="35" t="n">
        <v>25033.76</v>
      </c>
      <c r="K8" s="35" t="n">
        <v>26253.02</v>
      </c>
      <c r="L8" s="35" t="n">
        <v>21180.81</v>
      </c>
      <c r="M8" s="35" t="n">
        <v>28282.41</v>
      </c>
      <c r="N8" s="36">
        <f>SUM(B8:M8)</f>
        <v/>
      </c>
      <c r="O8" s="37" t="n">
        <v>23976.63</v>
      </c>
      <c r="P8" s="37" t="n">
        <v>23696.56</v>
      </c>
      <c r="Q8" s="37" t="n">
        <v>25469.58</v>
      </c>
      <c r="R8" s="37" t="n">
        <v>30200.56</v>
      </c>
      <c r="S8" s="37" t="n">
        <v>31166.02</v>
      </c>
      <c r="T8" s="37" t="n">
        <v>30767.52</v>
      </c>
      <c r="U8" s="37" t="n">
        <v>35467.3</v>
      </c>
      <c r="V8" s="38" t="n">
        <v>32680.41</v>
      </c>
      <c r="W8" s="38" t="n">
        <v>23942</v>
      </c>
      <c r="X8" s="38" t="n">
        <v>24553</v>
      </c>
      <c r="Y8" s="38" t="n">
        <v>23399</v>
      </c>
      <c r="Z8" s="38" t="n">
        <v>30884</v>
      </c>
      <c r="AA8" s="36">
        <f>SUM(O8:U8)</f>
        <v/>
      </c>
      <c r="AB8" s="36">
        <f>SUM(O8:Z8)</f>
        <v/>
      </c>
      <c r="AC8" s="38" t="n">
        <v>41588.67</v>
      </c>
      <c r="AD8" s="38" t="n">
        <v>39304.87</v>
      </c>
      <c r="AE8" s="38" t="n">
        <v>45975.67</v>
      </c>
      <c r="AF8" s="38" t="n">
        <v>44447.98</v>
      </c>
      <c r="AG8" s="38" t="n">
        <v>44789.08</v>
      </c>
      <c r="AH8" s="38" t="n">
        <v>46211.46</v>
      </c>
      <c r="AI8" s="117" t="n">
        <v>46211.46</v>
      </c>
      <c r="AJ8" s="118" t="n">
        <v>46211.46</v>
      </c>
      <c r="AK8" s="118" t="n">
        <v>46211.46</v>
      </c>
      <c r="AL8" s="118" t="n">
        <v>46211.46</v>
      </c>
      <c r="AM8" s="119" t="n">
        <v>46211.46</v>
      </c>
      <c r="AN8" s="117" t="n">
        <v>46211.46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13609.7</v>
      </c>
      <c r="C9" s="35" t="n">
        <v>13565.2</v>
      </c>
      <c r="D9" s="35" t="n">
        <v>18208.75</v>
      </c>
      <c r="E9" s="35" t="n">
        <v>10311.05</v>
      </c>
      <c r="F9" s="35" t="n">
        <v>10311.05</v>
      </c>
      <c r="G9" s="35" t="n">
        <v>10311.05</v>
      </c>
      <c r="H9" s="35" t="n">
        <v>19083.82</v>
      </c>
      <c r="I9" s="35" t="n">
        <v>0</v>
      </c>
      <c r="J9" s="35" t="n">
        <v>11153.12</v>
      </c>
      <c r="K9" s="35" t="n">
        <v>11153.12</v>
      </c>
      <c r="L9" s="35" t="n">
        <v>14192.63</v>
      </c>
      <c r="M9" s="35" t="n">
        <v>14500.48</v>
      </c>
      <c r="N9" s="36">
        <f>SUM(B9:M9)</f>
        <v/>
      </c>
      <c r="O9" s="37" t="n">
        <v>14064.26</v>
      </c>
      <c r="P9" s="37" t="n">
        <v>14064.26</v>
      </c>
      <c r="Q9" s="37" t="n">
        <v>10942.29</v>
      </c>
      <c r="R9" s="37" t="n">
        <v>15118.85</v>
      </c>
      <c r="S9" s="37" t="n">
        <v>15118.85</v>
      </c>
      <c r="T9" s="37" t="n">
        <v>13296.96</v>
      </c>
      <c r="U9" s="37" t="n">
        <v>14511.56</v>
      </c>
      <c r="V9" s="38" t="n"/>
      <c r="W9" s="38" t="n">
        <v>15880</v>
      </c>
      <c r="X9" s="38" t="n">
        <v>14790</v>
      </c>
      <c r="Y9" s="38" t="n">
        <v>18944</v>
      </c>
      <c r="Z9" s="38" t="n">
        <v>13616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3087.1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-SUMIF('YBHN WH TB'!$R:$R,'WH P&amp;L'!$A10,'YBHN WH TB'!C:C)</f>
        <v/>
      </c>
      <c r="P10" s="37">
        <f>-SUMIF('YBHN WH TB'!$R:$R,'WH P&amp;L'!$A10,'YBHN WH TB'!D:D)</f>
        <v/>
      </c>
      <c r="Q10" s="37">
        <f>-SUMIF('YBHN WH TB'!$R:$R,'WH P&amp;L'!$A10,'YBHN WH TB'!E:E)</f>
        <v/>
      </c>
      <c r="R10" s="37">
        <f>-SUMIF('YBHN WH TB'!$R:$R,'WH P&amp;L'!$A10,'YBHN WH TB'!F:F)</f>
        <v/>
      </c>
      <c r="S10" s="37">
        <f>-SUMIF('YBHN WH TB'!$R:$R,'WH P&amp;L'!$A10,'YBHN WH TB'!G:G)</f>
        <v/>
      </c>
      <c r="T10" s="37">
        <f>-SUMIF('YBHN WH TB'!$R:$R,'WH P&amp;L'!$A10,'YBHN WH TB'!H:H)</f>
        <v/>
      </c>
      <c r="U10" s="37">
        <f>-SUMIF('YBHN WH TB'!$R:$R,'WH P&amp;L'!$A10,'YBHN WH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60488.17</v>
      </c>
      <c r="C11" s="42" t="n">
        <v>53069.71000000001</v>
      </c>
      <c r="D11" s="42" t="n">
        <v>58354.43</v>
      </c>
      <c r="E11" s="42" t="n">
        <v>59019.72</v>
      </c>
      <c r="F11" s="42" t="n">
        <v>52516.59</v>
      </c>
      <c r="G11" s="42" t="n">
        <v>44924.56999999999</v>
      </c>
      <c r="H11" s="42" t="n">
        <v>61329.08</v>
      </c>
      <c r="I11" s="42" t="n">
        <v>36759.73</v>
      </c>
      <c r="J11" s="42" t="n">
        <v>36186.88</v>
      </c>
      <c r="K11" s="42" t="n">
        <v>37406.14</v>
      </c>
      <c r="L11" s="42" t="n">
        <v>35373.44</v>
      </c>
      <c r="M11" s="42" t="n">
        <v>42782.89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20756.36</v>
      </c>
      <c r="C16" s="35" t="n">
        <v>19806.86</v>
      </c>
      <c r="D16" s="35" t="n">
        <v>20531.46</v>
      </c>
      <c r="E16" s="35" t="n">
        <v>19402.01</v>
      </c>
      <c r="F16" s="35" t="n">
        <v>22124.86</v>
      </c>
      <c r="G16" s="35" t="n">
        <v>22021.86</v>
      </c>
      <c r="H16" s="35" t="n">
        <v>24315.4</v>
      </c>
      <c r="I16" s="35" t="n">
        <v>24581.26</v>
      </c>
      <c r="J16" s="35" t="n">
        <v>23919.17</v>
      </c>
      <c r="K16" s="35" t="n">
        <v>23372.12</v>
      </c>
      <c r="L16" s="35" t="n">
        <v>23435.07</v>
      </c>
      <c r="M16" s="35" t="n">
        <v>23209.45</v>
      </c>
      <c r="N16" s="36">
        <f>SUM(B16:M16)</f>
        <v/>
      </c>
      <c r="O16" s="37" t="n">
        <v>24889.92</v>
      </c>
      <c r="P16" s="37" t="n">
        <v>22510.1</v>
      </c>
      <c r="Q16" s="37" t="n">
        <v>21677.19</v>
      </c>
      <c r="R16" s="37" t="n">
        <v>23069.23</v>
      </c>
      <c r="S16" s="37" t="n">
        <v>23667.51</v>
      </c>
      <c r="T16" s="37" t="n">
        <v>24501.65</v>
      </c>
      <c r="U16" s="37" t="n">
        <v>24044.23</v>
      </c>
      <c r="V16" s="38" t="n">
        <v>23746</v>
      </c>
      <c r="W16" s="38" t="n">
        <v>23746</v>
      </c>
      <c r="X16" s="38" t="n">
        <v>23746</v>
      </c>
      <c r="Y16" s="38" t="n">
        <v>23746</v>
      </c>
      <c r="Z16" s="38" t="n">
        <v>23746</v>
      </c>
      <c r="AA16" s="36">
        <f>SUM(O16:U16)</f>
        <v/>
      </c>
      <c r="AB16" s="36">
        <f>SUM(O16:Z16)</f>
        <v/>
      </c>
      <c r="AC16" s="38" t="n">
        <v>23746</v>
      </c>
      <c r="AD16" s="38" t="n">
        <v>23746</v>
      </c>
      <c r="AE16" s="38" t="n">
        <v>23746</v>
      </c>
      <c r="AF16" s="38" t="n">
        <v>23746</v>
      </c>
      <c r="AG16" s="38" t="n">
        <v>23746</v>
      </c>
      <c r="AH16" s="38" t="n">
        <v>23746</v>
      </c>
      <c r="AI16" s="117" t="n">
        <v>23746</v>
      </c>
      <c r="AJ16" s="118" t="n">
        <v>23746</v>
      </c>
      <c r="AK16" s="118" t="n">
        <v>23746</v>
      </c>
      <c r="AL16" s="118" t="n">
        <v>23746</v>
      </c>
      <c r="AM16" s="119" t="n">
        <v>23746</v>
      </c>
      <c r="AN16" s="117" t="n">
        <v>23746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1655.57</v>
      </c>
      <c r="C17" s="35" t="n">
        <v>1539.05</v>
      </c>
      <c r="D17" s="35" t="n">
        <v>1352.02</v>
      </c>
      <c r="E17" s="35" t="n">
        <v>2052.92</v>
      </c>
      <c r="F17" s="35" t="n">
        <v>2333.4</v>
      </c>
      <c r="G17" s="35" t="n">
        <v>2443.45</v>
      </c>
      <c r="H17" s="35" t="n">
        <v>2653.22</v>
      </c>
      <c r="I17" s="35" t="n">
        <v>2586.83</v>
      </c>
      <c r="J17" s="35" t="n">
        <v>2580.16</v>
      </c>
      <c r="K17" s="35" t="n">
        <v>2539.9</v>
      </c>
      <c r="L17" s="35" t="n">
        <v>2560.76</v>
      </c>
      <c r="M17" s="35" t="n">
        <v>2576.25</v>
      </c>
      <c r="N17" s="36">
        <f>SUM(B17:M17)</f>
        <v/>
      </c>
      <c r="O17" s="37" t="n">
        <v>2704.66</v>
      </c>
      <c r="P17" s="37" t="n">
        <v>2448.49</v>
      </c>
      <c r="Q17" s="37" t="n">
        <v>2421.63</v>
      </c>
      <c r="R17" s="37" t="n">
        <v>2617.02</v>
      </c>
      <c r="S17" s="37" t="n">
        <v>2786.79</v>
      </c>
      <c r="T17" s="37" t="n">
        <v>2757.06</v>
      </c>
      <c r="U17" s="37" t="n">
        <v>2718.53</v>
      </c>
      <c r="V17" s="38" t="n">
        <v>2720</v>
      </c>
      <c r="W17" s="38" t="n">
        <v>2720</v>
      </c>
      <c r="X17" s="38" t="n">
        <v>2720</v>
      </c>
      <c r="Y17" s="38" t="n">
        <v>2720</v>
      </c>
      <c r="Z17" s="38" t="n">
        <v>2720</v>
      </c>
      <c r="AA17" s="36">
        <f>SUM(O17:U17)</f>
        <v/>
      </c>
      <c r="AB17" s="36">
        <f>SUM(O17:Z17)</f>
        <v/>
      </c>
      <c r="AC17" s="38" t="n">
        <v>2720</v>
      </c>
      <c r="AD17" s="38" t="n">
        <v>2720</v>
      </c>
      <c r="AE17" s="38" t="n">
        <v>2720</v>
      </c>
      <c r="AF17" s="38" t="n">
        <v>2720</v>
      </c>
      <c r="AG17" s="38" t="n">
        <v>2720</v>
      </c>
      <c r="AH17" s="38" t="n">
        <v>2720</v>
      </c>
      <c r="AI17" s="117" t="n">
        <v>2720</v>
      </c>
      <c r="AJ17" s="118" t="n">
        <v>2720</v>
      </c>
      <c r="AK17" s="118" t="n">
        <v>2720</v>
      </c>
      <c r="AL17" s="118" t="n">
        <v>2720</v>
      </c>
      <c r="AM17" s="119" t="n">
        <v>2720</v>
      </c>
      <c r="AN17" s="117" t="n">
        <v>2720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417.15</v>
      </c>
      <c r="C18" s="35" t="n">
        <v>385.03</v>
      </c>
      <c r="D18" s="35" t="n">
        <v>349.16</v>
      </c>
      <c r="E18" s="35" t="n">
        <v>295.5</v>
      </c>
      <c r="F18" s="35" t="n">
        <v>316.81</v>
      </c>
      <c r="G18" s="35" t="n">
        <v>324.97</v>
      </c>
      <c r="H18" s="35" t="n">
        <v>296.65</v>
      </c>
      <c r="I18" s="35" t="n">
        <v>300.58</v>
      </c>
      <c r="J18" s="35" t="n">
        <v>267.24</v>
      </c>
      <c r="K18" s="35" t="n">
        <v>328.1</v>
      </c>
      <c r="L18" s="35" t="n">
        <v>388.4</v>
      </c>
      <c r="M18" s="35" t="n">
        <v>392.25</v>
      </c>
      <c r="N18" s="36">
        <f>SUM(B18:M18)</f>
        <v/>
      </c>
      <c r="O18" s="37" t="n">
        <v>411.41</v>
      </c>
      <c r="P18" s="37" t="n">
        <v>379.79</v>
      </c>
      <c r="Q18" s="37" t="n">
        <v>374.65</v>
      </c>
      <c r="R18" s="37" t="n">
        <v>408.21</v>
      </c>
      <c r="S18" s="37" t="n">
        <v>391.92</v>
      </c>
      <c r="T18" s="37" t="n">
        <v>393.36</v>
      </c>
      <c r="U18" s="37" t="n">
        <v>376.05</v>
      </c>
      <c r="V18" s="38" t="n">
        <v>398</v>
      </c>
      <c r="W18" s="38" t="n">
        <v>398</v>
      </c>
      <c r="X18" s="38" t="n">
        <v>398</v>
      </c>
      <c r="Y18" s="38" t="n">
        <v>398</v>
      </c>
      <c r="Z18" s="38" t="n">
        <v>398</v>
      </c>
      <c r="AA18" s="36">
        <f>SUM(O18:U18)</f>
        <v/>
      </c>
      <c r="AB18" s="36">
        <f>SUM(O18:Z18)</f>
        <v/>
      </c>
      <c r="AC18" s="38" t="n">
        <v>398</v>
      </c>
      <c r="AD18" s="38" t="n">
        <v>398</v>
      </c>
      <c r="AE18" s="38" t="n">
        <v>398</v>
      </c>
      <c r="AF18" s="38" t="n">
        <v>398</v>
      </c>
      <c r="AG18" s="38" t="n">
        <v>398</v>
      </c>
      <c r="AH18" s="38" t="n">
        <v>398</v>
      </c>
      <c r="AI18" s="117" t="n">
        <v>398</v>
      </c>
      <c r="AJ18" s="118" t="n">
        <v>398</v>
      </c>
      <c r="AK18" s="118" t="n">
        <v>398</v>
      </c>
      <c r="AL18" s="118" t="n">
        <v>398</v>
      </c>
      <c r="AM18" s="119" t="n">
        <v>398</v>
      </c>
      <c r="AN18" s="117" t="n">
        <v>398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102.56</v>
      </c>
      <c r="C19" s="35" t="n">
        <v>0</v>
      </c>
      <c r="D19" s="35" t="n">
        <v>132.9</v>
      </c>
      <c r="E19" s="35" t="n">
        <v>0</v>
      </c>
      <c r="F19" s="35" t="n">
        <v>0</v>
      </c>
      <c r="G19" s="35" t="n">
        <v>0</v>
      </c>
      <c r="H19" s="35" t="n">
        <v>365.88</v>
      </c>
      <c r="I19" s="35" t="n">
        <v>0</v>
      </c>
      <c r="J19" s="35" t="n">
        <v>10.99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210.3</v>
      </c>
      <c r="T19" s="37" t="n">
        <v>0</v>
      </c>
      <c r="U19" s="37" t="n">
        <v>183</v>
      </c>
      <c r="V19" s="38" t="n">
        <v>59</v>
      </c>
      <c r="W19" s="38" t="n">
        <v>59</v>
      </c>
      <c r="X19" s="38" t="n">
        <v>59</v>
      </c>
      <c r="Y19" s="38" t="n">
        <v>59</v>
      </c>
      <c r="Z19" s="38" t="n">
        <v>59</v>
      </c>
      <c r="AA19" s="36">
        <f>SUM(O19:U19)</f>
        <v/>
      </c>
      <c r="AB19" s="36">
        <f>SUM(O19:Z19)</f>
        <v/>
      </c>
      <c r="AC19" s="38" t="n">
        <v>59</v>
      </c>
      <c r="AD19" s="38" t="n">
        <v>59</v>
      </c>
      <c r="AE19" s="38" t="n">
        <v>59</v>
      </c>
      <c r="AF19" s="38" t="n">
        <v>59</v>
      </c>
      <c r="AG19" s="38" t="n">
        <v>59</v>
      </c>
      <c r="AH19" s="38" t="n">
        <v>59</v>
      </c>
      <c r="AI19" s="117" t="n">
        <v>59</v>
      </c>
      <c r="AJ19" s="118" t="n">
        <v>59</v>
      </c>
      <c r="AK19" s="118" t="n">
        <v>59</v>
      </c>
      <c r="AL19" s="118" t="n">
        <v>59</v>
      </c>
      <c r="AM19" s="119" t="n">
        <v>59</v>
      </c>
      <c r="AN19" s="117" t="n">
        <v>59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13.99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120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330.62</v>
      </c>
      <c r="M20" s="35" t="n">
        <v>0</v>
      </c>
      <c r="N20" s="36">
        <f>SUM(B20:M20)</f>
        <v/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26.25</v>
      </c>
      <c r="T20" s="37" t="n">
        <v>26.25</v>
      </c>
      <c r="U20" s="37" t="n">
        <v>26.25</v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117" t="n">
        <v>50</v>
      </c>
      <c r="AJ20" s="118" t="n">
        <v>50</v>
      </c>
      <c r="AK20" s="118" t="n">
        <v>50</v>
      </c>
      <c r="AL20" s="118" t="n">
        <v>50</v>
      </c>
      <c r="AM20" s="119" t="n">
        <v>50</v>
      </c>
      <c r="AN20" s="117" t="n">
        <v>50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156.89</v>
      </c>
      <c r="C21" s="35" t="n">
        <v>118.99</v>
      </c>
      <c r="D21" s="35" t="n">
        <v>0</v>
      </c>
      <c r="E21" s="35" t="n">
        <v>37.22</v>
      </c>
      <c r="F21" s="35" t="n">
        <v>40.65</v>
      </c>
      <c r="G21" s="35" t="n">
        <v>61.78</v>
      </c>
      <c r="H21" s="35" t="n">
        <v>45.84</v>
      </c>
      <c r="I21" s="35" t="n">
        <v>85.55</v>
      </c>
      <c r="J21" s="35" t="n">
        <v>36.86</v>
      </c>
      <c r="K21" s="35" t="n">
        <v>107.12</v>
      </c>
      <c r="L21" s="35" t="n">
        <v>53.8</v>
      </c>
      <c r="M21" s="35" t="n">
        <v>71.59999999999999</v>
      </c>
      <c r="N21" s="36">
        <f>SUM(B21:M21)</f>
        <v/>
      </c>
      <c r="O21" s="37" t="n">
        <v>49.95</v>
      </c>
      <c r="P21" s="37" t="n">
        <v>48.32</v>
      </c>
      <c r="Q21" s="37" t="n">
        <v>130.4</v>
      </c>
      <c r="R21" s="37" t="n">
        <v>92.13</v>
      </c>
      <c r="S21" s="37" t="n">
        <v>81.95</v>
      </c>
      <c r="T21" s="37" t="n">
        <v>84.83</v>
      </c>
      <c r="U21" s="37" t="n">
        <v>95.39</v>
      </c>
      <c r="V21" s="38" t="n">
        <v>120</v>
      </c>
      <c r="W21" s="38" t="n">
        <v>120</v>
      </c>
      <c r="X21" s="38" t="n">
        <v>120</v>
      </c>
      <c r="Y21" s="38" t="n">
        <v>120</v>
      </c>
      <c r="Z21" s="38" t="n">
        <v>120</v>
      </c>
      <c r="AA21" s="36">
        <f>SUM(O21:U21)</f>
        <v/>
      </c>
      <c r="AB21" s="36">
        <f>SUM(O21:Z21)</f>
        <v/>
      </c>
      <c r="AC21" s="38" t="n">
        <v>120</v>
      </c>
      <c r="AD21" s="38" t="n">
        <v>120</v>
      </c>
      <c r="AE21" s="38" t="n">
        <v>120</v>
      </c>
      <c r="AF21" s="38" t="n">
        <v>120</v>
      </c>
      <c r="AG21" s="38" t="n">
        <v>120</v>
      </c>
      <c r="AH21" s="38" t="n">
        <v>120</v>
      </c>
      <c r="AI21" s="117" t="n">
        <v>120</v>
      </c>
      <c r="AJ21" s="118" t="n">
        <v>120</v>
      </c>
      <c r="AK21" s="118" t="n">
        <v>120</v>
      </c>
      <c r="AL21" s="118" t="n">
        <v>120</v>
      </c>
      <c r="AM21" s="119" t="n">
        <v>120</v>
      </c>
      <c r="AN21" s="117" t="n">
        <v>120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SUMIF('YBHN WH TB'!$R:$R,'WH P&amp;L'!$A22,'YBHN WH TB'!C:C)</f>
        <v/>
      </c>
      <c r="P22" s="37">
        <f>SUMIF('YBHN WH TB'!$R:$R,'WH P&amp;L'!$A22,'YBHN WH TB'!D:D)</f>
        <v/>
      </c>
      <c r="Q22" s="37">
        <f>SUMIF('YBHN WH TB'!$R:$R,'WH P&amp;L'!$A22,'YBHN WH TB'!E:E)</f>
        <v/>
      </c>
      <c r="R22" s="37">
        <f>SUMIF('YBHN WH TB'!$R:$R,'WH P&amp;L'!$A22,'YBHN WH TB'!F:F)</f>
        <v/>
      </c>
      <c r="S22" s="37">
        <f>SUMIF('YBHN WH TB'!$R:$R,'WH P&amp;L'!$A22,'YBHN WH TB'!G:G)</f>
        <v/>
      </c>
      <c r="T22" s="37">
        <f>SUMIF('YBHN WH TB'!$R:$R,'WH P&amp;L'!$A22,'YBHN WH TB'!H:H)</f>
        <v/>
      </c>
      <c r="U22" s="37">
        <f>SUMIF('YBHN WH TB'!$R:$R,'WH P&amp;L'!$A22,'YBHN WH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SUMIF('YBHN WH TB'!$R:$R,'WH P&amp;L'!$A23,'YBHN WH TB'!C:C)</f>
        <v/>
      </c>
      <c r="P23" s="37">
        <f>SUMIF('YBHN WH TB'!$R:$R,'WH P&amp;L'!$A23,'YBHN WH TB'!D:D)</f>
        <v/>
      </c>
      <c r="Q23" s="37">
        <f>SUMIF('YBHN WH TB'!$R:$R,'WH P&amp;L'!$A23,'YBHN WH TB'!E:E)</f>
        <v/>
      </c>
      <c r="R23" s="37">
        <f>SUMIF('YBHN WH TB'!$R:$R,'WH P&amp;L'!$A23,'YBHN WH TB'!F:F)</f>
        <v/>
      </c>
      <c r="S23" s="37">
        <f>SUMIF('YBHN WH TB'!$R:$R,'WH P&amp;L'!$A23,'YBHN WH TB'!G:G)</f>
        <v/>
      </c>
      <c r="T23" s="37">
        <f>SUMIF('YBHN WH TB'!$R:$R,'WH P&amp;L'!$A23,'YBHN WH TB'!H:H)</f>
        <v/>
      </c>
      <c r="U23" s="37">
        <f>SUMIF('YBHN WH TB'!$R:$R,'WH P&amp;L'!$A23,'YBHN WH TB'!I:I)</f>
        <v/>
      </c>
      <c r="V23" s="38" t="n">
        <v>50</v>
      </c>
      <c r="W23" s="38" t="n">
        <v>50</v>
      </c>
      <c r="X23" s="38" t="n">
        <v>50</v>
      </c>
      <c r="Y23" s="38" t="n">
        <v>50</v>
      </c>
      <c r="Z23" s="38" t="n">
        <v>50</v>
      </c>
      <c r="AA23" s="36">
        <f>SUM(O23:U23)</f>
        <v/>
      </c>
      <c r="AB23" s="36">
        <f>SUM(O23:Z23)</f>
        <v/>
      </c>
      <c r="AC23" s="38" t="n">
        <v>50</v>
      </c>
      <c r="AD23" s="38" t="n">
        <v>50</v>
      </c>
      <c r="AE23" s="38" t="n">
        <v>50</v>
      </c>
      <c r="AF23" s="38" t="n">
        <v>50</v>
      </c>
      <c r="AG23" s="38" t="n">
        <v>50</v>
      </c>
      <c r="AH23" s="38" t="n">
        <v>50</v>
      </c>
      <c r="AI23" s="117" t="n">
        <v>50</v>
      </c>
      <c r="AJ23" s="118" t="n">
        <v>50</v>
      </c>
      <c r="AK23" s="118" t="n">
        <v>50</v>
      </c>
      <c r="AL23" s="118" t="n">
        <v>50</v>
      </c>
      <c r="AM23" s="119" t="n">
        <v>50</v>
      </c>
      <c r="AN23" s="117" t="n">
        <v>50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SUMIF('YBHN WH TB'!$R:$R,'WH P&amp;L'!$A24,'YBHN WH TB'!C:C)</f>
        <v/>
      </c>
      <c r="P24" s="37">
        <f>SUMIF('YBHN WH TB'!$R:$R,'WH P&amp;L'!$A24,'YBHN WH TB'!D:D)</f>
        <v/>
      </c>
      <c r="Q24" s="37">
        <f>SUMIF('YBHN WH TB'!$R:$R,'WH P&amp;L'!$A24,'YBHN WH TB'!E:E)</f>
        <v/>
      </c>
      <c r="R24" s="37">
        <f>SUMIF('YBHN WH TB'!$R:$R,'WH P&amp;L'!$A24,'YBHN WH TB'!F:F)</f>
        <v/>
      </c>
      <c r="S24" s="37">
        <f>SUMIF('YBHN WH TB'!$R:$R,'WH P&amp;L'!$A24,'YBHN WH TB'!G:G)</f>
        <v/>
      </c>
      <c r="T24" s="37">
        <f>SUMIF('YBHN WH TB'!$R:$R,'WH P&amp;L'!$A24,'YBHN WH TB'!H:H)</f>
        <v/>
      </c>
      <c r="U24" s="37">
        <f>SUMIF('YBHN WH TB'!$R:$R,'WH P&amp;L'!$A24,'YBHN WH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23102.52</v>
      </c>
      <c r="C25" s="42" t="n">
        <v>21849.93</v>
      </c>
      <c r="D25" s="42" t="n">
        <v>22365.54</v>
      </c>
      <c r="E25" s="42" t="n">
        <v>21787.65</v>
      </c>
      <c r="F25" s="42" t="n">
        <v>24815.72</v>
      </c>
      <c r="G25" s="42" t="n">
        <v>24972.06</v>
      </c>
      <c r="H25" s="42" t="n">
        <v>27676.99000000001</v>
      </c>
      <c r="I25" s="42" t="n">
        <v>27554.22</v>
      </c>
      <c r="J25" s="42" t="n">
        <v>26814.42</v>
      </c>
      <c r="K25" s="42" t="n">
        <v>26347.24</v>
      </c>
      <c r="L25" s="42" t="n">
        <v>26768.65</v>
      </c>
      <c r="M25" s="42" t="n">
        <v>26249.55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1049.2</v>
      </c>
      <c r="C27" s="35" t="n">
        <v>1062.81</v>
      </c>
      <c r="D27" s="35" t="n">
        <v>1232.3</v>
      </c>
      <c r="E27" s="35" t="n">
        <v>574.0400000000001</v>
      </c>
      <c r="F27" s="35" t="n">
        <v>921.63</v>
      </c>
      <c r="G27" s="35" t="n">
        <v>838.97</v>
      </c>
      <c r="H27" s="35" t="n">
        <v>794.59</v>
      </c>
      <c r="I27" s="35" t="n">
        <v>714.28</v>
      </c>
      <c r="J27" s="35" t="n">
        <v>588.1</v>
      </c>
      <c r="K27" s="35" t="n">
        <v>808.9399999999999</v>
      </c>
      <c r="L27" s="35" t="n">
        <v>585.75</v>
      </c>
      <c r="M27" s="35" t="n">
        <v>647.7600000000001</v>
      </c>
      <c r="N27" s="36">
        <f>SUM(B27:M27)</f>
        <v/>
      </c>
      <c r="O27" s="37" t="n">
        <v>906.8599999999999</v>
      </c>
      <c r="P27" s="37" t="n">
        <v>696.4000000000001</v>
      </c>
      <c r="Q27" s="37" t="n">
        <v>694.97</v>
      </c>
      <c r="R27" s="37" t="n">
        <v>855.39</v>
      </c>
      <c r="S27" s="37" t="n">
        <v>659.86</v>
      </c>
      <c r="T27" s="37" t="n">
        <v>698.38</v>
      </c>
      <c r="U27" s="37" t="n">
        <v>939.7800000000001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56.48</v>
      </c>
      <c r="C28" s="35" t="n">
        <v>2434.38</v>
      </c>
      <c r="D28" s="35" t="n">
        <v>198.96</v>
      </c>
      <c r="E28" s="35" t="n">
        <v>106.88</v>
      </c>
      <c r="F28" s="35" t="n">
        <v>171.09</v>
      </c>
      <c r="G28" s="35" t="n">
        <v>0</v>
      </c>
      <c r="H28" s="35" t="n">
        <v>0</v>
      </c>
      <c r="I28" s="35" t="n">
        <v>145.55</v>
      </c>
      <c r="J28" s="35" t="n">
        <v>0</v>
      </c>
      <c r="K28" s="35" t="n">
        <v>14.99</v>
      </c>
      <c r="L28" s="35" t="n">
        <v>30</v>
      </c>
      <c r="M28" s="35" t="n">
        <v>0</v>
      </c>
      <c r="N28" s="36">
        <f>SUM(B28:M28)</f>
        <v/>
      </c>
      <c r="O28" s="37" t="n">
        <v>89.94</v>
      </c>
      <c r="P28" s="37" t="n">
        <v>132.89</v>
      </c>
      <c r="Q28" s="37" t="n">
        <v>77.36</v>
      </c>
      <c r="R28" s="37" t="n">
        <v>20.99</v>
      </c>
      <c r="S28" s="37" t="n">
        <v>0</v>
      </c>
      <c r="T28" s="37" t="n">
        <v>48.62</v>
      </c>
      <c r="U28" s="37" t="n">
        <v>15.42</v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7" t="n">
        <v>50</v>
      </c>
      <c r="AJ28" s="118" t="n">
        <v>50</v>
      </c>
      <c r="AK28" s="118" t="n">
        <v>50</v>
      </c>
      <c r="AL28" s="118" t="n">
        <v>50</v>
      </c>
      <c r="AM28" s="119" t="n">
        <v>50</v>
      </c>
      <c r="AN28" s="117" t="n">
        <v>50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187.9</v>
      </c>
      <c r="C29" s="35" t="n">
        <v>351.06</v>
      </c>
      <c r="D29" s="35" t="n">
        <v>170.57</v>
      </c>
      <c r="E29" s="35" t="n">
        <v>47.49</v>
      </c>
      <c r="F29" s="35" t="n">
        <v>128.06</v>
      </c>
      <c r="G29" s="35" t="n">
        <v>77.17999999999999</v>
      </c>
      <c r="H29" s="35" t="n">
        <v>48.36</v>
      </c>
      <c r="I29" s="35" t="n">
        <v>110.18</v>
      </c>
      <c r="J29" s="35" t="n">
        <v>80.65000000000001</v>
      </c>
      <c r="K29" s="35" t="n">
        <v>33.87</v>
      </c>
      <c r="L29" s="35" t="n">
        <v>144.55</v>
      </c>
      <c r="M29" s="35" t="n">
        <v>7.78</v>
      </c>
      <c r="N29" s="36">
        <f>SUM(B29:M29)</f>
        <v/>
      </c>
      <c r="O29" s="37" t="n">
        <v>194.94</v>
      </c>
      <c r="P29" s="37" t="n">
        <v>32.95</v>
      </c>
      <c r="Q29" s="37" t="n">
        <v>99.97</v>
      </c>
      <c r="R29" s="37" t="n">
        <v>73.15000000000001</v>
      </c>
      <c r="S29" s="37" t="n">
        <v>9.98</v>
      </c>
      <c r="T29" s="37" t="n">
        <v>211.57</v>
      </c>
      <c r="U29" s="37" t="n">
        <v>115.11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SUMIF('YBHN WH TB'!$R:$R,'WH P&amp;L'!$A30,'YBHN WH TB'!C:C)</f>
        <v/>
      </c>
      <c r="P30" s="37">
        <f>SUMIF('YBHN WH TB'!$R:$R,'WH P&amp;L'!$A30,'YBHN WH TB'!D:D)</f>
        <v/>
      </c>
      <c r="Q30" s="37">
        <f>SUMIF('YBHN WH TB'!$R:$R,'WH P&amp;L'!$A30,'YBHN WH TB'!E:E)</f>
        <v/>
      </c>
      <c r="R30" s="37">
        <f>SUMIF('YBHN WH TB'!$R:$R,'WH P&amp;L'!$A30,'YBHN WH TB'!F:F)</f>
        <v/>
      </c>
      <c r="S30" s="37">
        <f>SUMIF('YBHN WH TB'!$R:$R,'WH P&amp;L'!$A30,'YBHN WH TB'!G:G)</f>
        <v/>
      </c>
      <c r="T30" s="37">
        <f>SUMIF('YBHN WH TB'!$R:$R,'WH P&amp;L'!$A30,'YBHN WH TB'!H:H)</f>
        <v/>
      </c>
      <c r="U30" s="37">
        <f>SUMIF('YBHN WH TB'!$R:$R,'WH P&amp;L'!$A30,'YBHN WH TB'!I:I)</f>
        <v/>
      </c>
      <c r="V30" s="38" t="n">
        <v>0</v>
      </c>
      <c r="W30" s="38" t="n">
        <v>0</v>
      </c>
      <c r="X30" s="38" t="n">
        <v>0</v>
      </c>
      <c r="Y30" s="38" t="n">
        <v>0</v>
      </c>
      <c r="Z30" s="38" t="n">
        <v>0</v>
      </c>
      <c r="AA30" s="36">
        <f>SUM(O30:U30)</f>
        <v/>
      </c>
      <c r="AB30" s="36">
        <f>SUM(O30:Z30)</f>
        <v/>
      </c>
      <c r="AC30" s="38" t="n">
        <v>0</v>
      </c>
      <c r="AD30" s="38" t="n">
        <v>0</v>
      </c>
      <c r="AE30" s="38" t="n">
        <v>0</v>
      </c>
      <c r="AF30" s="38" t="n">
        <v>0</v>
      </c>
      <c r="AG30" s="38" t="n">
        <v>0</v>
      </c>
      <c r="AH30" s="38" t="n">
        <v>0</v>
      </c>
      <c r="AI30" s="117" t="n">
        <v>0</v>
      </c>
      <c r="AJ30" s="118" t="n">
        <v>0</v>
      </c>
      <c r="AK30" s="118" t="n">
        <v>0</v>
      </c>
      <c r="AL30" s="118" t="n">
        <v>0</v>
      </c>
      <c r="AM30" s="119" t="n">
        <v>0</v>
      </c>
      <c r="AN30" s="117" t="n">
        <v>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80.35000000000001</v>
      </c>
      <c r="C31" s="35" t="n">
        <v>250.49</v>
      </c>
      <c r="D31" s="35" t="n">
        <v>70.2</v>
      </c>
      <c r="E31" s="35" t="n">
        <v>35.98</v>
      </c>
      <c r="F31" s="35" t="n">
        <v>0</v>
      </c>
      <c r="G31" s="35" t="n">
        <v>0</v>
      </c>
      <c r="H31" s="35" t="n">
        <v>88.72</v>
      </c>
      <c r="I31" s="35" t="n">
        <v>126.39</v>
      </c>
      <c r="J31" s="35" t="n">
        <v>514.62</v>
      </c>
      <c r="K31" s="35" t="n">
        <v>0</v>
      </c>
      <c r="L31" s="35" t="n">
        <v>46.66999999999999</v>
      </c>
      <c r="M31" s="35" t="n">
        <v>44.19</v>
      </c>
      <c r="N31" s="36">
        <f>SUM(B31:M31)</f>
        <v/>
      </c>
      <c r="O31" s="37" t="n">
        <v>122.4</v>
      </c>
      <c r="P31" s="37" t="n">
        <v>0</v>
      </c>
      <c r="Q31" s="37" t="n">
        <v>57.8</v>
      </c>
      <c r="R31" s="37" t="n">
        <v>32.62</v>
      </c>
      <c r="S31" s="37" t="n">
        <v>27.14</v>
      </c>
      <c r="T31" s="37" t="n">
        <v>28.94</v>
      </c>
      <c r="U31" s="37" t="n">
        <v>28.29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7" t="n">
        <v>50</v>
      </c>
      <c r="AJ31" s="118" t="n">
        <v>50</v>
      </c>
      <c r="AK31" s="118" t="n">
        <v>50</v>
      </c>
      <c r="AL31" s="118" t="n">
        <v>50</v>
      </c>
      <c r="AM31" s="119" t="n">
        <v>50</v>
      </c>
      <c r="AN31" s="117" t="n">
        <v>50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124.1</v>
      </c>
      <c r="C32" s="35" t="n">
        <v>44.78</v>
      </c>
      <c r="D32" s="35" t="n">
        <v>0</v>
      </c>
      <c r="E32" s="35" t="n">
        <v>99.52</v>
      </c>
      <c r="F32" s="35" t="n">
        <v>139.21</v>
      </c>
      <c r="G32" s="35" t="n">
        <v>57.26</v>
      </c>
      <c r="H32" s="35" t="n">
        <v>193.75</v>
      </c>
      <c r="I32" s="35" t="n">
        <v>133.31</v>
      </c>
      <c r="J32" s="35" t="n">
        <v>99.92999999999999</v>
      </c>
      <c r="K32" s="35" t="n">
        <v>94.45</v>
      </c>
      <c r="L32" s="35" t="n">
        <v>185.97</v>
      </c>
      <c r="M32" s="35" t="n">
        <v>214.41</v>
      </c>
      <c r="N32" s="36">
        <f>SUM(B32:M32)</f>
        <v/>
      </c>
      <c r="O32" s="37" t="n">
        <v>145.71</v>
      </c>
      <c r="P32" s="37" t="n">
        <v>147.53</v>
      </c>
      <c r="Q32" s="37" t="n">
        <v>158.74</v>
      </c>
      <c r="R32" s="37" t="n">
        <v>182.53</v>
      </c>
      <c r="S32" s="37" t="n">
        <v>355.95</v>
      </c>
      <c r="T32" s="37" t="n">
        <v>192.73</v>
      </c>
      <c r="U32" s="37" t="n">
        <v>329.9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SUMIF('YBHN WH TB'!$R:$R,'WH P&amp;L'!$A33,'YBHN WH TB'!C:C)</f>
        <v/>
      </c>
      <c r="P33" s="37">
        <f>SUMIF('YBHN WH TB'!$R:$R,'WH P&amp;L'!$A33,'YBHN WH TB'!D:D)</f>
        <v/>
      </c>
      <c r="Q33" s="37">
        <f>SUMIF('YBHN WH TB'!$R:$R,'WH P&amp;L'!$A33,'YBHN WH TB'!E:E)</f>
        <v/>
      </c>
      <c r="R33" s="37">
        <f>SUMIF('YBHN WH TB'!$R:$R,'WH P&amp;L'!$A33,'YBHN WH TB'!F:F)</f>
        <v/>
      </c>
      <c r="S33" s="37">
        <f>SUMIF('YBHN WH TB'!$R:$R,'WH P&amp;L'!$A33,'YBHN WH TB'!G:G)</f>
        <v/>
      </c>
      <c r="T33" s="37">
        <f>SUMIF('YBHN WH TB'!$R:$R,'WH P&amp;L'!$A33,'YBHN WH TB'!H:H)</f>
        <v/>
      </c>
      <c r="U33" s="37">
        <f>SUMIF('YBHN WH TB'!$R:$R,'WH P&amp;L'!$A33,'YBHN WH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1498.03</v>
      </c>
      <c r="C34" s="42" t="n">
        <v>4143.52</v>
      </c>
      <c r="D34" s="42" t="n">
        <v>1672.03</v>
      </c>
      <c r="E34" s="42" t="n">
        <v>863.9100000000001</v>
      </c>
      <c r="F34" s="42" t="n">
        <v>1359.99</v>
      </c>
      <c r="G34" s="42" t="n">
        <v>973.41</v>
      </c>
      <c r="H34" s="42" t="n">
        <v>1125.42</v>
      </c>
      <c r="I34" s="42" t="n">
        <v>1229.71</v>
      </c>
      <c r="J34" s="42" t="n">
        <v>1283.3</v>
      </c>
      <c r="K34" s="42" t="n">
        <v>952.25</v>
      </c>
      <c r="L34" s="42" t="n">
        <v>992.9399999999999</v>
      </c>
      <c r="M34" s="42" t="n">
        <v>914.14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458.33</v>
      </c>
      <c r="C36" s="35" t="n">
        <v>458.33</v>
      </c>
      <c r="D36" s="35" t="n">
        <v>458.33</v>
      </c>
      <c r="E36" s="35" t="n">
        <v>458.33</v>
      </c>
      <c r="F36" s="35" t="n">
        <v>458.33</v>
      </c>
      <c r="G36" s="35" t="n">
        <v>458.33</v>
      </c>
      <c r="H36" s="35" t="n">
        <v>458.34</v>
      </c>
      <c r="I36" s="35" t="n">
        <v>458.33</v>
      </c>
      <c r="J36" s="35" t="n">
        <v>458.33</v>
      </c>
      <c r="K36" s="35" t="n">
        <v>458.33</v>
      </c>
      <c r="L36" s="35" t="n">
        <v>458.33</v>
      </c>
      <c r="M36" s="35" t="n">
        <v>458.34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1912.83</v>
      </c>
      <c r="C37" s="35" t="n">
        <v>1912.83</v>
      </c>
      <c r="D37" s="35" t="n">
        <v>1912.83</v>
      </c>
      <c r="E37" s="35" t="n">
        <v>1912.83</v>
      </c>
      <c r="F37" s="35" t="n">
        <v>1912.82</v>
      </c>
      <c r="G37" s="35" t="n">
        <v>1912.83</v>
      </c>
      <c r="H37" s="35" t="n">
        <v>1912.83</v>
      </c>
      <c r="I37" s="35" t="n">
        <v>1912.83</v>
      </c>
      <c r="J37" s="35" t="n">
        <v>1912.83</v>
      </c>
      <c r="K37" s="35" t="n">
        <v>1912.83</v>
      </c>
      <c r="L37" s="35" t="n">
        <v>1912.83</v>
      </c>
      <c r="M37" s="35" t="n">
        <v>1912.83</v>
      </c>
      <c r="N37" s="36">
        <f>SUM(B37:M37)</f>
        <v/>
      </c>
      <c r="O37" s="37" t="n">
        <v>1912.85</v>
      </c>
      <c r="P37" s="37" t="n">
        <v>1912.84</v>
      </c>
      <c r="Q37" s="37" t="n">
        <v>1912.84</v>
      </c>
      <c r="R37" s="37" t="n">
        <v>2199.76</v>
      </c>
      <c r="S37" s="37" t="n">
        <v>2199.76</v>
      </c>
      <c r="T37" s="37" t="n">
        <v>2199.76</v>
      </c>
      <c r="U37" s="37" t="n">
        <v>2199.75</v>
      </c>
      <c r="V37" s="38" t="n">
        <v>2199.758333333333</v>
      </c>
      <c r="W37" s="38" t="n">
        <v>2199.758333333333</v>
      </c>
      <c r="X37" s="38" t="n">
        <v>2199.758333333333</v>
      </c>
      <c r="Y37" s="38" t="n">
        <v>2199.758333333333</v>
      </c>
      <c r="Z37" s="38" t="n">
        <v>2199.758333333333</v>
      </c>
      <c r="AA37" s="36">
        <f>SUM(O37:U37)</f>
        <v/>
      </c>
      <c r="AB37" s="36">
        <f>SUM(O37:Z37)</f>
        <v/>
      </c>
      <c r="AC37" s="38" t="n">
        <v>2199.758333333333</v>
      </c>
      <c r="AD37" s="38" t="n">
        <v>2199.758333333333</v>
      </c>
      <c r="AE37" s="38" t="n">
        <v>2199.758333333333</v>
      </c>
      <c r="AF37" s="38" t="n">
        <v>2199.758333333333</v>
      </c>
      <c r="AG37" s="38" t="n">
        <v>2199.758333333333</v>
      </c>
      <c r="AH37" s="38" t="n">
        <v>2199.758333333333</v>
      </c>
      <c r="AI37" s="117" t="n">
        <v>2199.758333333333</v>
      </c>
      <c r="AJ37" s="118" t="n">
        <v>2199.758333333333</v>
      </c>
      <c r="AK37" s="118" t="n">
        <v>2199.758333333333</v>
      </c>
      <c r="AL37" s="118" t="n">
        <v>2199.758333333333</v>
      </c>
      <c r="AM37" s="119" t="n">
        <v>2199.758333333333</v>
      </c>
      <c r="AN37" s="117" t="n">
        <v>2199.758333333333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2331.47</v>
      </c>
      <c r="C38" s="35" t="n">
        <v>1807.76</v>
      </c>
      <c r="D38" s="35" t="n">
        <v>1837.04</v>
      </c>
      <c r="E38" s="35" t="n">
        <v>5561.08</v>
      </c>
      <c r="F38" s="35" t="n">
        <v>2515.04</v>
      </c>
      <c r="G38" s="35" t="n">
        <v>809.6</v>
      </c>
      <c r="H38" s="35" t="n">
        <v>-627.6799999999998</v>
      </c>
      <c r="I38" s="35" t="n">
        <v>1420.78</v>
      </c>
      <c r="J38" s="35" t="n">
        <v>-916.72</v>
      </c>
      <c r="K38" s="35" t="n">
        <v>793.16</v>
      </c>
      <c r="L38" s="35" t="n">
        <v>1189.91</v>
      </c>
      <c r="M38" s="35" t="n">
        <v>1813.66</v>
      </c>
      <c r="N38" s="36">
        <f>SUM(B38:M38)</f>
        <v/>
      </c>
      <c r="O38" s="37" t="n">
        <v>2595.94</v>
      </c>
      <c r="P38" s="37" t="n">
        <v>2644.67</v>
      </c>
      <c r="Q38" s="37" t="n">
        <v>2314.76</v>
      </c>
      <c r="R38" s="37" t="n">
        <v>2077.75</v>
      </c>
      <c r="S38" s="37" t="n">
        <v>1585.76</v>
      </c>
      <c r="T38" s="37" t="n">
        <v>942.4300000000001</v>
      </c>
      <c r="U38" s="37" t="n">
        <v>874.91</v>
      </c>
      <c r="V38" s="38" t="n">
        <v>1655</v>
      </c>
      <c r="W38" s="38" t="n">
        <v>1655</v>
      </c>
      <c r="X38" s="38" t="n">
        <v>1655</v>
      </c>
      <c r="Y38" s="38" t="n">
        <v>1655</v>
      </c>
      <c r="Z38" s="38" t="n">
        <v>1655</v>
      </c>
      <c r="AA38" s="36">
        <f>SUM(O38:U38)</f>
        <v/>
      </c>
      <c r="AB38" s="36">
        <f>SUM(O38:Z38)</f>
        <v/>
      </c>
      <c r="AC38" s="38" t="n">
        <v>1655</v>
      </c>
      <c r="AD38" s="38" t="n">
        <v>1655</v>
      </c>
      <c r="AE38" s="38" t="n">
        <v>1655</v>
      </c>
      <c r="AF38" s="38" t="n">
        <v>1655</v>
      </c>
      <c r="AG38" s="38" t="n">
        <v>1655</v>
      </c>
      <c r="AH38" s="38" t="n">
        <v>1655</v>
      </c>
      <c r="AI38" s="117" t="n">
        <v>1655</v>
      </c>
      <c r="AJ38" s="118" t="n">
        <v>1655</v>
      </c>
      <c r="AK38" s="118" t="n">
        <v>1655</v>
      </c>
      <c r="AL38" s="118" t="n">
        <v>1655</v>
      </c>
      <c r="AM38" s="119" t="n">
        <v>1655</v>
      </c>
      <c r="AN38" s="117" t="n">
        <v>1655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469.71</v>
      </c>
      <c r="C39" s="35" t="n">
        <v>670.26</v>
      </c>
      <c r="D39" s="35" t="n">
        <v>951.96</v>
      </c>
      <c r="E39" s="35" t="n">
        <v>162</v>
      </c>
      <c r="F39" s="35" t="n">
        <v>0</v>
      </c>
      <c r="G39" s="35" t="n">
        <v>0</v>
      </c>
      <c r="H39" s="35" t="n">
        <v>28.16</v>
      </c>
      <c r="I39" s="35" t="n">
        <v>0</v>
      </c>
      <c r="J39" s="35" t="n">
        <v>11.4</v>
      </c>
      <c r="K39" s="35" t="n">
        <v>0</v>
      </c>
      <c r="L39" s="35" t="n">
        <v>0</v>
      </c>
      <c r="M39" s="35" t="n">
        <v>125.66</v>
      </c>
      <c r="N39" s="36">
        <f>SUM(B39:M39)</f>
        <v/>
      </c>
      <c r="O39" s="37" t="n">
        <v>55.1</v>
      </c>
      <c r="P39" s="37" t="n">
        <v>109.27</v>
      </c>
      <c r="Q39" s="37" t="n">
        <v>0</v>
      </c>
      <c r="R39" s="37" t="n">
        <v>0</v>
      </c>
      <c r="S39" s="37" t="n">
        <v>0</v>
      </c>
      <c r="T39" s="37" t="n">
        <v>7.77</v>
      </c>
      <c r="U39" s="37" t="n">
        <v>369.46</v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224.18</v>
      </c>
      <c r="C40" s="35" t="n">
        <v>146.78</v>
      </c>
      <c r="D40" s="35" t="n">
        <v>513.5799999999999</v>
      </c>
      <c r="E40" s="35" t="n">
        <v>443.7099999999999</v>
      </c>
      <c r="F40" s="35" t="n">
        <v>466.8200000000001</v>
      </c>
      <c r="G40" s="35" t="n">
        <v>228.26</v>
      </c>
      <c r="H40" s="35" t="n">
        <v>233.02</v>
      </c>
      <c r="I40" s="35" t="n">
        <v>200.11</v>
      </c>
      <c r="J40" s="35" t="n">
        <v>110.69</v>
      </c>
      <c r="K40" s="35" t="n">
        <v>311.4399999999999</v>
      </c>
      <c r="L40" s="35" t="n">
        <v>302.55</v>
      </c>
      <c r="M40" s="35" t="n">
        <v>77.78</v>
      </c>
      <c r="N40" s="36">
        <f>SUM(B40:M40)</f>
        <v/>
      </c>
      <c r="O40" s="37" t="n">
        <v>312.05</v>
      </c>
      <c r="P40" s="37" t="n">
        <v>159.81</v>
      </c>
      <c r="Q40" s="37" t="n">
        <v>90.3</v>
      </c>
      <c r="R40" s="37" t="n">
        <v>184.06</v>
      </c>
      <c r="S40" s="37" t="n">
        <v>182.25</v>
      </c>
      <c r="T40" s="37" t="n">
        <v>181</v>
      </c>
      <c r="U40" s="37" t="n">
        <v>479.6300000000001</v>
      </c>
      <c r="V40" s="38" t="n">
        <v>287</v>
      </c>
      <c r="W40" s="38" t="n">
        <v>287</v>
      </c>
      <c r="X40" s="38" t="n">
        <v>287</v>
      </c>
      <c r="Y40" s="38" t="n">
        <v>287</v>
      </c>
      <c r="Z40" s="38" t="n">
        <v>287</v>
      </c>
      <c r="AA40" s="36">
        <f>SUM(O40:U40)</f>
        <v/>
      </c>
      <c r="AB40" s="36">
        <f>SUM(O40:Z40)</f>
        <v/>
      </c>
      <c r="AC40" s="38" t="n">
        <v>287</v>
      </c>
      <c r="AD40" s="38" t="n">
        <v>287</v>
      </c>
      <c r="AE40" s="38" t="n">
        <v>287</v>
      </c>
      <c r="AF40" s="38" t="n">
        <v>287</v>
      </c>
      <c r="AG40" s="38" t="n">
        <v>287</v>
      </c>
      <c r="AH40" s="38" t="n">
        <v>287</v>
      </c>
      <c r="AI40" s="117" t="n">
        <v>287</v>
      </c>
      <c r="AJ40" s="118" t="n">
        <v>287</v>
      </c>
      <c r="AK40" s="118" t="n">
        <v>287</v>
      </c>
      <c r="AL40" s="118" t="n">
        <v>287</v>
      </c>
      <c r="AM40" s="119" t="n">
        <v>287</v>
      </c>
      <c r="AN40" s="117" t="n">
        <v>287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305.84</v>
      </c>
      <c r="C41" s="35" t="n">
        <v>267.48</v>
      </c>
      <c r="D41" s="35" t="n">
        <v>329.28</v>
      </c>
      <c r="E41" s="35" t="n">
        <v>272.3</v>
      </c>
      <c r="F41" s="35" t="n">
        <v>269.13</v>
      </c>
      <c r="G41" s="35" t="n">
        <v>322.55</v>
      </c>
      <c r="H41" s="35" t="n">
        <v>346.55</v>
      </c>
      <c r="I41" s="35" t="n">
        <v>440.11</v>
      </c>
      <c r="J41" s="35" t="n">
        <v>295.53</v>
      </c>
      <c r="K41" s="35" t="n">
        <v>269.13</v>
      </c>
      <c r="L41" s="35" t="n">
        <v>301.56</v>
      </c>
      <c r="M41" s="35" t="n">
        <v>342</v>
      </c>
      <c r="N41" s="36">
        <f>SUM(B41:M41)</f>
        <v/>
      </c>
      <c r="O41" s="37" t="n">
        <v>288.59</v>
      </c>
      <c r="P41" s="37" t="n">
        <v>288.59</v>
      </c>
      <c r="Q41" s="37" t="n">
        <v>299.99</v>
      </c>
      <c r="R41" s="37" t="n">
        <v>342.61</v>
      </c>
      <c r="S41" s="37" t="n">
        <v>509.74</v>
      </c>
      <c r="T41" s="37" t="n">
        <v>529.5</v>
      </c>
      <c r="U41" s="37" t="n">
        <v>567.21</v>
      </c>
      <c r="V41" s="38" t="n">
        <v>313</v>
      </c>
      <c r="W41" s="38" t="n">
        <v>313</v>
      </c>
      <c r="X41" s="38" t="n">
        <v>313</v>
      </c>
      <c r="Y41" s="38" t="n">
        <v>313</v>
      </c>
      <c r="Z41" s="38" t="n">
        <v>313</v>
      </c>
      <c r="AA41" s="36">
        <f>SUM(O41:U41)</f>
        <v/>
      </c>
      <c r="AB41" s="36">
        <f>SUM(O41:Z41)</f>
        <v/>
      </c>
      <c r="AC41" s="38" t="n">
        <v>313</v>
      </c>
      <c r="AD41" s="38" t="n">
        <v>313</v>
      </c>
      <c r="AE41" s="38" t="n">
        <v>313</v>
      </c>
      <c r="AF41" s="38" t="n">
        <v>313</v>
      </c>
      <c r="AG41" s="38" t="n">
        <v>313</v>
      </c>
      <c r="AH41" s="38" t="n">
        <v>313</v>
      </c>
      <c r="AI41" s="117" t="n">
        <v>313</v>
      </c>
      <c r="AJ41" s="118" t="n">
        <v>313</v>
      </c>
      <c r="AK41" s="118" t="n">
        <v>313</v>
      </c>
      <c r="AL41" s="118" t="n">
        <v>313</v>
      </c>
      <c r="AM41" s="119" t="n">
        <v>313</v>
      </c>
      <c r="AN41" s="117" t="n">
        <v>313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52.2</v>
      </c>
      <c r="C42" s="35" t="n">
        <v>53.91</v>
      </c>
      <c r="D42" s="35" t="n">
        <v>34.9</v>
      </c>
      <c r="E42" s="35" t="n">
        <v>57.92</v>
      </c>
      <c r="F42" s="35" t="n">
        <v>15.71</v>
      </c>
      <c r="G42" s="35" t="n">
        <v>40.2</v>
      </c>
      <c r="H42" s="35" t="n">
        <v>21.38</v>
      </c>
      <c r="I42" s="35" t="n">
        <v>95.39999999999999</v>
      </c>
      <c r="J42" s="35" t="n">
        <v>21.18</v>
      </c>
      <c r="K42" s="35" t="n">
        <v>65.27</v>
      </c>
      <c r="L42" s="35" t="n">
        <v>30.78</v>
      </c>
      <c r="M42" s="35" t="n">
        <v>23.14</v>
      </c>
      <c r="N42" s="36">
        <f>SUM(B42:M42)</f>
        <v/>
      </c>
      <c r="O42" s="37" t="n">
        <v>74.81999999999999</v>
      </c>
      <c r="P42" s="37" t="n">
        <v>34.98</v>
      </c>
      <c r="Q42" s="37" t="n">
        <v>40.59</v>
      </c>
      <c r="R42" s="37" t="n">
        <v>23.32</v>
      </c>
      <c r="S42" s="37" t="n">
        <v>16.91</v>
      </c>
      <c r="T42" s="37" t="n">
        <v>47.48999999999999</v>
      </c>
      <c r="U42" s="37" t="n">
        <v>33.83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0</v>
      </c>
      <c r="Q43" s="37" t="n">
        <v>5.95</v>
      </c>
      <c r="R43" s="37" t="n">
        <v>0</v>
      </c>
      <c r="S43" s="37" t="n">
        <v>176</v>
      </c>
      <c r="T43" s="37" t="n">
        <v>0</v>
      </c>
      <c r="U43" s="37" t="n">
        <v>18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SUMIF('YBHN WH TB'!$R:$R,'WH P&amp;L'!$A44,'YBHN WH TB'!C:C)</f>
        <v/>
      </c>
      <c r="P44" s="37">
        <f>SUMIF('YBHN WH TB'!$R:$R,'WH P&amp;L'!$A44,'YBHN WH TB'!D:D)</f>
        <v/>
      </c>
      <c r="Q44" s="37">
        <f>SUMIF('YBHN WH TB'!$R:$R,'WH P&amp;L'!$A44,'YBHN WH TB'!E:E)</f>
        <v/>
      </c>
      <c r="R44" s="37">
        <f>SUMIF('YBHN WH TB'!$R:$R,'WH P&amp;L'!$A44,'YBHN WH TB'!F:F)</f>
        <v/>
      </c>
      <c r="S44" s="37">
        <f>SUMIF('YBHN WH TB'!$R:$R,'WH P&amp;L'!$A44,'YBHN WH TB'!G:G)</f>
        <v/>
      </c>
      <c r="T44" s="37">
        <f>SUMIF('YBHN WH TB'!$R:$R,'WH P&amp;L'!$A44,'YBHN WH TB'!H:H)</f>
        <v/>
      </c>
      <c r="U44" s="37">
        <f>SUMIF('YBHN WH TB'!$R:$R,'WH P&amp;L'!$A44,'YBHN WH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SUMIF('YBHN WH TB'!$R:$R,'WH P&amp;L'!$A45,'YBHN WH TB'!C:C)</f>
        <v/>
      </c>
      <c r="P45" s="37">
        <f>SUMIF('YBHN WH TB'!$R:$R,'WH P&amp;L'!$A45,'YBHN WH TB'!D:D)</f>
        <v/>
      </c>
      <c r="Q45" s="37">
        <f>SUMIF('YBHN WH TB'!$R:$R,'WH P&amp;L'!$A45,'YBHN WH TB'!E:E)</f>
        <v/>
      </c>
      <c r="R45" s="37">
        <f>SUMIF('YBHN WH TB'!$R:$R,'WH P&amp;L'!$A45,'YBHN WH TB'!F:F)</f>
        <v/>
      </c>
      <c r="S45" s="37">
        <f>SUMIF('YBHN WH TB'!$R:$R,'WH P&amp;L'!$A45,'YBHN WH TB'!G:G)</f>
        <v/>
      </c>
      <c r="T45" s="37">
        <f>SUMIF('YBHN WH TB'!$R:$R,'WH P&amp;L'!$A45,'YBHN WH TB'!H:H)</f>
        <v/>
      </c>
      <c r="U45" s="37">
        <f>SUMIF('YBHN WH TB'!$R:$R,'WH P&amp;L'!$A45,'YBHN WH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7" t="n">
        <v>100</v>
      </c>
      <c r="AJ45" s="118" t="n">
        <v>100</v>
      </c>
      <c r="AK45" s="118" t="n">
        <v>100</v>
      </c>
      <c r="AL45" s="118" t="n">
        <v>100</v>
      </c>
      <c r="AM45" s="119" t="n">
        <v>100</v>
      </c>
      <c r="AN45" s="117" t="n">
        <v>100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SUMIF('YBHN WH TB'!$R:$R,'WH P&amp;L'!$A46,'YBHN WH TB'!C:C)</f>
        <v/>
      </c>
      <c r="P46" s="37">
        <f>SUMIF('YBHN WH TB'!$R:$R,'WH P&amp;L'!$A46,'YBHN WH TB'!D:D)</f>
        <v/>
      </c>
      <c r="Q46" s="37">
        <f>SUMIF('YBHN WH TB'!$R:$R,'WH P&amp;L'!$A46,'YBHN WH TB'!E:E)</f>
        <v/>
      </c>
      <c r="R46" s="37">
        <f>SUMIF('YBHN WH TB'!$R:$R,'WH P&amp;L'!$A46,'YBHN WH TB'!F:F)</f>
        <v/>
      </c>
      <c r="S46" s="37">
        <f>SUMIF('YBHN WH TB'!$R:$R,'WH P&amp;L'!$A46,'YBHN WH TB'!G:G)</f>
        <v/>
      </c>
      <c r="T46" s="37">
        <f>SUMIF('YBHN WH TB'!$R:$R,'WH P&amp;L'!$A46,'YBHN WH TB'!H:H)</f>
        <v/>
      </c>
      <c r="U46" s="37">
        <f>SUMIF('YBHN WH TB'!$R:$R,'WH P&amp;L'!$A46,'YBHN WH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5754.559999999999</v>
      </c>
      <c r="C47" s="42" t="n">
        <v>5317.35</v>
      </c>
      <c r="D47" s="42" t="n">
        <v>6037.919999999999</v>
      </c>
      <c r="E47" s="42" t="n">
        <v>8868.169999999998</v>
      </c>
      <c r="F47" s="42" t="n">
        <v>5637.85</v>
      </c>
      <c r="G47" s="42" t="n">
        <v>3771.77</v>
      </c>
      <c r="H47" s="42" t="n">
        <v>2372.6</v>
      </c>
      <c r="I47" s="42" t="n">
        <v>4527.559999999999</v>
      </c>
      <c r="J47" s="42" t="n">
        <v>1893.24</v>
      </c>
      <c r="K47" s="42" t="n">
        <v>3810.16</v>
      </c>
      <c r="L47" s="42" t="n">
        <v>4195.96</v>
      </c>
      <c r="M47" s="42" t="n">
        <v>4753.41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30355.11</v>
      </c>
      <c r="C48" s="23" t="n">
        <v>31310.8</v>
      </c>
      <c r="D48" s="23" t="n">
        <v>30075.49</v>
      </c>
      <c r="E48" s="23" t="n">
        <v>31519.73</v>
      </c>
      <c r="F48" s="23" t="n">
        <v>31813.56</v>
      </c>
      <c r="G48" s="23" t="n">
        <v>29717.24</v>
      </c>
      <c r="H48" s="23" t="n">
        <v>31175.01</v>
      </c>
      <c r="I48" s="23" t="n">
        <v>33311.49</v>
      </c>
      <c r="J48" s="23" t="n">
        <v>29990.96</v>
      </c>
      <c r="K48" s="23" t="n">
        <v>31109.65</v>
      </c>
      <c r="L48" s="23" t="n">
        <v>31957.55</v>
      </c>
      <c r="M48" s="23" t="n">
        <v>31917.1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30133.06</v>
      </c>
      <c r="C50" s="55" t="n">
        <v>21758.91000000001</v>
      </c>
      <c r="D50" s="55" t="n">
        <v>28278.94</v>
      </c>
      <c r="E50" s="55" t="n">
        <v>27499.99</v>
      </c>
      <c r="F50" s="55" t="n">
        <v>20703.03</v>
      </c>
      <c r="G50" s="55" t="n">
        <v>15207.32999999999</v>
      </c>
      <c r="H50" s="55" t="n">
        <v>30154.07</v>
      </c>
      <c r="I50" s="55" t="n">
        <v>3448.239999999998</v>
      </c>
      <c r="J50" s="55" t="n">
        <v>6195.919999999995</v>
      </c>
      <c r="K50" s="55" t="n">
        <v>6296.490000000002</v>
      </c>
      <c r="L50" s="55" t="n">
        <v>3415.890000000003</v>
      </c>
      <c r="M50" s="55" t="n">
        <v>10865.79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SUMIF('YBHN WH TB'!$R:$R,'WH P&amp;L'!$A53,'YBHN WH TB'!C:C)</f>
        <v/>
      </c>
      <c r="P53" s="37">
        <f>SUMIF('YBHN WH TB'!$R:$R,'WH P&amp;L'!$A53,'YBHN WH TB'!D:D)</f>
        <v/>
      </c>
      <c r="Q53" s="37">
        <f>SUMIF('YBHN WH TB'!$R:$R,'WH P&amp;L'!$A53,'YBHN WH TB'!E:E)</f>
        <v/>
      </c>
      <c r="R53" s="37">
        <f>SUMIF('YBHN WH TB'!$R:$R,'WH P&amp;L'!$A53,'YBHN WH TB'!F:F)</f>
        <v/>
      </c>
      <c r="S53" s="37">
        <f>SUMIF('YBHN WH TB'!$R:$R,'WH P&amp;L'!$A53,'YBHN WH TB'!G:G)</f>
        <v/>
      </c>
      <c r="T53" s="37">
        <f>SUMIF('YBHN WH TB'!$R:$R,'WH P&amp;L'!$A53,'YBHN WH TB'!H:H)</f>
        <v/>
      </c>
      <c r="U53" s="37">
        <f>SUMIF('YBHN WH TB'!$R:$R,'WH P&amp;L'!$A53,'YBHN WH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SUMIF('YBHN WH TB'!$R:$R,'WH P&amp;L'!$A54,'YBHN WH TB'!C:C)</f>
        <v/>
      </c>
      <c r="P54" s="37">
        <f>SUMIF('YBHN WH TB'!$R:$R,'WH P&amp;L'!$A54,'YBHN WH TB'!D:D)</f>
        <v/>
      </c>
      <c r="Q54" s="37">
        <f>SUMIF('YBHN WH TB'!$R:$R,'WH P&amp;L'!$A54,'YBHN WH TB'!E:E)</f>
        <v/>
      </c>
      <c r="R54" s="37">
        <f>SUMIF('YBHN WH TB'!$R:$R,'WH P&amp;L'!$A54,'YBHN WH TB'!F:F)</f>
        <v/>
      </c>
      <c r="S54" s="37">
        <f>SUMIF('YBHN WH TB'!$R:$R,'WH P&amp;L'!$A54,'YBHN WH TB'!G:G)</f>
        <v/>
      </c>
      <c r="T54" s="37">
        <f>SUMIF('YBHN WH TB'!$R:$R,'WH P&amp;L'!$A54,'YBHN WH TB'!H:H)</f>
        <v/>
      </c>
      <c r="U54" s="37">
        <f>SUMIF('YBHN WH TB'!$R:$R,'WH P&amp;L'!$A54,'YBHN WH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SUMIF('YBHN WH TB'!$R:$R,'WH P&amp;L'!$A55,'YBHN WH TB'!C:C)</f>
        <v/>
      </c>
      <c r="P55" s="37">
        <f>SUMIF('YBHN WH TB'!$R:$R,'WH P&amp;L'!$A55,'YBHN WH TB'!D:D)</f>
        <v/>
      </c>
      <c r="Q55" s="37">
        <f>SUMIF('YBHN WH TB'!$R:$R,'WH P&amp;L'!$A55,'YBHN WH TB'!E:E)</f>
        <v/>
      </c>
      <c r="R55" s="37">
        <f>SUMIF('YBHN WH TB'!$R:$R,'WH P&amp;L'!$A55,'YBHN WH TB'!F:F)</f>
        <v/>
      </c>
      <c r="S55" s="37">
        <f>SUMIF('YBHN WH TB'!$R:$R,'WH P&amp;L'!$A55,'YBHN WH TB'!G:G)</f>
        <v/>
      </c>
      <c r="T55" s="37">
        <f>SUMIF('YBHN WH TB'!$R:$R,'WH P&amp;L'!$A55,'YBHN WH TB'!H:H)</f>
        <v/>
      </c>
      <c r="U55" s="37">
        <f>SUMIF('YBHN WH TB'!$R:$R,'WH P&amp;L'!$A55,'YBHN WH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SUMIF('YBHN WH TB'!$R:$R,'WH P&amp;L'!$A56,'YBHN WH TB'!C:C)</f>
        <v/>
      </c>
      <c r="P56" s="37">
        <f>SUMIF('YBHN WH TB'!$R:$R,'WH P&amp;L'!$A56,'YBHN WH TB'!D:D)</f>
        <v/>
      </c>
      <c r="Q56" s="37">
        <f>SUMIF('YBHN WH TB'!$R:$R,'WH P&amp;L'!$A56,'YBHN WH TB'!E:E)</f>
        <v/>
      </c>
      <c r="R56" s="37">
        <f>SUMIF('YBHN WH TB'!$R:$R,'WH P&amp;L'!$A56,'YBHN WH TB'!F:F)</f>
        <v/>
      </c>
      <c r="S56" s="37">
        <f>SUMIF('YBHN WH TB'!$R:$R,'WH P&amp;L'!$A56,'YBHN WH TB'!G:G)</f>
        <v/>
      </c>
      <c r="T56" s="37">
        <f>SUMIF('YBHN WH TB'!$R:$R,'WH P&amp;L'!$A56,'YBHN WH TB'!H:H)</f>
        <v/>
      </c>
      <c r="U56" s="37">
        <f>SUMIF('YBHN WH TB'!$R:$R,'WH P&amp;L'!$A56,'YBHN WH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200</v>
      </c>
      <c r="M57" s="35" t="n">
        <v>0</v>
      </c>
      <c r="N57" s="36">
        <f>SUM(B57:M57)</f>
        <v/>
      </c>
      <c r="O57" s="37">
        <f>SUMIF('YBHN WH TB'!$R:$R,'WH P&amp;L'!$A57,'YBHN WH TB'!C:C)</f>
        <v/>
      </c>
      <c r="P57" s="37">
        <f>SUMIF('YBHN WH TB'!$R:$R,'WH P&amp;L'!$A57,'YBHN WH TB'!D:D)</f>
        <v/>
      </c>
      <c r="Q57" s="37">
        <f>SUMIF('YBHN WH TB'!$R:$R,'WH P&amp;L'!$A57,'YBHN WH TB'!E:E)</f>
        <v/>
      </c>
      <c r="R57" s="37">
        <f>SUMIF('YBHN WH TB'!$R:$R,'WH P&amp;L'!$A57,'YBHN WH TB'!F:F)</f>
        <v/>
      </c>
      <c r="S57" s="37">
        <f>SUMIF('YBHN WH TB'!$R:$R,'WH P&amp;L'!$A57,'YBHN WH TB'!G:G)</f>
        <v/>
      </c>
      <c r="T57" s="37">
        <f>SUMIF('YBHN WH TB'!$R:$R,'WH P&amp;L'!$A57,'YBHN WH TB'!H:H)</f>
        <v/>
      </c>
      <c r="U57" s="37">
        <f>SUMIF('YBHN WH TB'!$R:$R,'WH P&amp;L'!$A57,'YBHN WH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SUMIF('YBHN WH TB'!$R:$R,'WH P&amp;L'!$A58,'YBHN WH TB'!C:C)</f>
        <v/>
      </c>
      <c r="P58" s="37">
        <f>SUMIF('YBHN WH TB'!$R:$R,'WH P&amp;L'!$A58,'YBHN WH TB'!D:D)</f>
        <v/>
      </c>
      <c r="Q58" s="37">
        <f>SUMIF('YBHN WH TB'!$R:$R,'WH P&amp;L'!$A58,'YBHN WH TB'!E:E)</f>
        <v/>
      </c>
      <c r="R58" s="37">
        <f>SUMIF('YBHN WH TB'!$R:$R,'WH P&amp;L'!$A58,'YBHN WH TB'!F:F)</f>
        <v/>
      </c>
      <c r="S58" s="37">
        <f>SUMIF('YBHN WH TB'!$R:$R,'WH P&amp;L'!$A58,'YBHN WH TB'!G:G)</f>
        <v/>
      </c>
      <c r="T58" s="37">
        <f>SUMIF('YBHN WH TB'!$R:$R,'WH P&amp;L'!$A58,'YBHN WH TB'!H:H)</f>
        <v/>
      </c>
      <c r="U58" s="37">
        <f>SUMIF('YBHN WH TB'!$R:$R,'WH P&amp;L'!$A58,'YBHN WH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1.2</v>
      </c>
      <c r="C60" s="35" t="n">
        <v>3</v>
      </c>
      <c r="D60" s="35" t="n">
        <v>137.02</v>
      </c>
      <c r="E60" s="35" t="n">
        <v>294.06</v>
      </c>
      <c r="F60" s="35" t="n">
        <v>2.4</v>
      </c>
      <c r="G60" s="35" t="n">
        <v>266.8</v>
      </c>
      <c r="H60" s="35" t="n">
        <v>1.8</v>
      </c>
      <c r="I60" s="35" t="n">
        <v>13.05</v>
      </c>
      <c r="J60" s="35" t="n">
        <v>1.8</v>
      </c>
      <c r="K60" s="35" t="n">
        <v>68.19999999999999</v>
      </c>
      <c r="L60" s="35" t="n">
        <v>45.96</v>
      </c>
      <c r="M60" s="35" t="n">
        <v>1.2</v>
      </c>
      <c r="N60" s="36">
        <f>SUM(B60:M60)</f>
        <v/>
      </c>
      <c r="O60" s="37" t="n">
        <v>61.8</v>
      </c>
      <c r="P60" s="37" t="n">
        <v>1.2</v>
      </c>
      <c r="Q60" s="37" t="n">
        <v>1.2</v>
      </c>
      <c r="R60" s="37" t="n">
        <v>380.88</v>
      </c>
      <c r="S60" s="37" t="n">
        <v>14.4</v>
      </c>
      <c r="T60" s="37" t="n">
        <v>14.4</v>
      </c>
      <c r="U60" s="37" t="n">
        <v>14.4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119</v>
      </c>
      <c r="H61" s="35" t="n">
        <v>92.28</v>
      </c>
      <c r="I61" s="35" t="n">
        <v>0</v>
      </c>
      <c r="J61" s="35" t="n">
        <v>0</v>
      </c>
      <c r="K61" s="35" t="n">
        <v>13.99</v>
      </c>
      <c r="L61" s="35" t="n">
        <v>0</v>
      </c>
      <c r="M61" s="35" t="n">
        <v>0</v>
      </c>
      <c r="N61" s="36">
        <f>SUM(B61:M61)</f>
        <v/>
      </c>
      <c r="O61" s="37">
        <f>SUMIF('YBHN WH TB'!$R:$R,'WH P&amp;L'!$A61,'YBHN WH TB'!C:C)</f>
        <v/>
      </c>
      <c r="P61" s="37">
        <f>SUMIF('YBHN WH TB'!$R:$R,'WH P&amp;L'!$A61,'YBHN WH TB'!D:D)</f>
        <v/>
      </c>
      <c r="Q61" s="37">
        <f>SUMIF('YBHN WH TB'!$R:$R,'WH P&amp;L'!$A61,'YBHN WH TB'!E:E)</f>
        <v/>
      </c>
      <c r="R61" s="37">
        <f>SUMIF('YBHN WH TB'!$R:$R,'WH P&amp;L'!$A61,'YBHN WH TB'!F:F)</f>
        <v/>
      </c>
      <c r="S61" s="37">
        <f>SUMIF('YBHN WH TB'!$R:$R,'WH P&amp;L'!$A61,'YBHN WH TB'!G:G)</f>
        <v/>
      </c>
      <c r="T61" s="37">
        <f>SUMIF('YBHN WH TB'!$R:$R,'WH P&amp;L'!$A61,'YBHN WH TB'!H:H)</f>
        <v/>
      </c>
      <c r="U61" s="37">
        <f>SUMIF('YBHN WH TB'!$R:$R,'WH P&amp;L'!$A61,'YBHN WH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50</v>
      </c>
      <c r="C62" s="35" t="n">
        <v>581.26</v>
      </c>
      <c r="D62" s="35" t="n">
        <v>391.9</v>
      </c>
      <c r="E62" s="35" t="n">
        <v>90</v>
      </c>
      <c r="F62" s="35" t="n">
        <v>55</v>
      </c>
      <c r="G62" s="35" t="n">
        <v>55</v>
      </c>
      <c r="H62" s="35" t="n">
        <v>62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SUMIF('YBHN WH TB'!$R:$R,'WH P&amp;L'!$A62,'YBHN WH TB'!C:C)</f>
        <v/>
      </c>
      <c r="P62" s="37">
        <f>SUMIF('YBHN WH TB'!$R:$R,'WH P&amp;L'!$A62,'YBHN WH TB'!D:D)</f>
        <v/>
      </c>
      <c r="Q62" s="37">
        <f>SUMIF('YBHN WH TB'!$R:$R,'WH P&amp;L'!$A62,'YBHN WH TB'!E:E)</f>
        <v/>
      </c>
      <c r="R62" s="37">
        <f>SUMIF('YBHN WH TB'!$R:$R,'WH P&amp;L'!$A62,'YBHN WH TB'!F:F)</f>
        <v/>
      </c>
      <c r="S62" s="37">
        <f>SUMIF('YBHN WH TB'!$R:$R,'WH P&amp;L'!$A62,'YBHN WH TB'!G:G)</f>
        <v/>
      </c>
      <c r="T62" s="37">
        <f>SUMIF('YBHN WH TB'!$R:$R,'WH P&amp;L'!$A62,'YBHN WH TB'!H:H)</f>
        <v/>
      </c>
      <c r="U62" s="37">
        <f>SUMIF('YBHN WH TB'!$R:$R,'WH P&amp;L'!$A62,'YBHN WH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SUMIF('YBHN WH TB'!$R:$R,'WH P&amp;L'!$A63,'YBHN WH TB'!C:C)</f>
        <v/>
      </c>
      <c r="P63" s="37">
        <f>SUMIF('YBHN WH TB'!$R:$R,'WH P&amp;L'!$A63,'YBHN WH TB'!D:D)</f>
        <v/>
      </c>
      <c r="Q63" s="37">
        <f>SUMIF('YBHN WH TB'!$R:$R,'WH P&amp;L'!$A63,'YBHN WH TB'!E:E)</f>
        <v/>
      </c>
      <c r="R63" s="37">
        <f>SUMIF('YBHN WH TB'!$R:$R,'WH P&amp;L'!$A63,'YBHN WH TB'!F:F)</f>
        <v/>
      </c>
      <c r="S63" s="37">
        <f>SUMIF('YBHN WH TB'!$R:$R,'WH P&amp;L'!$A63,'YBHN WH TB'!G:G)</f>
        <v/>
      </c>
      <c r="T63" s="37">
        <f>SUMIF('YBHN WH TB'!$R:$R,'WH P&amp;L'!$A63,'YBHN WH TB'!H:H)</f>
        <v/>
      </c>
      <c r="U63" s="37">
        <f>SUMIF('YBHN WH TB'!$R:$R,'WH P&amp;L'!$A63,'YBHN WH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SUMIF('YBHN WH TB'!$R:$R,'WH P&amp;L'!$A64,'YBHN WH TB'!C:C)</f>
        <v/>
      </c>
      <c r="P64" s="37">
        <f>SUMIF('YBHN WH TB'!$R:$R,'WH P&amp;L'!$A64,'YBHN WH TB'!D:D)</f>
        <v/>
      </c>
      <c r="Q64" s="37">
        <f>SUMIF('YBHN WH TB'!$R:$R,'WH P&amp;L'!$A64,'YBHN WH TB'!E:E)</f>
        <v/>
      </c>
      <c r="R64" s="37">
        <f>SUMIF('YBHN WH TB'!$R:$R,'WH P&amp;L'!$A64,'YBHN WH TB'!F:F)</f>
        <v/>
      </c>
      <c r="S64" s="37">
        <f>SUMIF('YBHN WH TB'!$R:$R,'WH P&amp;L'!$A64,'YBHN WH TB'!G:G)</f>
        <v/>
      </c>
      <c r="T64" s="37">
        <f>SUMIF('YBHN WH TB'!$R:$R,'WH P&amp;L'!$A64,'YBHN WH TB'!H:H)</f>
        <v/>
      </c>
      <c r="U64" s="37">
        <f>SUMIF('YBHN WH TB'!$R:$R,'WH P&amp;L'!$A64,'YBHN WH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SUMIF('YBHN WH TB'!$R:$R,'WH P&amp;L'!$A65,'YBHN WH TB'!C:C)</f>
        <v/>
      </c>
      <c r="P65" s="37">
        <f>SUMIF('YBHN WH TB'!$R:$R,'WH P&amp;L'!$A65,'YBHN WH TB'!D:D)</f>
        <v/>
      </c>
      <c r="Q65" s="37">
        <f>SUMIF('YBHN WH TB'!$R:$R,'WH P&amp;L'!$A65,'YBHN WH TB'!E:E)</f>
        <v/>
      </c>
      <c r="R65" s="37">
        <f>SUMIF('YBHN WH TB'!$R:$R,'WH P&amp;L'!$A65,'YBHN WH TB'!F:F)</f>
        <v/>
      </c>
      <c r="S65" s="37">
        <f>SUMIF('YBHN WH TB'!$R:$R,'WH P&amp;L'!$A65,'YBHN WH TB'!G:G)</f>
        <v/>
      </c>
      <c r="T65" s="37">
        <f>SUMIF('YBHN WH TB'!$R:$R,'WH P&amp;L'!$A65,'YBHN WH TB'!H:H)</f>
        <v/>
      </c>
      <c r="U65" s="37">
        <f>SUMIF('YBHN WH TB'!$R:$R,'WH P&amp;L'!$A65,'YBHN WH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SUMIF('YBHN WH TB'!$R:$R,'WH P&amp;L'!$A66,'YBHN WH TB'!C:C)</f>
        <v/>
      </c>
      <c r="P66" s="37">
        <f>SUMIF('YBHN WH TB'!$R:$R,'WH P&amp;L'!$A66,'YBHN WH TB'!D:D)</f>
        <v/>
      </c>
      <c r="Q66" s="37">
        <f>SUMIF('YBHN WH TB'!$R:$R,'WH P&amp;L'!$A66,'YBHN WH TB'!E:E)</f>
        <v/>
      </c>
      <c r="R66" s="37">
        <f>SUMIF('YBHN WH TB'!$R:$R,'WH P&amp;L'!$A66,'YBHN WH TB'!F:F)</f>
        <v/>
      </c>
      <c r="S66" s="37">
        <f>SUMIF('YBHN WH TB'!$R:$R,'WH P&amp;L'!$A66,'YBHN WH TB'!G:G)</f>
        <v/>
      </c>
      <c r="T66" s="37">
        <f>SUMIF('YBHN WH TB'!$R:$R,'WH P&amp;L'!$A66,'YBHN WH TB'!H:H)</f>
        <v/>
      </c>
      <c r="U66" s="37">
        <f>SUMIF('YBHN WH TB'!$R:$R,'WH P&amp;L'!$A66,'YBHN WH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SUMIF('YBHN WH TB'!$R:$R,'WH P&amp;L'!$A67,'YBHN WH TB'!C:C)</f>
        <v/>
      </c>
      <c r="P67" s="37">
        <f>SUMIF('YBHN WH TB'!$R:$R,'WH P&amp;L'!$A67,'YBHN WH TB'!D:D)</f>
        <v/>
      </c>
      <c r="Q67" s="37">
        <f>SUMIF('YBHN WH TB'!$R:$R,'WH P&amp;L'!$A67,'YBHN WH TB'!E:E)</f>
        <v/>
      </c>
      <c r="R67" s="37">
        <f>SUMIF('YBHN WH TB'!$R:$R,'WH P&amp;L'!$A67,'YBHN WH TB'!F:F)</f>
        <v/>
      </c>
      <c r="S67" s="37">
        <f>SUMIF('YBHN WH TB'!$R:$R,'WH P&amp;L'!$A67,'YBHN WH TB'!G:G)</f>
        <v/>
      </c>
      <c r="T67" s="37">
        <f>SUMIF('YBHN WH TB'!$R:$R,'WH P&amp;L'!$A67,'YBHN WH TB'!H:H)</f>
        <v/>
      </c>
      <c r="U67" s="37">
        <f>SUMIF('YBHN WH TB'!$R:$R,'WH P&amp;L'!$A67,'YBHN WH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SUMIF('YBHN WH TB'!$R:$R,'WH P&amp;L'!$A68,'YBHN WH TB'!C:C)</f>
        <v/>
      </c>
      <c r="P68" s="37">
        <f>SUMIF('YBHN WH TB'!$R:$R,'WH P&amp;L'!$A68,'YBHN WH TB'!D:D)</f>
        <v/>
      </c>
      <c r="Q68" s="37">
        <f>SUMIF('YBHN WH TB'!$R:$R,'WH P&amp;L'!$A68,'YBHN WH TB'!E:E)</f>
        <v/>
      </c>
      <c r="R68" s="37">
        <f>SUMIF('YBHN WH TB'!$R:$R,'WH P&amp;L'!$A68,'YBHN WH TB'!F:F)</f>
        <v/>
      </c>
      <c r="S68" s="37">
        <f>SUMIF('YBHN WH TB'!$R:$R,'WH P&amp;L'!$A68,'YBHN WH TB'!G:G)</f>
        <v/>
      </c>
      <c r="T68" s="37">
        <f>SUMIF('YBHN WH TB'!$R:$R,'WH P&amp;L'!$A68,'YBHN WH TB'!H:H)</f>
        <v/>
      </c>
      <c r="U68" s="37">
        <f>SUMIF('YBHN WH TB'!$R:$R,'WH P&amp;L'!$A68,'YBHN WH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252.58</v>
      </c>
      <c r="C69" s="42" t="n">
        <v>785.64</v>
      </c>
      <c r="D69" s="42" t="n">
        <v>730.3</v>
      </c>
      <c r="E69" s="42" t="n">
        <v>585.4400000000001</v>
      </c>
      <c r="F69" s="42" t="n">
        <v>258.77</v>
      </c>
      <c r="G69" s="42" t="n">
        <v>642.1800000000001</v>
      </c>
      <c r="H69" s="42" t="n">
        <v>357.46</v>
      </c>
      <c r="I69" s="42" t="n">
        <v>214.43</v>
      </c>
      <c r="J69" s="42" t="n">
        <v>203.18</v>
      </c>
      <c r="K69" s="42" t="n">
        <v>296.99</v>
      </c>
      <c r="L69" s="42" t="n">
        <v>460.76</v>
      </c>
      <c r="M69" s="42" t="n">
        <v>216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29880.48</v>
      </c>
      <c r="C70" s="55" t="n">
        <v>20973.27000000001</v>
      </c>
      <c r="D70" s="55" t="n">
        <v>27548.64</v>
      </c>
      <c r="E70" s="55" t="n">
        <v>26914.55</v>
      </c>
      <c r="F70" s="55" t="n">
        <v>20444.26</v>
      </c>
      <c r="G70" s="55" t="n">
        <v>14565.14999999999</v>
      </c>
      <c r="H70" s="55" t="n">
        <v>29796.61</v>
      </c>
      <c r="I70" s="55" t="n">
        <v>3233.809999999998</v>
      </c>
      <c r="J70" s="55" t="n">
        <v>5992.739999999994</v>
      </c>
      <c r="K70" s="55" t="n">
        <v>5999.500000000002</v>
      </c>
      <c r="L70" s="55" t="n">
        <v>2955.130000000003</v>
      </c>
      <c r="M70" s="55" t="n">
        <v>10649.79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7">
        <f>SUM(AC72:AH72)+SUM(AI72:AN72)</f>
        <v/>
      </c>
      <c r="AP72" s="145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7" t="n">
        <v>0</v>
      </c>
      <c r="AJ73" s="117" t="n">
        <v>0</v>
      </c>
      <c r="AK73" s="117" t="n">
        <v>0</v>
      </c>
      <c r="AL73" s="117" t="n">
        <v>0</v>
      </c>
      <c r="AM73" s="117" t="n">
        <v>0</v>
      </c>
      <c r="AN73" s="117" t="n">
        <v>0</v>
      </c>
      <c r="AO73" s="156">
        <f>SUM(AC73:AH73)+SUM(AI73:AN73)</f>
        <v/>
      </c>
      <c r="AP73" s="145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7" t="n">
        <v>0</v>
      </c>
      <c r="AJ74" s="117" t="n">
        <v>0</v>
      </c>
      <c r="AK74" s="117" t="n">
        <v>0</v>
      </c>
      <c r="AL74" s="117" t="n">
        <v>0</v>
      </c>
      <c r="AM74" s="117" t="n">
        <v>0</v>
      </c>
      <c r="AN74" s="117" t="n">
        <v>0</v>
      </c>
      <c r="AO74" s="156">
        <f>SUM(AC74:AH74)+SUM(AI74:AN74)</f>
        <v/>
      </c>
      <c r="AP74" s="145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7" t="n">
        <v>0</v>
      </c>
      <c r="AJ75" s="117" t="n">
        <v>0</v>
      </c>
      <c r="AK75" s="117" t="n">
        <v>0</v>
      </c>
      <c r="AL75" s="117" t="n">
        <v>0</v>
      </c>
      <c r="AM75" s="117" t="n">
        <v>0</v>
      </c>
      <c r="AN75" s="117" t="n">
        <v>0</v>
      </c>
      <c r="AO75" s="156">
        <f>SUM(AC75:AH75)+SUM(AI75:AN75)</f>
        <v/>
      </c>
      <c r="AP75" s="145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7" t="n">
        <v>0</v>
      </c>
      <c r="AJ76" s="117" t="n">
        <v>0</v>
      </c>
      <c r="AK76" s="117" t="n">
        <v>0</v>
      </c>
      <c r="AL76" s="117" t="n">
        <v>0</v>
      </c>
      <c r="AM76" s="117" t="n">
        <v>0</v>
      </c>
      <c r="AN76" s="117" t="n">
        <v>0</v>
      </c>
      <c r="AO76" s="156">
        <f>SUM(AC76:AH76)+SUM(AI76:AN76)</f>
        <v/>
      </c>
      <c r="AP76" s="145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7" t="n">
        <v>0</v>
      </c>
      <c r="AJ77" s="117" t="n">
        <v>0</v>
      </c>
      <c r="AK77" s="117" t="n">
        <v>0</v>
      </c>
      <c r="AL77" s="117" t="n">
        <v>0</v>
      </c>
      <c r="AM77" s="117" t="n">
        <v>0</v>
      </c>
      <c r="AN77" s="117" t="n">
        <v>0</v>
      </c>
      <c r="AO77" s="156">
        <f>SUM(AC77:AH77)+SUM(AI77:AN77)</f>
        <v/>
      </c>
      <c r="AP77" s="145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117" t="n">
        <v>0</v>
      </c>
      <c r="AJ78" s="117" t="n">
        <v>0</v>
      </c>
      <c r="AK78" s="117" t="n">
        <v>0</v>
      </c>
      <c r="AL78" s="117" t="n">
        <v>0</v>
      </c>
      <c r="AM78" s="117" t="n">
        <v>0</v>
      </c>
      <c r="AN78" s="117" t="n">
        <v>0</v>
      </c>
      <c r="AO78" s="156">
        <f>SUM(AC78:AH78)+SUM(AI78:AN78)</f>
        <v/>
      </c>
      <c r="AP78" s="145">
        <f>IF(AB78&lt;&gt;0,(AO78-AB78)/ABS(AB78),0)</f>
        <v/>
      </c>
    </row>
    <row r="79">
      <c r="A79" s="54" t="n"/>
      <c r="B79" s="57" t="n">
        <v>29880.48</v>
      </c>
      <c r="C79" s="57" t="n">
        <v>20973.27000000001</v>
      </c>
      <c r="D79" s="57" t="n">
        <v>27548.64</v>
      </c>
      <c r="E79" s="57" t="n">
        <v>26914.55</v>
      </c>
      <c r="F79" s="57" t="n">
        <v>20444.26</v>
      </c>
      <c r="G79" s="57" t="n">
        <v>14565.14999999999</v>
      </c>
      <c r="H79" s="57" t="n">
        <v>29796.61</v>
      </c>
      <c r="I79" s="57" t="n">
        <v>3233.809999999998</v>
      </c>
      <c r="J79" s="57" t="n">
        <v>5992.739999999994</v>
      </c>
      <c r="K79" s="57" t="n">
        <v>5999.500000000002</v>
      </c>
      <c r="L79" s="57" t="n">
        <v>2955.130000000003</v>
      </c>
      <c r="M79" s="57" t="n">
        <v>10649.79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7">
        <f>SUM(AC79:AH79)+SUM(AI79:AN79)</f>
        <v/>
      </c>
      <c r="AP79" s="145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7">
        <f>SUM(AC80:AH80)+SUM(AI80:AN80)</f>
        <v/>
      </c>
      <c r="AP80" s="145">
        <f>IF(AB80&lt;&gt;0,(AO80-AB80)/ABS(AB80),0)</f>
        <v/>
      </c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60488.17</v>
      </c>
      <c r="C87" s="60" t="n">
        <v>53069.71000000001</v>
      </c>
      <c r="D87" s="60" t="n">
        <v>58354.43</v>
      </c>
      <c r="E87" s="60" t="n">
        <v>59019.72</v>
      </c>
      <c r="F87" s="60" t="n">
        <v>52516.59</v>
      </c>
      <c r="G87" s="60" t="n">
        <v>44924.56999999999</v>
      </c>
      <c r="H87" s="60" t="n">
        <v>61329.08</v>
      </c>
      <c r="I87" s="60" t="n">
        <v>36759.73</v>
      </c>
      <c r="J87" s="60" t="n">
        <v>36186.88</v>
      </c>
      <c r="K87" s="60" t="n">
        <v>37406.14</v>
      </c>
      <c r="L87" s="60" t="n">
        <v>35373.44</v>
      </c>
      <c r="M87" s="8" t="n"/>
      <c r="N87" s="8" t="n"/>
      <c r="O87" s="60">
        <f>-SUMIF('YBHN WH TB'!$T:$T,'WH P&amp;L'!$A87,'YBHN WH TB'!C:C)</f>
        <v/>
      </c>
      <c r="P87" s="60">
        <f>-SUMIF('YBHN WH TB'!$T:$T,'WH P&amp;L'!$A87,'YBHN WH TB'!D:D)</f>
        <v/>
      </c>
      <c r="Q87" s="60">
        <f>-SUMIF('YBHN WH TB'!$T:$T,'WH P&amp;L'!$A87,'YBHN WH TB'!E:E)</f>
        <v/>
      </c>
      <c r="R87" s="60">
        <f>-SUMIF('YBHN WH TB'!$T:$T,'WH P&amp;L'!$A87,'YBHN WH TB'!F:F)</f>
        <v/>
      </c>
      <c r="S87" s="60">
        <f>-SUMIF('YBHN WH TB'!$T:$T,'WH P&amp;L'!$A87,'YBHN WH TB'!G:G)</f>
        <v/>
      </c>
      <c r="T87" s="60">
        <f>-SUMIF('YBHN WH TB'!$T:$T,'WH P&amp;L'!$A87,'YBHN WH TB'!H:H)</f>
        <v/>
      </c>
      <c r="U87" s="60">
        <f>-SUMIF('YBHN WH TB'!$T:$T,'WH P&amp;L'!$A87,'YBHN WH TB'!I:I)</f>
        <v/>
      </c>
      <c r="V87" s="60">
        <f>-SUMIF('YBHN WH TB'!$T:$T,'WH P&amp;L'!$A87,'YBHN WH TB'!J:J)</f>
        <v/>
      </c>
      <c r="W87" s="60">
        <f>-SUMIF('YBHN WH TB'!$T:$T,'WH P&amp;L'!$A87,'YBHN WH TB'!K:K)</f>
        <v/>
      </c>
      <c r="X87" s="60">
        <f>-SUMIF('YBHN WH TB'!$T:$T,'WH P&amp;L'!$A87,'YBHN WH TB'!L:L)</f>
        <v/>
      </c>
      <c r="Y87" s="60">
        <f>-SUMIF('YBHN WH TB'!$T:$T,'WH P&amp;L'!$A87,'YBHN WH TB'!M:M)</f>
        <v/>
      </c>
      <c r="Z87" s="60">
        <f>-SUMIF('YBHN WH TB'!$T:$T,'WH P&amp;L'!$A87,'YBHN WH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48" t="n">
        <v>0</v>
      </c>
      <c r="AJ87" s="148" t="n">
        <v>0</v>
      </c>
      <c r="AK87" s="148" t="n">
        <v>0</v>
      </c>
      <c r="AL87" s="148" t="n">
        <v>0</v>
      </c>
      <c r="AM87" s="148" t="n">
        <v>0</v>
      </c>
      <c r="AN87" s="148" t="n">
        <v>0</v>
      </c>
      <c r="AO87" s="149">
        <f>SUM(AC87:AH87)+SUM(AI87:AN87)</f>
        <v/>
      </c>
      <c r="AP87" s="145">
        <f>IF(AB87&lt;&gt;0,(AO87-AB87)/ABS(AB87),0)</f>
        <v/>
      </c>
    </row>
    <row r="88">
      <c r="A88" s="34" t="inlineStr">
        <is>
          <t>Direct - Staff Cost</t>
        </is>
      </c>
      <c r="B88" s="18" t="n">
        <v>-23102.52</v>
      </c>
      <c r="C88" s="18" t="n">
        <v>-21849.93</v>
      </c>
      <c r="D88" s="18" t="n">
        <v>-22365.54</v>
      </c>
      <c r="E88" s="18" t="n">
        <v>-21787.65</v>
      </c>
      <c r="F88" s="18" t="n">
        <v>-24815.72</v>
      </c>
      <c r="G88" s="18" t="n">
        <v>-24972.06</v>
      </c>
      <c r="H88" s="18" t="n">
        <v>-27676.99000000001</v>
      </c>
      <c r="I88" s="18" t="n">
        <v>-27554.22</v>
      </c>
      <c r="J88" s="18" t="n">
        <v>-26814.42</v>
      </c>
      <c r="K88" s="18" t="n">
        <v>-26347.24</v>
      </c>
      <c r="L88" s="18" t="n">
        <v>-26768.65</v>
      </c>
      <c r="M88" s="18" t="n"/>
      <c r="N88" s="8" t="n"/>
      <c r="O88" s="60">
        <f>-SUMIF('YBHN WH TB'!$T:$T,'WH P&amp;L'!$A88,'YBHN WH TB'!C:C)</f>
        <v/>
      </c>
      <c r="P88" s="60">
        <f>-SUMIF('YBHN WH TB'!$T:$T,'WH P&amp;L'!$A88,'YBHN WH TB'!D:D)</f>
        <v/>
      </c>
      <c r="Q88" s="60">
        <f>-SUMIF('YBHN WH TB'!$T:$T,'WH P&amp;L'!$A88,'YBHN WH TB'!E:E)</f>
        <v/>
      </c>
      <c r="R88" s="60">
        <f>-SUMIF('YBHN WH TB'!$T:$T,'WH P&amp;L'!$A88,'YBHN WH TB'!F:F)</f>
        <v/>
      </c>
      <c r="S88" s="60">
        <f>-SUMIF('YBHN WH TB'!$T:$T,'WH P&amp;L'!$A88,'YBHN WH TB'!G:G)</f>
        <v/>
      </c>
      <c r="T88" s="60">
        <f>-SUMIF('YBHN WH TB'!$T:$T,'WH P&amp;L'!$A88,'YBHN WH TB'!H:H)</f>
        <v/>
      </c>
      <c r="U88" s="60">
        <f>-SUMIF('YBHN WH TB'!$T:$T,'WH P&amp;L'!$A88,'YBHN WH TB'!I:I)</f>
        <v/>
      </c>
      <c r="V88" s="60">
        <f>-SUMIF('YBHN WH TB'!$T:$T,'WH P&amp;L'!$A88,'YBHN WH TB'!J:J)</f>
        <v/>
      </c>
      <c r="W88" s="60">
        <f>-SUMIF('YBHN WH TB'!$T:$T,'WH P&amp;L'!$A88,'YBHN WH TB'!K:K)</f>
        <v/>
      </c>
      <c r="X88" s="60">
        <f>-SUMIF('YBHN WH TB'!$T:$T,'WH P&amp;L'!$A88,'YBHN WH TB'!L:L)</f>
        <v/>
      </c>
      <c r="Y88" s="60">
        <f>-SUMIF('YBHN WH TB'!$T:$T,'WH P&amp;L'!$A88,'YBHN WH TB'!M:M)</f>
        <v/>
      </c>
      <c r="Z88" s="60">
        <f>-SUMIF('YBHN WH TB'!$T:$T,'WH P&amp;L'!$A88,'YBHN WH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48" t="n">
        <v>0</v>
      </c>
      <c r="AJ88" s="148" t="n">
        <v>0</v>
      </c>
      <c r="AK88" s="148" t="n">
        <v>0</v>
      </c>
      <c r="AL88" s="148" t="n">
        <v>0</v>
      </c>
      <c r="AM88" s="148" t="n">
        <v>0</v>
      </c>
      <c r="AN88" s="148" t="n">
        <v>0</v>
      </c>
      <c r="AO88" s="149">
        <f>SUM(AC88:AH88)+SUM(AI88:AN88)</f>
        <v/>
      </c>
      <c r="AP88" s="145">
        <f>IF(AB88&lt;&gt;0,(AO88-AB88)/ABS(AB88),0)</f>
        <v/>
      </c>
    </row>
    <row r="89">
      <c r="A89" s="60" t="inlineStr">
        <is>
          <t>Direct - Childcare Cost</t>
        </is>
      </c>
      <c r="B89" s="18" t="n">
        <v>-1498.03</v>
      </c>
      <c r="C89" s="18" t="n">
        <v>-4143.52</v>
      </c>
      <c r="D89" s="18" t="n">
        <v>-1672.03</v>
      </c>
      <c r="E89" s="18" t="n">
        <v>-863.9100000000001</v>
      </c>
      <c r="F89" s="18" t="n">
        <v>-1359.99</v>
      </c>
      <c r="G89" s="18" t="n">
        <v>-973.41</v>
      </c>
      <c r="H89" s="18" t="n">
        <v>-1125.42</v>
      </c>
      <c r="I89" s="18" t="n">
        <v>-1229.71</v>
      </c>
      <c r="J89" s="18" t="n">
        <v>-1283.3</v>
      </c>
      <c r="K89" s="18" t="n">
        <v>-952.25</v>
      </c>
      <c r="L89" s="18" t="n">
        <v>-992.9399999999999</v>
      </c>
      <c r="M89" s="18" t="n">
        <v>-914.14</v>
      </c>
      <c r="N89" s="8" t="n"/>
      <c r="O89" s="60">
        <f>-SUMIF('YBHN WH TB'!$T:$T,'WH P&amp;L'!$A89,'YBHN WH TB'!C:C)</f>
        <v/>
      </c>
      <c r="P89" s="60">
        <f>-SUMIF('YBHN WH TB'!$T:$T,'WH P&amp;L'!$A89,'YBHN WH TB'!D:D)</f>
        <v/>
      </c>
      <c r="Q89" s="60">
        <f>-SUMIF('YBHN WH TB'!$T:$T,'WH P&amp;L'!$A89,'YBHN WH TB'!E:E)</f>
        <v/>
      </c>
      <c r="R89" s="60">
        <f>-SUMIF('YBHN WH TB'!$T:$T,'WH P&amp;L'!$A89,'YBHN WH TB'!F:F)</f>
        <v/>
      </c>
      <c r="S89" s="60">
        <f>-SUMIF('YBHN WH TB'!$T:$T,'WH P&amp;L'!$A89,'YBHN WH TB'!G:G)</f>
        <v/>
      </c>
      <c r="T89" s="60">
        <f>-SUMIF('YBHN WH TB'!$T:$T,'WH P&amp;L'!$A89,'YBHN WH TB'!H:H)</f>
        <v/>
      </c>
      <c r="U89" s="60">
        <f>-SUMIF('YBHN WH TB'!$T:$T,'WH P&amp;L'!$A89,'YBHN WH TB'!I:I)</f>
        <v/>
      </c>
      <c r="V89" s="60">
        <f>-SUMIF('YBHN WH TB'!$T:$T,'WH P&amp;L'!$A89,'YBHN WH TB'!J:J)</f>
        <v/>
      </c>
      <c r="W89" s="60">
        <f>-SUMIF('YBHN WH TB'!$T:$T,'WH P&amp;L'!$A89,'YBHN WH TB'!K:K)</f>
        <v/>
      </c>
      <c r="X89" s="60">
        <f>-SUMIF('YBHN WH TB'!$T:$T,'WH P&amp;L'!$A89,'YBHN WH TB'!L:L)</f>
        <v/>
      </c>
      <c r="Y89" s="60">
        <f>-SUMIF('YBHN WH TB'!$T:$T,'WH P&amp;L'!$A89,'YBHN WH TB'!M:M)</f>
        <v/>
      </c>
      <c r="Z89" s="60">
        <f>-SUMIF('YBHN WH TB'!$T:$T,'WH P&amp;L'!$A89,'YBHN WH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48" t="n">
        <v>0</v>
      </c>
      <c r="AJ89" s="148" t="n">
        <v>0</v>
      </c>
      <c r="AK89" s="148" t="n">
        <v>0</v>
      </c>
      <c r="AL89" s="148" t="n">
        <v>0</v>
      </c>
      <c r="AM89" s="148" t="n">
        <v>0</v>
      </c>
      <c r="AN89" s="148" t="n">
        <v>0</v>
      </c>
      <c r="AO89" s="149">
        <f>SUM(AC89:AH89)+SUM(AI89:AN89)</f>
        <v/>
      </c>
      <c r="AP89" s="145">
        <f>IF(AB89&lt;&gt;0,(AO89-AB89)/ABS(AB89),0)</f>
        <v/>
      </c>
    </row>
    <row r="90">
      <c r="A90" s="60" t="inlineStr">
        <is>
          <t>Direct - Premises &amp; Admin</t>
        </is>
      </c>
      <c r="B90" s="18" t="n">
        <v>-5754.559999999999</v>
      </c>
      <c r="C90" s="18" t="n">
        <v>-5317.35</v>
      </c>
      <c r="D90" s="18" t="n">
        <v>-6037.919999999999</v>
      </c>
      <c r="E90" s="18" t="n">
        <v>-8868.169999999998</v>
      </c>
      <c r="F90" s="18" t="n">
        <v>-5637.85</v>
      </c>
      <c r="G90" s="18" t="n">
        <v>-3771.77</v>
      </c>
      <c r="H90" s="18" t="n">
        <v>-2372.6</v>
      </c>
      <c r="I90" s="18" t="n">
        <v>-4527.559999999999</v>
      </c>
      <c r="J90" s="18" t="n">
        <v>-1893.24</v>
      </c>
      <c r="K90" s="18" t="n">
        <v>-3810.16</v>
      </c>
      <c r="L90" s="18" t="n">
        <v>-4195.96</v>
      </c>
      <c r="M90" s="18" t="n">
        <v>-4753.41</v>
      </c>
      <c r="N90" s="8" t="n"/>
      <c r="O90" s="60">
        <f>-SUMIF('YBHN WH TB'!$T:$T,'WH P&amp;L'!$A90,'YBHN WH TB'!C:C)</f>
        <v/>
      </c>
      <c r="P90" s="60">
        <f>-SUMIF('YBHN WH TB'!$T:$T,'WH P&amp;L'!$A90,'YBHN WH TB'!D:D)</f>
        <v/>
      </c>
      <c r="Q90" s="60">
        <f>-SUMIF('YBHN WH TB'!$T:$T,'WH P&amp;L'!$A90,'YBHN WH TB'!E:E)</f>
        <v/>
      </c>
      <c r="R90" s="60">
        <f>-SUMIF('YBHN WH TB'!$T:$T,'WH P&amp;L'!$A90,'YBHN WH TB'!F:F)</f>
        <v/>
      </c>
      <c r="S90" s="60">
        <f>-SUMIF('YBHN WH TB'!$T:$T,'WH P&amp;L'!$A90,'YBHN WH TB'!G:G)</f>
        <v/>
      </c>
      <c r="T90" s="60">
        <f>-SUMIF('YBHN WH TB'!$T:$T,'WH P&amp;L'!$A90,'YBHN WH TB'!H:H)</f>
        <v/>
      </c>
      <c r="U90" s="60">
        <f>-SUMIF('YBHN WH TB'!$T:$T,'WH P&amp;L'!$A90,'YBHN WH TB'!I:I)</f>
        <v/>
      </c>
      <c r="V90" s="60">
        <f>-SUMIF('YBHN WH TB'!$T:$T,'WH P&amp;L'!$A90,'YBHN WH TB'!J:J)</f>
        <v/>
      </c>
      <c r="W90" s="60">
        <f>-SUMIF('YBHN WH TB'!$T:$T,'WH P&amp;L'!$A90,'YBHN WH TB'!K:K)</f>
        <v/>
      </c>
      <c r="X90" s="60">
        <f>-SUMIF('YBHN WH TB'!$T:$T,'WH P&amp;L'!$A90,'YBHN WH TB'!L:L)</f>
        <v/>
      </c>
      <c r="Y90" s="60">
        <f>-SUMIF('YBHN WH TB'!$T:$T,'WH P&amp;L'!$A90,'YBHN WH TB'!M:M)</f>
        <v/>
      </c>
      <c r="Z90" s="60">
        <f>-SUMIF('YBHN WH TB'!$T:$T,'WH P&amp;L'!$A90,'YBHN WH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148" t="n">
        <v>0</v>
      </c>
      <c r="AJ90" s="148" t="n">
        <v>0</v>
      </c>
      <c r="AK90" s="148" t="n">
        <v>0</v>
      </c>
      <c r="AL90" s="148" t="n">
        <v>0</v>
      </c>
      <c r="AM90" s="148" t="n">
        <v>0</v>
      </c>
      <c r="AN90" s="148" t="n">
        <v>0</v>
      </c>
      <c r="AO90" s="149">
        <f>SUM(AC90:AH90)+SUM(AI90:AN90)</f>
        <v/>
      </c>
      <c r="AP90" s="145">
        <f>IF(AB90&lt;&gt;0,(AO90-AB90)/ABS(AB90),0)</f>
        <v/>
      </c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-SUMIF('YBHN WH TB'!$T:$T,'WH P&amp;L'!$A91,'YBHN WH TB'!C:C)</f>
        <v/>
      </c>
      <c r="P91" s="60">
        <f>-SUMIF('YBHN WH TB'!$T:$T,'WH P&amp;L'!$A91,'YBHN WH TB'!D:D)</f>
        <v/>
      </c>
      <c r="Q91" s="60">
        <f>-SUMIF('YBHN WH TB'!$T:$T,'WH P&amp;L'!$A91,'YBHN WH TB'!E:E)</f>
        <v/>
      </c>
      <c r="R91" s="60">
        <f>-SUMIF('YBHN WH TB'!$T:$T,'WH P&amp;L'!$A91,'YBHN WH TB'!F:F)</f>
        <v/>
      </c>
      <c r="S91" s="60">
        <f>-SUMIF('YBHN WH TB'!$T:$T,'WH P&amp;L'!$A91,'YBHN WH TB'!G:G)</f>
        <v/>
      </c>
      <c r="T91" s="60">
        <f>-SUMIF('YBHN WH TB'!$T:$T,'WH P&amp;L'!$A91,'YBHN WH TB'!H:H)</f>
        <v/>
      </c>
      <c r="U91" s="60">
        <f>-SUMIF('YBHN WH TB'!$T:$T,'WH P&amp;L'!$A91,'YBHN WH TB'!I:I)</f>
        <v/>
      </c>
      <c r="V91" s="60">
        <f>-SUMIF('YBHN WH TB'!$T:$T,'WH P&amp;L'!$A91,'YBHN WH TB'!J:J)</f>
        <v/>
      </c>
      <c r="W91" s="60">
        <f>-SUMIF('YBHN WH TB'!$T:$T,'WH P&amp;L'!$A91,'YBHN WH TB'!K:K)</f>
        <v/>
      </c>
      <c r="X91" s="60">
        <f>-SUMIF('YBHN WH TB'!$T:$T,'WH P&amp;L'!$A91,'YBHN WH TB'!L:L)</f>
        <v/>
      </c>
      <c r="Y91" s="60">
        <f>-SUMIF('YBHN WH TB'!$T:$T,'WH P&amp;L'!$A91,'YBHN WH TB'!M:M)</f>
        <v/>
      </c>
      <c r="Z91" s="60">
        <f>-SUMIF('YBHN WH TB'!$T:$T,'WH P&amp;L'!$A91,'YBHN WH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48" t="n">
        <v>0</v>
      </c>
      <c r="AJ91" s="148" t="n">
        <v>0</v>
      </c>
      <c r="AK91" s="148" t="n">
        <v>0</v>
      </c>
      <c r="AL91" s="148" t="n">
        <v>0</v>
      </c>
      <c r="AM91" s="148" t="n">
        <v>0</v>
      </c>
      <c r="AN91" s="148" t="n">
        <v>0</v>
      </c>
      <c r="AO91" s="149">
        <f>SUM(AC91:AH91)+SUM(AI91:AN91)</f>
        <v/>
      </c>
      <c r="AP91" s="145">
        <f>IF(AB91&lt;&gt;0,(AO91-AB91)/ABS(AB91),0)</f>
        <v/>
      </c>
    </row>
    <row r="92">
      <c r="A92" s="60" t="inlineStr">
        <is>
          <t>In-Direct - Overheads</t>
        </is>
      </c>
      <c r="B92" s="18" t="n">
        <v>-252.58</v>
      </c>
      <c r="C92" s="18" t="n">
        <v>-785.64</v>
      </c>
      <c r="D92" s="18" t="n">
        <v>-730.3</v>
      </c>
      <c r="E92" s="18" t="n">
        <v>-585.4400000000001</v>
      </c>
      <c r="F92" s="18" t="n">
        <v>-258.77</v>
      </c>
      <c r="G92" s="18" t="n">
        <v>-642.1800000000001</v>
      </c>
      <c r="H92" s="18" t="n">
        <v>-357.46</v>
      </c>
      <c r="I92" s="18" t="n">
        <v>-214.43</v>
      </c>
      <c r="J92" s="18" t="n">
        <v>-203.18</v>
      </c>
      <c r="K92" s="18" t="n">
        <v>-296.99</v>
      </c>
      <c r="L92" s="18" t="n">
        <v>-460.76</v>
      </c>
      <c r="M92" s="18" t="n">
        <v>-216</v>
      </c>
      <c r="N92" s="8" t="n"/>
      <c r="O92" s="60">
        <f>-SUMIF('YBHN WH TB'!$T:$T,'WH P&amp;L'!$A92,'YBHN WH TB'!C:C)</f>
        <v/>
      </c>
      <c r="P92" s="60">
        <f>-SUMIF('YBHN WH TB'!$T:$T,'WH P&amp;L'!$A92,'YBHN WH TB'!D:D)</f>
        <v/>
      </c>
      <c r="Q92" s="60">
        <f>-SUMIF('YBHN WH TB'!$T:$T,'WH P&amp;L'!$A92,'YBHN WH TB'!E:E)</f>
        <v/>
      </c>
      <c r="R92" s="60">
        <f>-SUMIF('YBHN WH TB'!$T:$T,'WH P&amp;L'!$A92,'YBHN WH TB'!F:F)</f>
        <v/>
      </c>
      <c r="S92" s="60">
        <f>-SUMIF('YBHN WH TB'!$T:$T,'WH P&amp;L'!$A92,'YBHN WH TB'!G:G)</f>
        <v/>
      </c>
      <c r="T92" s="60">
        <f>-SUMIF('YBHN WH TB'!$T:$T,'WH P&amp;L'!$A92,'YBHN WH TB'!H:H)</f>
        <v/>
      </c>
      <c r="U92" s="60">
        <f>-SUMIF('YBHN WH TB'!$T:$T,'WH P&amp;L'!$A92,'YBHN WH TB'!I:I)</f>
        <v/>
      </c>
      <c r="V92" s="60">
        <f>-SUMIF('YBHN WH TB'!$T:$T,'WH P&amp;L'!$A92,'YBHN WH TB'!J:J)</f>
        <v/>
      </c>
      <c r="W92" s="60">
        <f>-SUMIF('YBHN WH TB'!$T:$T,'WH P&amp;L'!$A92,'YBHN WH TB'!K:K)</f>
        <v/>
      </c>
      <c r="X92" s="60">
        <f>-SUMIF('YBHN WH TB'!$T:$T,'WH P&amp;L'!$A92,'YBHN WH TB'!L:L)</f>
        <v/>
      </c>
      <c r="Y92" s="60">
        <f>-SUMIF('YBHN WH TB'!$T:$T,'WH P&amp;L'!$A92,'YBHN WH TB'!M:M)</f>
        <v/>
      </c>
      <c r="Z92" s="60">
        <f>-SUMIF('YBHN WH TB'!$T:$T,'WH P&amp;L'!$A92,'YBHN WH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48" t="n">
        <v>0</v>
      </c>
      <c r="AJ92" s="148" t="n">
        <v>0</v>
      </c>
      <c r="AK92" s="148" t="n">
        <v>0</v>
      </c>
      <c r="AL92" s="148" t="n">
        <v>0</v>
      </c>
      <c r="AM92" s="148" t="n">
        <v>0</v>
      </c>
      <c r="AN92" s="148" t="n">
        <v>0</v>
      </c>
      <c r="AO92" s="149">
        <f>SUM(AC92:AH92)+SUM(AI92:AN92)</f>
        <v/>
      </c>
      <c r="AP92" s="145">
        <f>IF(AB92&lt;&gt;0,(AO92-AB92)/ABS(AB92),0)</f>
        <v/>
      </c>
    </row>
    <row r="93" ht="15.75" customHeight="1">
      <c r="A93" s="8" t="n"/>
      <c r="B93" s="67" t="n">
        <v>29880.48</v>
      </c>
      <c r="C93" s="67" t="n">
        <v>20973.27000000001</v>
      </c>
      <c r="D93" s="67" t="n">
        <v>27548.64</v>
      </c>
      <c r="E93" s="67" t="n">
        <v>26914.55</v>
      </c>
      <c r="F93" s="67" t="n">
        <v>20444.26</v>
      </c>
      <c r="G93" s="67" t="n">
        <v>14565.14999999999</v>
      </c>
      <c r="H93" s="67" t="n">
        <v>29796.61</v>
      </c>
      <c r="I93" s="67" t="n">
        <v>3233.809999999999</v>
      </c>
      <c r="J93" s="67" t="n">
        <v>5992.739999999995</v>
      </c>
      <c r="K93" s="67" t="n">
        <v>5999.500000000002</v>
      </c>
      <c r="L93" s="67" t="n">
        <v>2955.130000000001</v>
      </c>
      <c r="M93" s="67" t="n">
        <v>-5883.55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134" t="n">
        <v>0</v>
      </c>
      <c r="AJ93" s="134" t="n">
        <v>0</v>
      </c>
      <c r="AK93" s="134" t="n">
        <v>0</v>
      </c>
      <c r="AL93" s="134" t="n">
        <v>0</v>
      </c>
      <c r="AM93" s="134" t="n">
        <v>0</v>
      </c>
      <c r="AN93" s="134" t="n">
        <v>0</v>
      </c>
      <c r="AO93" s="150">
        <f>SUM(AC93:AH93)+SUM(AI93:AN93)</f>
        <v/>
      </c>
      <c r="AP93" s="145">
        <f>IF(AB93&lt;&gt;0,(AO93-AB93)/ABS(AB93),0)</f>
        <v/>
      </c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16533.34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148" t="n">
        <v>0</v>
      </c>
      <c r="AJ94" s="148" t="n">
        <v>0</v>
      </c>
      <c r="AK94" s="148" t="n">
        <v>0</v>
      </c>
      <c r="AL94" s="148" t="n">
        <v>0</v>
      </c>
      <c r="AM94" s="148" t="n">
        <v>0</v>
      </c>
      <c r="AN94" s="148" t="n">
        <v>0</v>
      </c>
      <c r="AO94" s="149">
        <f>SUM(AC94:AH94)+SUM(AI94:AN94)</f>
        <v/>
      </c>
      <c r="AP94" s="145">
        <f>IF(AB94&lt;&gt;0,(AO94-AB94)/ABS(AB94),0)</f>
        <v/>
      </c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0</v>
      </c>
      <c r="L96" s="18" t="n">
        <v>0</v>
      </c>
      <c r="M96" s="18" t="n">
        <v>-16533.34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48" t="n">
        <v>0</v>
      </c>
      <c r="AJ96" s="148" t="n">
        <v>0</v>
      </c>
      <c r="AK96" s="148" t="n">
        <v>0</v>
      </c>
      <c r="AL96" s="148" t="n">
        <v>0</v>
      </c>
      <c r="AM96" s="148" t="n">
        <v>0</v>
      </c>
      <c r="AN96" s="148" t="n">
        <v>0</v>
      </c>
      <c r="AO96" s="149">
        <f>SUM(AC96:AH96)+SUM(AI96:AN96)</f>
        <v/>
      </c>
      <c r="AP96" s="145">
        <f>IF(AB96&lt;&gt;0,(AO96-AB96)/ABS(AB96),0)</f>
        <v/>
      </c>
    </row>
    <row r="97">
      <c r="A97" s="8" t="n"/>
      <c r="B97" s="18" t="n">
        <v>-29880.47999999999</v>
      </c>
      <c r="C97" s="18" t="n">
        <v>-20973.27</v>
      </c>
      <c r="D97" s="18" t="n">
        <v>-27548.63999999999</v>
      </c>
      <c r="E97" s="18" t="n">
        <v>-26914.55000000001</v>
      </c>
      <c r="F97" s="18" t="n">
        <v>-20444.25999999999</v>
      </c>
      <c r="G97" s="18" t="n">
        <v>-14565.14999999999</v>
      </c>
      <c r="H97" s="18" t="n">
        <v>-29796.61000000001</v>
      </c>
      <c r="I97" s="18" t="n">
        <v>-3233.809999999997</v>
      </c>
      <c r="J97" s="18" t="n">
        <v>-5992.74</v>
      </c>
      <c r="K97" s="18" t="n">
        <v>-5999.499999999998</v>
      </c>
      <c r="L97" s="18" t="n">
        <v>-2955.130000000002</v>
      </c>
      <c r="M97" s="18" t="n">
        <v>-10649.79</v>
      </c>
      <c r="N97" s="8" t="n"/>
      <c r="O97" s="60">
        <f>SUM('YBHN WH TB'!C2:C44)</f>
        <v/>
      </c>
      <c r="P97" s="60">
        <f>SUM('YBHN WH TB'!D2:D44)</f>
        <v/>
      </c>
      <c r="Q97" s="60">
        <f>SUM('YBHN WH TB'!E2:E44)</f>
        <v/>
      </c>
      <c r="R97" s="60">
        <f>SUM('YBHN WH TB'!F2:F44)</f>
        <v/>
      </c>
      <c r="S97" s="60">
        <f>SUM('YBHN WH TB'!G2:G44)</f>
        <v/>
      </c>
      <c r="T97" s="60">
        <f>SUM('YBHN WH TB'!H2:H44)</f>
        <v/>
      </c>
      <c r="U97" s="60">
        <f>SUM('YBHN WH TB'!I2:I44)</f>
        <v/>
      </c>
      <c r="V97" s="60">
        <f>SUM('YBHN WH TB'!J2:J44)</f>
        <v/>
      </c>
      <c r="W97" s="60">
        <f>SUM('YBHN WH TB'!K2:K44)</f>
        <v/>
      </c>
      <c r="X97" s="60">
        <f>SUM('YBHN WH TB'!L2:L44)</f>
        <v/>
      </c>
      <c r="Y97" s="60">
        <f>SUM('YBHN WH TB'!M2:M44)</f>
        <v/>
      </c>
      <c r="Z97" s="60">
        <f>SUM('YBHN WH TB'!N2:N44)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148" t="n">
        <v>0</v>
      </c>
      <c r="AJ97" s="148" t="n">
        <v>0</v>
      </c>
      <c r="AK97" s="148" t="n">
        <v>0</v>
      </c>
      <c r="AL97" s="148" t="n">
        <v>0</v>
      </c>
      <c r="AM97" s="148" t="n">
        <v>0</v>
      </c>
      <c r="AN97" s="148" t="n">
        <v>0</v>
      </c>
      <c r="AO97" s="149">
        <f>SUM(AC97:AH97)+SUM(AI97:AN97)</f>
        <v/>
      </c>
      <c r="AP97" s="145">
        <f>IF(AB97&lt;&gt;0,(AO97-AB97)/ABS(AB97),0)</f>
        <v/>
      </c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13547.64</v>
      </c>
      <c r="C8" s="35" t="n">
        <v>13678.94</v>
      </c>
      <c r="D8" s="35" t="n">
        <v>12493.24</v>
      </c>
      <c r="E8" s="35" t="n">
        <v>13668.68</v>
      </c>
      <c r="F8" s="35" t="n">
        <v>12240.43</v>
      </c>
      <c r="G8" s="35" t="n">
        <v>11294.85</v>
      </c>
      <c r="H8" s="35" t="n">
        <v>13915.66</v>
      </c>
      <c r="I8" s="35" t="n">
        <v>9820.360000000001</v>
      </c>
      <c r="J8" s="35" t="n">
        <v>6134.57</v>
      </c>
      <c r="K8" s="35" t="n">
        <v>6959.25</v>
      </c>
      <c r="L8" s="35" t="n">
        <v>4849.44</v>
      </c>
      <c r="M8" s="35" t="n">
        <v>5437.48</v>
      </c>
      <c r="N8" s="36">
        <f>SUM(B8:M8)</f>
        <v/>
      </c>
      <c r="O8" s="37" t="n">
        <v>3354.85</v>
      </c>
      <c r="P8" s="37" t="n">
        <v>3323.69</v>
      </c>
      <c r="Q8" s="37" t="n">
        <v>6666.78</v>
      </c>
      <c r="R8" s="37" t="n">
        <v>5593.219999999999</v>
      </c>
      <c r="S8" s="37" t="n">
        <v>5717.570000000001</v>
      </c>
      <c r="T8" s="37" t="n">
        <v>5699</v>
      </c>
      <c r="U8" s="37" t="n">
        <v>8330</v>
      </c>
      <c r="V8" s="38" t="n">
        <v>5166</v>
      </c>
      <c r="W8" s="38" t="n">
        <v>3078</v>
      </c>
      <c r="X8" s="38" t="n">
        <v>6342</v>
      </c>
      <c r="Y8" s="38" t="n">
        <v>6001</v>
      </c>
      <c r="Z8" s="38" t="n">
        <v>6888</v>
      </c>
      <c r="AA8" s="36">
        <f>SUM(O8:U8)</f>
        <v/>
      </c>
      <c r="AB8" s="36">
        <f>SUM(O8:Z8)</f>
        <v/>
      </c>
      <c r="AC8" s="38" t="n">
        <v>18243.24</v>
      </c>
      <c r="AD8" s="38" t="n">
        <v>15179.01</v>
      </c>
      <c r="AE8" s="38" t="n">
        <v>21987.99</v>
      </c>
      <c r="AF8" s="38" t="n">
        <v>22298.56</v>
      </c>
      <c r="AG8" s="38" t="n">
        <v>14630.48</v>
      </c>
      <c r="AH8" s="38" t="n">
        <v>16601.21</v>
      </c>
      <c r="AI8" s="117" t="n">
        <v>16601.21</v>
      </c>
      <c r="AJ8" s="118" t="n">
        <v>16601.21</v>
      </c>
      <c r="AK8" s="118" t="n">
        <v>16601.21</v>
      </c>
      <c r="AL8" s="118" t="n">
        <v>16601.21</v>
      </c>
      <c r="AM8" s="119" t="n">
        <v>16601.21</v>
      </c>
      <c r="AN8" s="117" t="n">
        <v>16601.21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6570.19</v>
      </c>
      <c r="C9" s="35" t="n">
        <v>6570.19</v>
      </c>
      <c r="D9" s="35" t="n">
        <v>14078.26</v>
      </c>
      <c r="E9" s="35" t="n">
        <v>6162.6</v>
      </c>
      <c r="F9" s="35" t="n">
        <v>6162.6</v>
      </c>
      <c r="G9" s="35" t="n">
        <v>6162.6</v>
      </c>
      <c r="H9" s="35" t="n">
        <v>10121.39</v>
      </c>
      <c r="I9" s="35" t="n">
        <v>0</v>
      </c>
      <c r="J9" s="35" t="n">
        <v>7065.1</v>
      </c>
      <c r="K9" s="35" t="n">
        <v>7065.1</v>
      </c>
      <c r="L9" s="35" t="n">
        <v>7823.9</v>
      </c>
      <c r="M9" s="35" t="n">
        <v>33221.15</v>
      </c>
      <c r="N9" s="36">
        <f>SUM(B9:M9)</f>
        <v/>
      </c>
      <c r="O9" s="37" t="n">
        <v>10507.32</v>
      </c>
      <c r="P9" s="37" t="n">
        <v>10507.32</v>
      </c>
      <c r="Q9" s="37" t="n">
        <v>-3957.84</v>
      </c>
      <c r="R9" s="37" t="n">
        <v>9029.950000000001</v>
      </c>
      <c r="S9" s="37" t="n">
        <v>9029.950000000001</v>
      </c>
      <c r="T9" s="37" t="n">
        <v>12012</v>
      </c>
      <c r="U9" s="37" t="n">
        <v>6983</v>
      </c>
      <c r="V9" s="38" t="n"/>
      <c r="W9" s="38" t="n">
        <v>10658</v>
      </c>
      <c r="X9" s="38" t="n">
        <v>10683</v>
      </c>
      <c r="Y9" s="38" t="n">
        <v>13438</v>
      </c>
      <c r="Z9" s="38" t="n">
        <v>8848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1110.33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-SUMIF('YBN FH TB'!$R:$R,'FH P&amp;L'!$A10,'YBN FH TB'!C:C)</f>
        <v/>
      </c>
      <c r="P10" s="37">
        <f>-SUMIF('YBN FH TB'!$R:$R,'FH P&amp;L'!$A10,'YBN FH TB'!D:D)</f>
        <v/>
      </c>
      <c r="Q10" s="37">
        <f>-SUMIF('YBN FH TB'!$R:$R,'FH P&amp;L'!$A10,'YBN FH TB'!E:E)</f>
        <v/>
      </c>
      <c r="R10" s="37">
        <f>-SUMIF('YBN FH TB'!$R:$R,'FH P&amp;L'!$A10,'YBN FH TB'!F:F)</f>
        <v/>
      </c>
      <c r="S10" s="37">
        <f>-SUMIF('YBN FH TB'!$R:$R,'FH P&amp;L'!$A10,'YBN FH TB'!G:G)</f>
        <v/>
      </c>
      <c r="T10" s="37">
        <f>-SUMIF('YBN FH TB'!$R:$R,'FH P&amp;L'!$A10,'YBN FH TB'!H:H)</f>
        <v/>
      </c>
      <c r="U10" s="37">
        <f>-SUMIF('YBN FH TB'!$R:$R,'FH P&amp;L'!$A10,'YBN FH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20117.83</v>
      </c>
      <c r="C11" s="42" t="n">
        <v>20249.13</v>
      </c>
      <c r="D11" s="42" t="n">
        <v>26571.5</v>
      </c>
      <c r="E11" s="42" t="n">
        <v>19831.28</v>
      </c>
      <c r="F11" s="42" t="n">
        <v>18403.03</v>
      </c>
      <c r="G11" s="42" t="n">
        <v>17457.45</v>
      </c>
      <c r="H11" s="42" t="n">
        <v>24037.05</v>
      </c>
      <c r="I11" s="42" t="n">
        <v>10930.69</v>
      </c>
      <c r="J11" s="42" t="n">
        <v>13199.67</v>
      </c>
      <c r="K11" s="42" t="n">
        <v>14024.35</v>
      </c>
      <c r="L11" s="42" t="n">
        <v>12673.34</v>
      </c>
      <c r="M11" s="42" t="n">
        <v>38658.63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1">
        <f>SUM(AJ16:AJ18)/AJ11</f>
        <v/>
      </c>
      <c r="AK13" s="131">
        <f>SUM(AK16:AK18)/AK11</f>
        <v/>
      </c>
      <c r="AL13" s="131">
        <f>SUM(AL16:AL18)/AL11</f>
        <v/>
      </c>
      <c r="AM13" s="132">
        <f>SUM(AM16:AM18)/AM11</f>
        <v/>
      </c>
      <c r="AN13" s="130">
        <f>SUM(AN16:AN18)/AN11</f>
        <v/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13853.25</v>
      </c>
      <c r="C16" s="35" t="n">
        <v>13920.39</v>
      </c>
      <c r="D16" s="35" t="n">
        <v>10885.86</v>
      </c>
      <c r="E16" s="35" t="n">
        <v>11734.94</v>
      </c>
      <c r="F16" s="35" t="n">
        <v>11884.27</v>
      </c>
      <c r="G16" s="35" t="n">
        <v>11731.04</v>
      </c>
      <c r="H16" s="35" t="n">
        <v>15058.12</v>
      </c>
      <c r="I16" s="35" t="n">
        <v>12658.92</v>
      </c>
      <c r="J16" s="35" t="n">
        <v>12033.38</v>
      </c>
      <c r="K16" s="35" t="n">
        <v>14221.18</v>
      </c>
      <c r="L16" s="35" t="n">
        <v>14943.61</v>
      </c>
      <c r="M16" s="35" t="n">
        <v>12969.62</v>
      </c>
      <c r="N16" s="36">
        <f>SUM(B16:M16)</f>
        <v/>
      </c>
      <c r="O16" s="37" t="n">
        <v>15250.07</v>
      </c>
      <c r="P16" s="37" t="n">
        <v>14732.04</v>
      </c>
      <c r="Q16" s="37" t="n">
        <v>17344.06</v>
      </c>
      <c r="R16" s="37" t="n">
        <v>15665.42</v>
      </c>
      <c r="S16" s="37" t="n">
        <v>17146.66</v>
      </c>
      <c r="T16" s="37" t="n">
        <v>17450.45</v>
      </c>
      <c r="U16" s="37" t="n">
        <v>16025.41</v>
      </c>
      <c r="V16" s="38" t="n">
        <v>17344.06</v>
      </c>
      <c r="W16" s="38" t="n">
        <v>17344.06</v>
      </c>
      <c r="X16" s="38" t="n">
        <v>17344.06</v>
      </c>
      <c r="Y16" s="38" t="n">
        <v>17344.06</v>
      </c>
      <c r="Z16" s="38" t="n">
        <v>17344.06</v>
      </c>
      <c r="AA16" s="36">
        <f>SUM(O16:U16)</f>
        <v/>
      </c>
      <c r="AB16" s="36">
        <f>SUM(O16:Z16)</f>
        <v/>
      </c>
      <c r="AC16" s="38" t="n">
        <v>17344.06</v>
      </c>
      <c r="AD16" s="38" t="n">
        <v>17344.06</v>
      </c>
      <c r="AE16" s="38" t="n">
        <v>17344.06</v>
      </c>
      <c r="AF16" s="38" t="n">
        <v>17344.06</v>
      </c>
      <c r="AG16" s="38" t="n">
        <v>17344.06</v>
      </c>
      <c r="AH16" s="38" t="n">
        <v>17344.06</v>
      </c>
      <c r="AI16" s="117" t="n">
        <v>17344.06</v>
      </c>
      <c r="AJ16" s="118" t="n">
        <v>17344.06</v>
      </c>
      <c r="AK16" s="118" t="n">
        <v>17344.06</v>
      </c>
      <c r="AL16" s="118" t="n">
        <v>17344.06</v>
      </c>
      <c r="AM16" s="119" t="n">
        <v>17344.06</v>
      </c>
      <c r="AN16" s="117" t="n">
        <v>17344.06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1069.51</v>
      </c>
      <c r="C17" s="35" t="n">
        <v>1065.83</v>
      </c>
      <c r="D17" s="35" t="n">
        <v>730.8099999999999</v>
      </c>
      <c r="E17" s="35" t="n">
        <v>1121.54</v>
      </c>
      <c r="F17" s="35" t="n">
        <v>1145.85</v>
      </c>
      <c r="G17" s="35" t="n">
        <v>1120.74</v>
      </c>
      <c r="H17" s="35" t="n">
        <v>1457.54</v>
      </c>
      <c r="I17" s="35" t="n">
        <v>1187.6</v>
      </c>
      <c r="J17" s="35" t="n">
        <v>1147.14</v>
      </c>
      <c r="K17" s="35" t="n">
        <v>1417.58</v>
      </c>
      <c r="L17" s="35" t="n">
        <v>1470.89</v>
      </c>
      <c r="M17" s="35" t="n">
        <v>1237.76</v>
      </c>
      <c r="N17" s="36">
        <f>SUM(B17:M17)</f>
        <v/>
      </c>
      <c r="O17" s="37" t="n">
        <v>1906.06</v>
      </c>
      <c r="P17" s="37" t="n">
        <v>1552.42</v>
      </c>
      <c r="Q17" s="37" t="n">
        <v>1940.36</v>
      </c>
      <c r="R17" s="37" t="n">
        <v>1758.19</v>
      </c>
      <c r="S17" s="37" t="n">
        <v>1909.14</v>
      </c>
      <c r="T17" s="37" t="n">
        <v>1963.39</v>
      </c>
      <c r="U17" s="37" t="n">
        <v>1752.14</v>
      </c>
      <c r="V17" s="38" t="n">
        <v>1940.36</v>
      </c>
      <c r="W17" s="38" t="n">
        <v>1940.36</v>
      </c>
      <c r="X17" s="38" t="n">
        <v>1940.36</v>
      </c>
      <c r="Y17" s="38" t="n">
        <v>1940.36</v>
      </c>
      <c r="Z17" s="38" t="n">
        <v>1940.36</v>
      </c>
      <c r="AA17" s="36">
        <f>SUM(O17:U17)</f>
        <v/>
      </c>
      <c r="AB17" s="36">
        <f>SUM(O17:Z17)</f>
        <v/>
      </c>
      <c r="AC17" s="38" t="n">
        <v>1940.36</v>
      </c>
      <c r="AD17" s="38" t="n">
        <v>1940.36</v>
      </c>
      <c r="AE17" s="38" t="n">
        <v>1940.36</v>
      </c>
      <c r="AF17" s="38" t="n">
        <v>1940.36</v>
      </c>
      <c r="AG17" s="38" t="n">
        <v>1940.36</v>
      </c>
      <c r="AH17" s="38" t="n">
        <v>1940.36</v>
      </c>
      <c r="AI17" s="117" t="n">
        <v>1940.36</v>
      </c>
      <c r="AJ17" s="118" t="n">
        <v>1940.36</v>
      </c>
      <c r="AK17" s="118" t="n">
        <v>1940.36</v>
      </c>
      <c r="AL17" s="118" t="n">
        <v>1940.36</v>
      </c>
      <c r="AM17" s="119" t="n">
        <v>1940.36</v>
      </c>
      <c r="AN17" s="117" t="n">
        <v>1940.36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237.38</v>
      </c>
      <c r="C18" s="35" t="n">
        <v>236.58</v>
      </c>
      <c r="D18" s="35" t="n">
        <v>156.6</v>
      </c>
      <c r="E18" s="35" t="n">
        <v>179.38</v>
      </c>
      <c r="F18" s="35" t="n">
        <v>216.8</v>
      </c>
      <c r="G18" s="35" t="n">
        <v>211.77</v>
      </c>
      <c r="H18" s="35" t="n">
        <v>228</v>
      </c>
      <c r="I18" s="35" t="n">
        <v>221.31</v>
      </c>
      <c r="J18" s="35" t="n">
        <v>217.06</v>
      </c>
      <c r="K18" s="35" t="n">
        <v>234.2</v>
      </c>
      <c r="L18" s="35" t="n">
        <v>215.9</v>
      </c>
      <c r="M18" s="35" t="n">
        <v>203.98</v>
      </c>
      <c r="N18" s="36">
        <f>SUM(B18:M18)</f>
        <v/>
      </c>
      <c r="O18" s="37" t="n">
        <v>266.3</v>
      </c>
      <c r="P18" s="37" t="n">
        <v>211.64</v>
      </c>
      <c r="Q18" s="37" t="n">
        <v>282.56</v>
      </c>
      <c r="R18" s="37" t="n">
        <v>243.9</v>
      </c>
      <c r="S18" s="37" t="n">
        <v>244.03</v>
      </c>
      <c r="T18" s="37" t="n">
        <v>245.73</v>
      </c>
      <c r="U18" s="37" t="n">
        <v>210.34</v>
      </c>
      <c r="V18" s="38" t="n">
        <v>282.56</v>
      </c>
      <c r="W18" s="38" t="n">
        <v>282.56</v>
      </c>
      <c r="X18" s="38" t="n">
        <v>282.56</v>
      </c>
      <c r="Y18" s="38" t="n">
        <v>282.56</v>
      </c>
      <c r="Z18" s="38" t="n">
        <v>282.56</v>
      </c>
      <c r="AA18" s="36">
        <f>SUM(O18:U18)</f>
        <v/>
      </c>
      <c r="AB18" s="36">
        <f>SUM(O18:Z18)</f>
        <v/>
      </c>
      <c r="AC18" s="38" t="n">
        <v>282.56</v>
      </c>
      <c r="AD18" s="38" t="n">
        <v>282.56</v>
      </c>
      <c r="AE18" s="38" t="n">
        <v>282.56</v>
      </c>
      <c r="AF18" s="38" t="n">
        <v>282.56</v>
      </c>
      <c r="AG18" s="38" t="n">
        <v>282.56</v>
      </c>
      <c r="AH18" s="38" t="n">
        <v>282.56</v>
      </c>
      <c r="AI18" s="117" t="n">
        <v>282.56</v>
      </c>
      <c r="AJ18" s="118" t="n">
        <v>282.56</v>
      </c>
      <c r="AK18" s="118" t="n">
        <v>282.56</v>
      </c>
      <c r="AL18" s="118" t="n">
        <v>282.56</v>
      </c>
      <c r="AM18" s="119" t="n">
        <v>282.56</v>
      </c>
      <c r="AN18" s="117" t="n">
        <v>282.56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97.16</v>
      </c>
      <c r="D19" s="35" t="n">
        <v>74.22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132.9</v>
      </c>
      <c r="K19" s="35" t="n">
        <v>0</v>
      </c>
      <c r="L19" s="35" t="n">
        <v>158.34</v>
      </c>
      <c r="M19" s="35" t="n">
        <v>0</v>
      </c>
      <c r="N19" s="36">
        <f>SUM(B19:M19)</f>
        <v/>
      </c>
      <c r="O19" s="37" t="n">
        <v>0</v>
      </c>
      <c r="P19" s="37" t="n">
        <v>64.56</v>
      </c>
      <c r="Q19" s="37" t="n">
        <v>0</v>
      </c>
      <c r="R19" s="37" t="n">
        <v>0</v>
      </c>
      <c r="S19" s="37" t="n">
        <v>54.48</v>
      </c>
      <c r="T19" s="37" t="n">
        <v>130.08</v>
      </c>
      <c r="U19" s="37" t="n">
        <v>44.16</v>
      </c>
      <c r="V19" s="38" t="n">
        <v>34</v>
      </c>
      <c r="W19" s="38" t="n">
        <v>34</v>
      </c>
      <c r="X19" s="38" t="n">
        <v>34</v>
      </c>
      <c r="Y19" s="38" t="n">
        <v>34</v>
      </c>
      <c r="Z19" s="38" t="n">
        <v>34</v>
      </c>
      <c r="AA19" s="36">
        <f>SUM(O19:U19)</f>
        <v/>
      </c>
      <c r="AB19" s="36">
        <f>SUM(O19:Z19)</f>
        <v/>
      </c>
      <c r="AC19" s="38" t="n">
        <v>34</v>
      </c>
      <c r="AD19" s="38" t="n">
        <v>34</v>
      </c>
      <c r="AE19" s="38" t="n">
        <v>34</v>
      </c>
      <c r="AF19" s="38" t="n">
        <v>34</v>
      </c>
      <c r="AG19" s="38" t="n">
        <v>34</v>
      </c>
      <c r="AH19" s="38" t="n">
        <v>34</v>
      </c>
      <c r="AI19" s="117" t="n">
        <v>34</v>
      </c>
      <c r="AJ19" s="118" t="n">
        <v>34</v>
      </c>
      <c r="AK19" s="118" t="n">
        <v>34</v>
      </c>
      <c r="AL19" s="118" t="n">
        <v>34</v>
      </c>
      <c r="AM19" s="119" t="n">
        <v>34</v>
      </c>
      <c r="AN19" s="117" t="n">
        <v>34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24.98</v>
      </c>
      <c r="C20" s="35" t="n">
        <v>0</v>
      </c>
      <c r="D20" s="35" t="n">
        <v>0</v>
      </c>
      <c r="E20" s="35" t="n">
        <v>72</v>
      </c>
      <c r="F20" s="35" t="n">
        <v>31.2</v>
      </c>
      <c r="G20" s="35" t="n">
        <v>0</v>
      </c>
      <c r="H20" s="35" t="n">
        <v>61.2</v>
      </c>
      <c r="I20" s="35" t="n">
        <v>78</v>
      </c>
      <c r="J20" s="35" t="n">
        <v>37.2</v>
      </c>
      <c r="K20" s="35" t="n">
        <v>114</v>
      </c>
      <c r="L20" s="35" t="n">
        <v>496.9</v>
      </c>
      <c r="M20" s="35" t="n">
        <v>0</v>
      </c>
      <c r="N20" s="36">
        <f>SUM(B20:M20)</f>
        <v/>
      </c>
      <c r="O20" s="37" t="n">
        <v>0</v>
      </c>
      <c r="P20" s="37" t="n">
        <v>78</v>
      </c>
      <c r="Q20" s="37" t="n">
        <v>0</v>
      </c>
      <c r="R20" s="37" t="n">
        <v>78</v>
      </c>
      <c r="S20" s="37" t="n">
        <v>0</v>
      </c>
      <c r="T20" s="37" t="n">
        <v>0</v>
      </c>
      <c r="U20" s="37" t="n">
        <v>0</v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117" t="n">
        <v>50</v>
      </c>
      <c r="AJ20" s="118" t="n">
        <v>50</v>
      </c>
      <c r="AK20" s="118" t="n">
        <v>50</v>
      </c>
      <c r="AL20" s="118" t="n">
        <v>50</v>
      </c>
      <c r="AM20" s="119" t="n">
        <v>50</v>
      </c>
      <c r="AN20" s="117" t="n">
        <v>50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52.64</v>
      </c>
      <c r="C21" s="35" t="n">
        <v>83.47</v>
      </c>
      <c r="D21" s="35" t="n">
        <v>184.8</v>
      </c>
      <c r="E21" s="35" t="n">
        <v>82.88</v>
      </c>
      <c r="F21" s="35" t="n">
        <v>111.1</v>
      </c>
      <c r="G21" s="35" t="n">
        <v>58.14</v>
      </c>
      <c r="H21" s="35" t="n">
        <v>174.11</v>
      </c>
      <c r="I21" s="35" t="n">
        <v>101.97</v>
      </c>
      <c r="J21" s="35" t="n">
        <v>76.61</v>
      </c>
      <c r="K21" s="35" t="n">
        <v>140.2</v>
      </c>
      <c r="L21" s="35" t="n">
        <v>107.45</v>
      </c>
      <c r="M21" s="35" t="n">
        <v>154.31</v>
      </c>
      <c r="N21" s="36">
        <f>SUM(B21:M21)</f>
        <v/>
      </c>
      <c r="O21" s="37" t="n">
        <v>51.24</v>
      </c>
      <c r="P21" s="37" t="n">
        <v>181.27</v>
      </c>
      <c r="Q21" s="37" t="n">
        <v>83.42999999999999</v>
      </c>
      <c r="R21" s="37" t="n">
        <v>49.29</v>
      </c>
      <c r="S21" s="37" t="n">
        <v>61.11</v>
      </c>
      <c r="T21" s="37" t="n">
        <v>64.43000000000001</v>
      </c>
      <c r="U21" s="37" t="n">
        <v>40.25</v>
      </c>
      <c r="V21" s="38" t="n">
        <v>70</v>
      </c>
      <c r="W21" s="38" t="n">
        <v>70</v>
      </c>
      <c r="X21" s="38" t="n">
        <v>70</v>
      </c>
      <c r="Y21" s="38" t="n">
        <v>70</v>
      </c>
      <c r="Z21" s="38" t="n">
        <v>70</v>
      </c>
      <c r="AA21" s="36">
        <f>SUM(O21:U21)</f>
        <v/>
      </c>
      <c r="AB21" s="36">
        <f>SUM(O21:Z21)</f>
        <v/>
      </c>
      <c r="AC21" s="38" t="n">
        <v>70</v>
      </c>
      <c r="AD21" s="38" t="n">
        <v>70</v>
      </c>
      <c r="AE21" s="38" t="n">
        <v>70</v>
      </c>
      <c r="AF21" s="38" t="n">
        <v>70</v>
      </c>
      <c r="AG21" s="38" t="n">
        <v>70</v>
      </c>
      <c r="AH21" s="38" t="n">
        <v>70</v>
      </c>
      <c r="AI21" s="117" t="n">
        <v>70</v>
      </c>
      <c r="AJ21" s="118" t="n">
        <v>70</v>
      </c>
      <c r="AK21" s="118" t="n">
        <v>70</v>
      </c>
      <c r="AL21" s="118" t="n">
        <v>70</v>
      </c>
      <c r="AM21" s="119" t="n">
        <v>70</v>
      </c>
      <c r="AN21" s="117" t="n">
        <v>70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SUMIF('YBN FH TB'!$R:$R,'FH P&amp;L'!$A22,'YBN FH TB'!C:C)</f>
        <v/>
      </c>
      <c r="P22" s="37">
        <f>SUMIF('YBN FH TB'!$R:$R,'FH P&amp;L'!$A22,'YBN FH TB'!D:D)</f>
        <v/>
      </c>
      <c r="Q22" s="37">
        <f>SUMIF('YBN FH TB'!$R:$R,'FH P&amp;L'!$A22,'YBN FH TB'!E:E)</f>
        <v/>
      </c>
      <c r="R22" s="37">
        <f>SUMIF('YBN FH TB'!$R:$R,'FH P&amp;L'!$A22,'YBN FH TB'!F:F)</f>
        <v/>
      </c>
      <c r="S22" s="37">
        <f>SUMIF('YBN FH TB'!$R:$R,'FH P&amp;L'!$A22,'YBN FH TB'!G:G)</f>
        <v/>
      </c>
      <c r="T22" s="37">
        <f>SUMIF('YBN FH TB'!$R:$R,'FH P&amp;L'!$A22,'YBN FH TB'!H:H)</f>
        <v/>
      </c>
      <c r="U22" s="37">
        <f>SUMIF('YBN FH TB'!$R:$R,'FH P&amp;L'!$A22,'YBN FH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15.98</v>
      </c>
      <c r="I23" s="35" t="n">
        <v>0</v>
      </c>
      <c r="J23" s="35" t="n">
        <v>0</v>
      </c>
      <c r="K23" s="35" t="n">
        <v>17.97</v>
      </c>
      <c r="L23" s="35" t="n">
        <v>0</v>
      </c>
      <c r="M23" s="35" t="n">
        <v>0</v>
      </c>
      <c r="N23" s="36">
        <f>SUM(B23:M23)</f>
        <v/>
      </c>
      <c r="O23" s="37" t="n">
        <v>18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8" t="n">
        <v>29</v>
      </c>
      <c r="W23" s="38" t="n">
        <v>29</v>
      </c>
      <c r="X23" s="38" t="n">
        <v>29</v>
      </c>
      <c r="Y23" s="38" t="n">
        <v>29</v>
      </c>
      <c r="Z23" s="38" t="n">
        <v>29</v>
      </c>
      <c r="AA23" s="36">
        <f>SUM(O23:U23)</f>
        <v/>
      </c>
      <c r="AB23" s="36">
        <f>SUM(O23:Z23)</f>
        <v/>
      </c>
      <c r="AC23" s="38" t="n">
        <v>29</v>
      </c>
      <c r="AD23" s="38" t="n">
        <v>29</v>
      </c>
      <c r="AE23" s="38" t="n">
        <v>29</v>
      </c>
      <c r="AF23" s="38" t="n">
        <v>29</v>
      </c>
      <c r="AG23" s="38" t="n">
        <v>29</v>
      </c>
      <c r="AH23" s="38" t="n">
        <v>29</v>
      </c>
      <c r="AI23" s="117" t="n">
        <v>29</v>
      </c>
      <c r="AJ23" s="118" t="n">
        <v>29</v>
      </c>
      <c r="AK23" s="118" t="n">
        <v>29</v>
      </c>
      <c r="AL23" s="118" t="n">
        <v>29</v>
      </c>
      <c r="AM23" s="119" t="n">
        <v>29</v>
      </c>
      <c r="AN23" s="117" t="n">
        <v>29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SUMIF('YBN FH TB'!$R:$R,'FH P&amp;L'!$A24,'YBN FH TB'!C:C)</f>
        <v/>
      </c>
      <c r="P24" s="37">
        <f>SUMIF('YBN FH TB'!$R:$R,'FH P&amp;L'!$A24,'YBN FH TB'!D:D)</f>
        <v/>
      </c>
      <c r="Q24" s="37">
        <f>SUMIF('YBN FH TB'!$R:$R,'FH P&amp;L'!$A24,'YBN FH TB'!E:E)</f>
        <v/>
      </c>
      <c r="R24" s="37">
        <f>SUMIF('YBN FH TB'!$R:$R,'FH P&amp;L'!$A24,'YBN FH TB'!F:F)</f>
        <v/>
      </c>
      <c r="S24" s="37">
        <f>SUMIF('YBN FH TB'!$R:$R,'FH P&amp;L'!$A24,'YBN FH TB'!G:G)</f>
        <v/>
      </c>
      <c r="T24" s="37">
        <f>SUMIF('YBN FH TB'!$R:$R,'FH P&amp;L'!$A24,'YBN FH TB'!H:H)</f>
        <v/>
      </c>
      <c r="U24" s="37">
        <f>SUMIF('YBN FH TB'!$R:$R,'FH P&amp;L'!$A24,'YBN FH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15237.76</v>
      </c>
      <c r="C25" s="42" t="n">
        <v>15403.43</v>
      </c>
      <c r="D25" s="42" t="n">
        <v>12032.29</v>
      </c>
      <c r="E25" s="42" t="n">
        <v>13190.74</v>
      </c>
      <c r="F25" s="42" t="n">
        <v>13389.22</v>
      </c>
      <c r="G25" s="42" t="n">
        <v>13121.69</v>
      </c>
      <c r="H25" s="42" t="n">
        <v>16994.95</v>
      </c>
      <c r="I25" s="42" t="n">
        <v>14247.8</v>
      </c>
      <c r="J25" s="42" t="n">
        <v>13644.29</v>
      </c>
      <c r="K25" s="42" t="n">
        <v>16145.13</v>
      </c>
      <c r="L25" s="42" t="n">
        <v>17393.09</v>
      </c>
      <c r="M25" s="42" t="n">
        <v>14565.67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735.61</v>
      </c>
      <c r="C27" s="35" t="n">
        <v>683.37</v>
      </c>
      <c r="D27" s="35" t="n">
        <v>752.22</v>
      </c>
      <c r="E27" s="35" t="n">
        <v>536.96</v>
      </c>
      <c r="F27" s="35" t="n">
        <v>708.88</v>
      </c>
      <c r="G27" s="35" t="n">
        <v>538.97</v>
      </c>
      <c r="H27" s="35" t="n">
        <v>591.0500000000001</v>
      </c>
      <c r="I27" s="35" t="n">
        <v>562.48</v>
      </c>
      <c r="J27" s="35" t="n">
        <v>397.93</v>
      </c>
      <c r="K27" s="35" t="n">
        <v>604.29</v>
      </c>
      <c r="L27" s="35" t="n">
        <v>540.3200000000001</v>
      </c>
      <c r="M27" s="35" t="n">
        <v>400.26</v>
      </c>
      <c r="N27" s="36">
        <f>SUM(B27:M27)</f>
        <v/>
      </c>
      <c r="O27" s="37" t="n">
        <v>399.77</v>
      </c>
      <c r="P27" s="37" t="n">
        <v>563.37</v>
      </c>
      <c r="Q27" s="37" t="n">
        <v>423.89</v>
      </c>
      <c r="R27" s="37" t="n">
        <v>648.3200000000001</v>
      </c>
      <c r="S27" s="37" t="n">
        <v>441.47</v>
      </c>
      <c r="T27" s="37" t="n">
        <v>489.36</v>
      </c>
      <c r="U27" s="37" t="n">
        <v>290.17</v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9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111.07</v>
      </c>
      <c r="C28" s="35" t="n">
        <v>29.84</v>
      </c>
      <c r="D28" s="35" t="n">
        <v>112.62</v>
      </c>
      <c r="E28" s="35" t="n">
        <v>222.49</v>
      </c>
      <c r="F28" s="35" t="n">
        <v>143.88</v>
      </c>
      <c r="G28" s="35" t="n">
        <v>29.34</v>
      </c>
      <c r="H28" s="35" t="n">
        <v>10.94</v>
      </c>
      <c r="I28" s="35" t="n">
        <v>61.39000000000001</v>
      </c>
      <c r="J28" s="35" t="n">
        <v>0</v>
      </c>
      <c r="K28" s="35" t="n">
        <v>524.92</v>
      </c>
      <c r="L28" s="35" t="n">
        <v>5.57</v>
      </c>
      <c r="M28" s="35" t="n">
        <v>12</v>
      </c>
      <c r="N28" s="36">
        <f>SUM(B28:M28)</f>
        <v/>
      </c>
      <c r="O28" s="37" t="n">
        <v>0</v>
      </c>
      <c r="P28" s="37" t="n">
        <v>3.71</v>
      </c>
      <c r="Q28" s="37" t="n">
        <v>332.8700000000001</v>
      </c>
      <c r="R28" s="37" t="n">
        <v>12</v>
      </c>
      <c r="S28" s="37" t="n">
        <v>16</v>
      </c>
      <c r="T28" s="37" t="n">
        <v>35.11999999999989</v>
      </c>
      <c r="U28" s="37" t="n">
        <v>16.99</v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117" t="n">
        <v>58</v>
      </c>
      <c r="AJ28" s="118" t="n">
        <v>58</v>
      </c>
      <c r="AK28" s="118" t="n">
        <v>58</v>
      </c>
      <c r="AL28" s="118" t="n">
        <v>58</v>
      </c>
      <c r="AM28" s="119" t="n">
        <v>58</v>
      </c>
      <c r="AN28" s="117" t="n">
        <v>58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37.5</v>
      </c>
      <c r="C29" s="35" t="n">
        <v>30.89</v>
      </c>
      <c r="D29" s="35" t="n">
        <v>8.99</v>
      </c>
      <c r="E29" s="35" t="n">
        <v>28.67</v>
      </c>
      <c r="F29" s="35" t="n">
        <v>10.09</v>
      </c>
      <c r="G29" s="35" t="n">
        <v>-40.98</v>
      </c>
      <c r="H29" s="35" t="n">
        <v>35.19</v>
      </c>
      <c r="I29" s="35" t="n">
        <v>25.68</v>
      </c>
      <c r="J29" s="35" t="n">
        <v>43.93</v>
      </c>
      <c r="K29" s="35" t="n">
        <v>24.48</v>
      </c>
      <c r="L29" s="35" t="n">
        <v>110.18</v>
      </c>
      <c r="M29" s="35" t="n">
        <v>15.39</v>
      </c>
      <c r="N29" s="36">
        <f>SUM(B29:M29)</f>
        <v/>
      </c>
      <c r="O29" s="37" t="n">
        <v>0</v>
      </c>
      <c r="P29" s="37" t="n">
        <v>10.97</v>
      </c>
      <c r="Q29" s="37" t="n">
        <v>64.73999999999999</v>
      </c>
      <c r="R29" s="37" t="n">
        <v>82.13</v>
      </c>
      <c r="S29" s="37" t="n">
        <v>5.69</v>
      </c>
      <c r="T29" s="37" t="n">
        <v>35.15</v>
      </c>
      <c r="U29" s="37" t="n">
        <v>4.99</v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9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26.31</v>
      </c>
      <c r="C30" s="35" t="n">
        <v>20.61</v>
      </c>
      <c r="D30" s="35" t="n">
        <v>3.69</v>
      </c>
      <c r="E30" s="35" t="n">
        <v>0</v>
      </c>
      <c r="F30" s="35" t="n">
        <v>16.59</v>
      </c>
      <c r="G30" s="35" t="n">
        <v>13.46</v>
      </c>
      <c r="H30" s="35" t="n">
        <v>25.94</v>
      </c>
      <c r="I30" s="35" t="n">
        <v>27.14</v>
      </c>
      <c r="J30" s="35" t="n">
        <v>20.75</v>
      </c>
      <c r="K30" s="35" t="n">
        <v>24.9</v>
      </c>
      <c r="L30" s="35" t="n">
        <v>0</v>
      </c>
      <c r="M30" s="35" t="n">
        <v>4.99</v>
      </c>
      <c r="N30" s="36">
        <f>SUM(B30:M30)</f>
        <v/>
      </c>
      <c r="O30" s="37" t="n">
        <v>17.99</v>
      </c>
      <c r="P30" s="37" t="n">
        <v>9.91</v>
      </c>
      <c r="Q30" s="37" t="n">
        <v>0</v>
      </c>
      <c r="R30" s="37" t="n">
        <v>5.91</v>
      </c>
      <c r="S30" s="37" t="n">
        <v>69.22</v>
      </c>
      <c r="T30" s="37" t="n">
        <v>6.98</v>
      </c>
      <c r="U30" s="37" t="n">
        <v>0</v>
      </c>
      <c r="V30" s="38" t="n">
        <v>70</v>
      </c>
      <c r="W30" s="38" t="n">
        <v>70</v>
      </c>
      <c r="X30" s="38" t="n">
        <v>70</v>
      </c>
      <c r="Y30" s="38" t="n">
        <v>70</v>
      </c>
      <c r="Z30" s="38" t="n">
        <v>70</v>
      </c>
      <c r="AA30" s="36">
        <f>SUM(O30:U30)</f>
        <v/>
      </c>
      <c r="AB30" s="36">
        <f>SUM(O30:Z30)</f>
        <v/>
      </c>
      <c r="AC30" s="38" t="n">
        <v>70</v>
      </c>
      <c r="AD30" s="38" t="n">
        <v>70</v>
      </c>
      <c r="AE30" s="38" t="n">
        <v>70</v>
      </c>
      <c r="AF30" s="38" t="n">
        <v>70</v>
      </c>
      <c r="AG30" s="38" t="n">
        <v>70</v>
      </c>
      <c r="AH30" s="38" t="n">
        <v>70</v>
      </c>
      <c r="AI30" s="117" t="n">
        <v>70</v>
      </c>
      <c r="AJ30" s="118" t="n">
        <v>70</v>
      </c>
      <c r="AK30" s="118" t="n">
        <v>70</v>
      </c>
      <c r="AL30" s="118" t="n">
        <v>70</v>
      </c>
      <c r="AM30" s="119" t="n">
        <v>70</v>
      </c>
      <c r="AN30" s="117" t="n">
        <v>70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0</v>
      </c>
      <c r="C31" s="35" t="n">
        <v>25.46</v>
      </c>
      <c r="D31" s="35" t="n">
        <v>30.22</v>
      </c>
      <c r="E31" s="35" t="n">
        <v>24.98</v>
      </c>
      <c r="F31" s="35" t="n">
        <v>0</v>
      </c>
      <c r="G31" s="35" t="n">
        <v>30.47</v>
      </c>
      <c r="H31" s="35" t="n">
        <v>34.33</v>
      </c>
      <c r="I31" s="35" t="n">
        <v>0</v>
      </c>
      <c r="J31" s="35" t="n">
        <v>273.99</v>
      </c>
      <c r="K31" s="35" t="n">
        <v>233.99</v>
      </c>
      <c r="L31" s="35" t="n">
        <v>0</v>
      </c>
      <c r="M31" s="35" t="n">
        <v>5.99</v>
      </c>
      <c r="N31" s="36">
        <f>SUM(B31:M31)</f>
        <v/>
      </c>
      <c r="O31" s="37" t="n">
        <v>7.58</v>
      </c>
      <c r="P31" s="37" t="n">
        <v>29.99</v>
      </c>
      <c r="Q31" s="37" t="n">
        <v>95.2</v>
      </c>
      <c r="R31" s="37" t="n">
        <v>373.95</v>
      </c>
      <c r="S31" s="37" t="n">
        <v>0</v>
      </c>
      <c r="T31" s="37" t="n">
        <v>4.99</v>
      </c>
      <c r="U31" s="37" t="n">
        <v>5.81</v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7" t="n">
        <v>50</v>
      </c>
      <c r="AJ31" s="118" t="n">
        <v>50</v>
      </c>
      <c r="AK31" s="118" t="n">
        <v>50</v>
      </c>
      <c r="AL31" s="118" t="n">
        <v>50</v>
      </c>
      <c r="AM31" s="119" t="n">
        <v>50</v>
      </c>
      <c r="AN31" s="117" t="n">
        <v>50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98.23999999999999</v>
      </c>
      <c r="C32" s="35" t="n">
        <v>25.47</v>
      </c>
      <c r="D32" s="35" t="n">
        <v>66.56</v>
      </c>
      <c r="E32" s="35" t="n">
        <v>37.94</v>
      </c>
      <c r="F32" s="35" t="n">
        <v>20.18</v>
      </c>
      <c r="G32" s="35" t="n">
        <v>111.77</v>
      </c>
      <c r="H32" s="35" t="n">
        <v>81.71000000000001</v>
      </c>
      <c r="I32" s="35" t="n">
        <v>36.6</v>
      </c>
      <c r="J32" s="35" t="n">
        <v>31.81</v>
      </c>
      <c r="K32" s="35" t="n">
        <v>48.4</v>
      </c>
      <c r="L32" s="35" t="n">
        <v>30.59</v>
      </c>
      <c r="M32" s="35" t="n">
        <v>87.74000000000001</v>
      </c>
      <c r="N32" s="36">
        <f>SUM(B32:M32)</f>
        <v/>
      </c>
      <c r="O32" s="37" t="n">
        <v>44.37</v>
      </c>
      <c r="P32" s="37" t="n">
        <v>7.95</v>
      </c>
      <c r="Q32" s="37" t="n">
        <v>47.24</v>
      </c>
      <c r="R32" s="37" t="n">
        <v>2.89</v>
      </c>
      <c r="S32" s="37" t="n">
        <v>104.04</v>
      </c>
      <c r="T32" s="37" t="n">
        <v>77.33</v>
      </c>
      <c r="U32" s="37" t="n">
        <v>33.73</v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9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SUMIF('YBN FH TB'!$R:$R,'FH P&amp;L'!$A33,'YBN FH TB'!C:C)</f>
        <v/>
      </c>
      <c r="P33" s="37">
        <f>SUMIF('YBN FH TB'!$R:$R,'FH P&amp;L'!$A33,'YBN FH TB'!D:D)</f>
        <v/>
      </c>
      <c r="Q33" s="37">
        <f>SUMIF('YBN FH TB'!$R:$R,'FH P&amp;L'!$A33,'YBN FH TB'!E:E)</f>
        <v/>
      </c>
      <c r="R33" s="37">
        <f>SUMIF('YBN FH TB'!$R:$R,'FH P&amp;L'!$A33,'YBN FH TB'!F:F)</f>
        <v/>
      </c>
      <c r="S33" s="37">
        <f>SUMIF('YBN FH TB'!$R:$R,'FH P&amp;L'!$A33,'YBN FH TB'!G:G)</f>
        <v/>
      </c>
      <c r="T33" s="37">
        <f>SUMIF('YBN FH TB'!$R:$R,'FH P&amp;L'!$A33,'YBN FH TB'!H:H)</f>
        <v/>
      </c>
      <c r="U33" s="37">
        <f>SUMIF('YBN FH TB'!$R:$R,'FH P&amp;L'!$A33,'YBN FH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117" t="n">
        <v>8</v>
      </c>
      <c r="AJ33" s="118" t="n">
        <v>8</v>
      </c>
      <c r="AK33" s="118" t="n">
        <v>8</v>
      </c>
      <c r="AL33" s="118" t="n">
        <v>8</v>
      </c>
      <c r="AM33" s="119" t="n">
        <v>8</v>
      </c>
      <c r="AN33" s="117" t="n">
        <v>8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1008.73</v>
      </c>
      <c r="C34" s="42" t="n">
        <v>815.6400000000001</v>
      </c>
      <c r="D34" s="42" t="n">
        <v>974.3000000000002</v>
      </c>
      <c r="E34" s="42" t="n">
        <v>851.04</v>
      </c>
      <c r="F34" s="42" t="n">
        <v>899.62</v>
      </c>
      <c r="G34" s="42" t="n">
        <v>683.0300000000001</v>
      </c>
      <c r="H34" s="42" t="n">
        <v>779.1600000000002</v>
      </c>
      <c r="I34" s="42" t="n">
        <v>713.29</v>
      </c>
      <c r="J34" s="42" t="n">
        <v>768.41</v>
      </c>
      <c r="K34" s="42" t="n">
        <v>1460.98</v>
      </c>
      <c r="L34" s="42" t="n">
        <v>686.6600000000001</v>
      </c>
      <c r="M34" s="42" t="n">
        <v>526.37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900</v>
      </c>
      <c r="C36" s="35" t="n">
        <v>900</v>
      </c>
      <c r="D36" s="35" t="n">
        <v>900</v>
      </c>
      <c r="E36" s="35" t="n">
        <v>900</v>
      </c>
      <c r="F36" s="35" t="n">
        <v>900</v>
      </c>
      <c r="G36" s="35" t="n">
        <v>900</v>
      </c>
      <c r="H36" s="35" t="n">
        <v>900</v>
      </c>
      <c r="I36" s="35" t="n">
        <v>900</v>
      </c>
      <c r="J36" s="35" t="n">
        <v>900</v>
      </c>
      <c r="K36" s="35" t="n">
        <v>900</v>
      </c>
      <c r="L36" s="35" t="n">
        <v>900</v>
      </c>
      <c r="M36" s="35" t="n">
        <v>900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665.33</v>
      </c>
      <c r="C37" s="35" t="n">
        <v>665.33</v>
      </c>
      <c r="D37" s="35" t="n">
        <v>665.33</v>
      </c>
      <c r="E37" s="35" t="n">
        <v>665.33</v>
      </c>
      <c r="F37" s="35" t="n">
        <v>665.33</v>
      </c>
      <c r="G37" s="35" t="n">
        <v>665.33</v>
      </c>
      <c r="H37" s="35" t="n">
        <v>665.33</v>
      </c>
      <c r="I37" s="35" t="n">
        <v>665.33</v>
      </c>
      <c r="J37" s="35" t="n">
        <v>665.33</v>
      </c>
      <c r="K37" s="35" t="n">
        <v>665.33</v>
      </c>
      <c r="L37" s="35" t="n">
        <v>665.33</v>
      </c>
      <c r="M37" s="35" t="n">
        <v>665.33</v>
      </c>
      <c r="N37" s="36">
        <f>SUM(B37:M37)</f>
        <v/>
      </c>
      <c r="O37" s="37" t="n">
        <v>665.34</v>
      </c>
      <c r="P37" s="37" t="n">
        <v>665.34</v>
      </c>
      <c r="Q37" s="37" t="n">
        <v>665.34</v>
      </c>
      <c r="R37" s="37" t="n">
        <v>765.13</v>
      </c>
      <c r="S37" s="37" t="n">
        <v>765.13</v>
      </c>
      <c r="T37" s="37" t="n">
        <v>765.13</v>
      </c>
      <c r="U37" s="37" t="n">
        <v>765.13</v>
      </c>
      <c r="V37" s="38" t="n">
        <v>765</v>
      </c>
      <c r="W37" s="38" t="n">
        <v>765</v>
      </c>
      <c r="X37" s="38" t="n">
        <v>765</v>
      </c>
      <c r="Y37" s="38" t="n">
        <v>765</v>
      </c>
      <c r="Z37" s="38" t="n">
        <v>765</v>
      </c>
      <c r="AA37" s="36">
        <f>SUM(O37:U37)</f>
        <v/>
      </c>
      <c r="AB37" s="36">
        <f>SUM(O37:Z37)</f>
        <v/>
      </c>
      <c r="AC37" s="38" t="n">
        <v>765</v>
      </c>
      <c r="AD37" s="38" t="n">
        <v>765</v>
      </c>
      <c r="AE37" s="38" t="n">
        <v>765</v>
      </c>
      <c r="AF37" s="38" t="n">
        <v>765</v>
      </c>
      <c r="AG37" s="38" t="n">
        <v>765</v>
      </c>
      <c r="AH37" s="38" t="n">
        <v>765</v>
      </c>
      <c r="AI37" s="117" t="n">
        <v>765</v>
      </c>
      <c r="AJ37" s="118" t="n">
        <v>765</v>
      </c>
      <c r="AK37" s="118" t="n">
        <v>765</v>
      </c>
      <c r="AL37" s="118" t="n">
        <v>765</v>
      </c>
      <c r="AM37" s="119" t="n">
        <v>765</v>
      </c>
      <c r="AN37" s="117" t="n">
        <v>765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1473.89</v>
      </c>
      <c r="C38" s="35" t="n">
        <v>1366.4</v>
      </c>
      <c r="D38" s="35" t="n">
        <v>2603.3</v>
      </c>
      <c r="E38" s="35" t="n">
        <v>1870.5</v>
      </c>
      <c r="F38" s="35" t="n">
        <v>1063.68</v>
      </c>
      <c r="G38" s="35" t="n">
        <v>1396.75</v>
      </c>
      <c r="H38" s="35" t="n">
        <v>1107.36</v>
      </c>
      <c r="I38" s="35" t="n">
        <v>1181</v>
      </c>
      <c r="J38" s="35" t="n">
        <v>-275.1799999999999</v>
      </c>
      <c r="K38" s="35" t="n">
        <v>839.92</v>
      </c>
      <c r="L38" s="35" t="n">
        <v>1036.6</v>
      </c>
      <c r="M38" s="35" t="n">
        <v>2199.25</v>
      </c>
      <c r="N38" s="36">
        <f>SUM(B38:M38)</f>
        <v/>
      </c>
      <c r="O38" s="37" t="n">
        <v>1618.32</v>
      </c>
      <c r="P38" s="37" t="n">
        <v>1670.36</v>
      </c>
      <c r="Q38" s="37" t="n">
        <v>1621.91</v>
      </c>
      <c r="R38" s="37" t="n">
        <v>1425.43</v>
      </c>
      <c r="S38" s="37" t="n">
        <v>1194.09</v>
      </c>
      <c r="T38" s="37" t="n">
        <v>332.99</v>
      </c>
      <c r="U38" s="37" t="n">
        <v>1554.36</v>
      </c>
      <c r="V38" s="38" t="n">
        <v>1340</v>
      </c>
      <c r="W38" s="38" t="n">
        <v>1340</v>
      </c>
      <c r="X38" s="38" t="n">
        <v>1340</v>
      </c>
      <c r="Y38" s="38" t="n">
        <v>1340</v>
      </c>
      <c r="Z38" s="38" t="n">
        <v>1340</v>
      </c>
      <c r="AA38" s="36">
        <f>SUM(O38:U38)</f>
        <v/>
      </c>
      <c r="AB38" s="36">
        <f>SUM(O38:Z38)</f>
        <v/>
      </c>
      <c r="AC38" s="38" t="n">
        <v>1340</v>
      </c>
      <c r="AD38" s="38" t="n">
        <v>1340</v>
      </c>
      <c r="AE38" s="38" t="n">
        <v>1340</v>
      </c>
      <c r="AF38" s="38" t="n">
        <v>1340</v>
      </c>
      <c r="AG38" s="38" t="n">
        <v>1340</v>
      </c>
      <c r="AH38" s="38" t="n">
        <v>1340</v>
      </c>
      <c r="AI38" s="117" t="n">
        <v>1340</v>
      </c>
      <c r="AJ38" s="118" t="n">
        <v>1340</v>
      </c>
      <c r="AK38" s="118" t="n">
        <v>1340</v>
      </c>
      <c r="AL38" s="118" t="n">
        <v>1340</v>
      </c>
      <c r="AM38" s="119" t="n">
        <v>1340</v>
      </c>
      <c r="AN38" s="117" t="n">
        <v>1340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190.89</v>
      </c>
      <c r="C39" s="35" t="n">
        <v>334.56</v>
      </c>
      <c r="D39" s="35" t="n">
        <v>31.18</v>
      </c>
      <c r="E39" s="35" t="n">
        <v>140.03</v>
      </c>
      <c r="F39" s="35" t="n">
        <v>268.7</v>
      </c>
      <c r="G39" s="35" t="n">
        <v>6.98</v>
      </c>
      <c r="H39" s="35" t="n">
        <v>375.45</v>
      </c>
      <c r="I39" s="35" t="n">
        <v>68.62</v>
      </c>
      <c r="J39" s="35" t="n">
        <v>190.13</v>
      </c>
      <c r="K39" s="35" t="n">
        <v>37.19</v>
      </c>
      <c r="L39" s="35" t="n">
        <v>367.46</v>
      </c>
      <c r="M39" s="35" t="n">
        <v>121.98</v>
      </c>
      <c r="N39" s="36">
        <f>SUM(B39:M39)</f>
        <v/>
      </c>
      <c r="O39" s="37" t="n">
        <v>0</v>
      </c>
      <c r="P39" s="37" t="n">
        <v>143.11</v>
      </c>
      <c r="Q39" s="37" t="n">
        <v>5024.98</v>
      </c>
      <c r="R39" s="37" t="n">
        <v>1405.36</v>
      </c>
      <c r="S39" s="37" t="n">
        <v>382.9999999999999</v>
      </c>
      <c r="T39" s="37" t="n">
        <v>17.57</v>
      </c>
      <c r="U39" s="37" t="n">
        <v>108</v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190.06</v>
      </c>
      <c r="C40" s="35" t="n">
        <v>202.06</v>
      </c>
      <c r="D40" s="35" t="n">
        <v>55.16999999999999</v>
      </c>
      <c r="E40" s="35" t="n">
        <v>160.01</v>
      </c>
      <c r="F40" s="35" t="n">
        <v>83.73999999999999</v>
      </c>
      <c r="G40" s="35" t="n">
        <v>65.2</v>
      </c>
      <c r="H40" s="35" t="n">
        <v>159.27</v>
      </c>
      <c r="I40" s="35" t="n">
        <v>99.89</v>
      </c>
      <c r="J40" s="35" t="n">
        <v>134.23</v>
      </c>
      <c r="K40" s="35" t="n">
        <v>129.5</v>
      </c>
      <c r="L40" s="35" t="n">
        <v>136.31</v>
      </c>
      <c r="M40" s="35" t="n">
        <v>5.71</v>
      </c>
      <c r="N40" s="36">
        <f>SUM(B40:M40)</f>
        <v/>
      </c>
      <c r="O40" s="37" t="n">
        <v>112.87</v>
      </c>
      <c r="P40" s="37" t="n">
        <v>33</v>
      </c>
      <c r="Q40" s="37" t="n">
        <v>77.39</v>
      </c>
      <c r="R40" s="37" t="n">
        <v>0</v>
      </c>
      <c r="S40" s="37" t="n">
        <v>194.26</v>
      </c>
      <c r="T40" s="37" t="n">
        <v>124.22</v>
      </c>
      <c r="U40" s="37" t="n">
        <v>0</v>
      </c>
      <c r="V40" s="38" t="n">
        <v>128</v>
      </c>
      <c r="W40" s="38" t="n">
        <v>128</v>
      </c>
      <c r="X40" s="38" t="n">
        <v>128</v>
      </c>
      <c r="Y40" s="38" t="n">
        <v>128</v>
      </c>
      <c r="Z40" s="38" t="n">
        <v>128</v>
      </c>
      <c r="AA40" s="36">
        <f>SUM(O40:U40)</f>
        <v/>
      </c>
      <c r="AB40" s="36">
        <f>SUM(O40:Z40)</f>
        <v/>
      </c>
      <c r="AC40" s="38" t="n">
        <v>128</v>
      </c>
      <c r="AD40" s="38" t="n">
        <v>128</v>
      </c>
      <c r="AE40" s="38" t="n">
        <v>128</v>
      </c>
      <c r="AF40" s="38" t="n">
        <v>128</v>
      </c>
      <c r="AG40" s="38" t="n">
        <v>128</v>
      </c>
      <c r="AH40" s="38" t="n">
        <v>128</v>
      </c>
      <c r="AI40" s="117" t="n">
        <v>128</v>
      </c>
      <c r="AJ40" s="118" t="n">
        <v>128</v>
      </c>
      <c r="AK40" s="118" t="n">
        <v>128</v>
      </c>
      <c r="AL40" s="118" t="n">
        <v>128</v>
      </c>
      <c r="AM40" s="119" t="n">
        <v>128</v>
      </c>
      <c r="AN40" s="117" t="n">
        <v>128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370.63</v>
      </c>
      <c r="C41" s="35" t="n">
        <v>434.89</v>
      </c>
      <c r="D41" s="35" t="n">
        <v>421.63</v>
      </c>
      <c r="E41" s="35" t="n">
        <v>380.28</v>
      </c>
      <c r="F41" s="35" t="n">
        <v>383.48</v>
      </c>
      <c r="G41" s="35" t="n">
        <v>436.89</v>
      </c>
      <c r="H41" s="35" t="n">
        <v>383.48</v>
      </c>
      <c r="I41" s="35" t="n">
        <v>491.1800000000001</v>
      </c>
      <c r="J41" s="35" t="n">
        <v>436.89</v>
      </c>
      <c r="K41" s="35" t="n">
        <v>392.44</v>
      </c>
      <c r="L41" s="35" t="n">
        <v>399.43</v>
      </c>
      <c r="M41" s="35" t="n">
        <v>470.88</v>
      </c>
      <c r="N41" s="36">
        <f>SUM(B41:M41)</f>
        <v/>
      </c>
      <c r="O41" s="37" t="n">
        <v>399.42</v>
      </c>
      <c r="P41" s="37" t="n">
        <v>408.91</v>
      </c>
      <c r="Q41" s="37" t="n">
        <v>452.83</v>
      </c>
      <c r="R41" s="37" t="n">
        <v>507.47</v>
      </c>
      <c r="S41" s="37" t="n">
        <v>426.43</v>
      </c>
      <c r="T41" s="37" t="n">
        <v>317.77</v>
      </c>
      <c r="U41" s="37" t="n">
        <v>399.42</v>
      </c>
      <c r="V41" s="38" t="n">
        <v>414</v>
      </c>
      <c r="W41" s="38" t="n">
        <v>414</v>
      </c>
      <c r="X41" s="38" t="n">
        <v>414</v>
      </c>
      <c r="Y41" s="38" t="n">
        <v>414</v>
      </c>
      <c r="Z41" s="38" t="n">
        <v>414</v>
      </c>
      <c r="AA41" s="36">
        <f>SUM(O41:U41)</f>
        <v/>
      </c>
      <c r="AB41" s="36">
        <f>SUM(O41:Z41)</f>
        <v/>
      </c>
      <c r="AC41" s="38" t="n">
        <v>414</v>
      </c>
      <c r="AD41" s="38" t="n">
        <v>414</v>
      </c>
      <c r="AE41" s="38" t="n">
        <v>414</v>
      </c>
      <c r="AF41" s="38" t="n">
        <v>414</v>
      </c>
      <c r="AG41" s="38" t="n">
        <v>414</v>
      </c>
      <c r="AH41" s="38" t="n">
        <v>414</v>
      </c>
      <c r="AI41" s="117" t="n">
        <v>414</v>
      </c>
      <c r="AJ41" s="118" t="n">
        <v>414</v>
      </c>
      <c r="AK41" s="118" t="n">
        <v>414</v>
      </c>
      <c r="AL41" s="118" t="n">
        <v>414</v>
      </c>
      <c r="AM41" s="119" t="n">
        <v>414</v>
      </c>
      <c r="AN41" s="117" t="n">
        <v>414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48.91</v>
      </c>
      <c r="C42" s="35" t="n">
        <v>26.65</v>
      </c>
      <c r="D42" s="35" t="n">
        <v>48.28</v>
      </c>
      <c r="E42" s="35" t="n">
        <v>37.56</v>
      </c>
      <c r="F42" s="35" t="n">
        <v>22.48</v>
      </c>
      <c r="G42" s="35" t="n">
        <v>32.72</v>
      </c>
      <c r="H42" s="35" t="n">
        <v>59.91</v>
      </c>
      <c r="I42" s="35" t="n">
        <v>27.53</v>
      </c>
      <c r="J42" s="35" t="n">
        <v>29.07</v>
      </c>
      <c r="K42" s="35" t="n">
        <v>54.09999999999999</v>
      </c>
      <c r="L42" s="35" t="n">
        <v>30.14</v>
      </c>
      <c r="M42" s="35" t="n">
        <v>11.04</v>
      </c>
      <c r="N42" s="36">
        <f>SUM(B42:M42)</f>
        <v/>
      </c>
      <c r="O42" s="37" t="n">
        <v>35.03</v>
      </c>
      <c r="P42" s="37" t="n">
        <v>36.49</v>
      </c>
      <c r="Q42" s="37" t="n">
        <v>0</v>
      </c>
      <c r="R42" s="37" t="n">
        <v>25.46</v>
      </c>
      <c r="S42" s="37" t="n">
        <v>28.47</v>
      </c>
      <c r="T42" s="37" t="n">
        <v>37.06999999999999</v>
      </c>
      <c r="U42" s="37" t="n">
        <v>13.88</v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25</v>
      </c>
      <c r="P43" s="37" t="n">
        <v>0</v>
      </c>
      <c r="Q43" s="37" t="n">
        <v>783.74</v>
      </c>
      <c r="R43" s="37" t="n">
        <v>1037</v>
      </c>
      <c r="S43" s="37" t="n">
        <v>237</v>
      </c>
      <c r="T43" s="37" t="n">
        <v>23</v>
      </c>
      <c r="U43" s="37" t="n">
        <v>56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SUMIF('YBN FH TB'!$R:$R,'FH P&amp;L'!$A44,'YBN FH TB'!C:C)</f>
        <v/>
      </c>
      <c r="P44" s="37">
        <f>SUMIF('YBN FH TB'!$R:$R,'FH P&amp;L'!$A44,'YBN FH TB'!D:D)</f>
        <v/>
      </c>
      <c r="Q44" s="37">
        <f>SUMIF('YBN FH TB'!$R:$R,'FH P&amp;L'!$A44,'YBN FH TB'!E:E)</f>
        <v/>
      </c>
      <c r="R44" s="37">
        <f>SUMIF('YBN FH TB'!$R:$R,'FH P&amp;L'!$A44,'YBN FH TB'!F:F)</f>
        <v/>
      </c>
      <c r="S44" s="37">
        <f>SUMIF('YBN FH TB'!$R:$R,'FH P&amp;L'!$A44,'YBN FH TB'!G:G)</f>
        <v/>
      </c>
      <c r="T44" s="37">
        <f>SUMIF('YBN FH TB'!$R:$R,'FH P&amp;L'!$A44,'YBN FH TB'!H:H)</f>
        <v/>
      </c>
      <c r="U44" s="37">
        <f>SUMIF('YBN FH TB'!$R:$R,'FH P&amp;L'!$A44,'YBN FH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137.5</v>
      </c>
      <c r="L45" s="35" t="n">
        <v>137.5</v>
      </c>
      <c r="M45" s="35" t="n">
        <v>137.5</v>
      </c>
      <c r="N45" s="36">
        <f>SUM(B45:M45)</f>
        <v/>
      </c>
      <c r="O45" s="37" t="n">
        <v>137.5</v>
      </c>
      <c r="P45" s="37" t="n">
        <v>137.5</v>
      </c>
      <c r="Q45" s="37" t="n">
        <v>137.5</v>
      </c>
      <c r="R45" s="37" t="n">
        <v>137.5</v>
      </c>
      <c r="S45" s="37" t="n">
        <v>137.5</v>
      </c>
      <c r="T45" s="37" t="n">
        <v>137.5</v>
      </c>
      <c r="U45" s="37" t="n">
        <v>137.5</v>
      </c>
      <c r="V45" s="38" t="n">
        <v>138</v>
      </c>
      <c r="W45" s="38" t="n">
        <v>138</v>
      </c>
      <c r="X45" s="38" t="n">
        <v>138</v>
      </c>
      <c r="Y45" s="38" t="n">
        <v>138</v>
      </c>
      <c r="Z45" s="38" t="n">
        <v>138</v>
      </c>
      <c r="AA45" s="36">
        <f>SUM(O45:U45)</f>
        <v/>
      </c>
      <c r="AB45" s="36">
        <f>SUM(O45:Z45)</f>
        <v/>
      </c>
      <c r="AC45" s="38" t="n">
        <v>138</v>
      </c>
      <c r="AD45" s="38" t="n">
        <v>138</v>
      </c>
      <c r="AE45" s="38" t="n">
        <v>138</v>
      </c>
      <c r="AF45" s="38" t="n">
        <v>138</v>
      </c>
      <c r="AG45" s="38" t="n">
        <v>138</v>
      </c>
      <c r="AH45" s="38" t="n">
        <v>138</v>
      </c>
      <c r="AI45" s="117" t="n">
        <v>138</v>
      </c>
      <c r="AJ45" s="118" t="n">
        <v>138</v>
      </c>
      <c r="AK45" s="118" t="n">
        <v>138</v>
      </c>
      <c r="AL45" s="118" t="n">
        <v>138</v>
      </c>
      <c r="AM45" s="119" t="n">
        <v>138</v>
      </c>
      <c r="AN45" s="117" t="n">
        <v>138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SUMIF('YBN FH TB'!$R:$R,'FH P&amp;L'!$A46,'YBN FH TB'!C:C)</f>
        <v/>
      </c>
      <c r="P46" s="37">
        <f>SUMIF('YBN FH TB'!$R:$R,'FH P&amp;L'!$A46,'YBN FH TB'!D:D)</f>
        <v/>
      </c>
      <c r="Q46" s="37">
        <f>SUMIF('YBN FH TB'!$R:$R,'FH P&amp;L'!$A46,'YBN FH TB'!E:E)</f>
        <v/>
      </c>
      <c r="R46" s="37">
        <f>SUMIF('YBN FH TB'!$R:$R,'FH P&amp;L'!$A46,'YBN FH TB'!F:F)</f>
        <v/>
      </c>
      <c r="S46" s="37">
        <f>SUMIF('YBN FH TB'!$R:$R,'FH P&amp;L'!$A46,'YBN FH TB'!G:G)</f>
        <v/>
      </c>
      <c r="T46" s="37">
        <f>SUMIF('YBN FH TB'!$R:$R,'FH P&amp;L'!$A46,'YBN FH TB'!H:H)</f>
        <v/>
      </c>
      <c r="U46" s="37">
        <f>SUMIF('YBN FH TB'!$R:$R,'FH P&amp;L'!$A46,'YBN FH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3839.71</v>
      </c>
      <c r="C47" s="42" t="n">
        <v>3929.89</v>
      </c>
      <c r="D47" s="42" t="n">
        <v>4724.89</v>
      </c>
      <c r="E47" s="42" t="n">
        <v>4153.71</v>
      </c>
      <c r="F47" s="42" t="n">
        <v>3387.41</v>
      </c>
      <c r="G47" s="42" t="n">
        <v>3503.869999999999</v>
      </c>
      <c r="H47" s="42" t="n">
        <v>3650.799999999999</v>
      </c>
      <c r="I47" s="42" t="n">
        <v>3433.55</v>
      </c>
      <c r="J47" s="42" t="n">
        <v>2080.47</v>
      </c>
      <c r="K47" s="42" t="n">
        <v>3155.98</v>
      </c>
      <c r="L47" s="42" t="n">
        <v>3672.77</v>
      </c>
      <c r="M47" s="42" t="n">
        <v>4511.69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40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20086.2</v>
      </c>
      <c r="C48" s="23" t="n">
        <v>20148.96</v>
      </c>
      <c r="D48" s="23" t="n">
        <v>17731.48</v>
      </c>
      <c r="E48" s="23" t="n">
        <v>18195.49</v>
      </c>
      <c r="F48" s="23" t="n">
        <v>17676.25</v>
      </c>
      <c r="G48" s="23" t="n">
        <v>17308.59</v>
      </c>
      <c r="H48" s="23" t="n">
        <v>21424.91</v>
      </c>
      <c r="I48" s="23" t="n">
        <v>18394.64</v>
      </c>
      <c r="J48" s="23" t="n">
        <v>16493.17</v>
      </c>
      <c r="K48" s="23" t="n">
        <v>20762.09</v>
      </c>
      <c r="L48" s="23" t="n">
        <v>21752.52</v>
      </c>
      <c r="M48" s="23" t="n">
        <v>19603.73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2">
        <f>AI25+AI34+AI47</f>
        <v/>
      </c>
      <c r="AJ48" s="152">
        <f>AJ25+AJ34+AJ47</f>
        <v/>
      </c>
      <c r="AK48" s="152">
        <f>AK25+AK34+AK47</f>
        <v/>
      </c>
      <c r="AL48" s="152">
        <f>AL25+AL34+AL47</f>
        <v/>
      </c>
      <c r="AM48" s="152">
        <f>AM25+AM34+AM47</f>
        <v/>
      </c>
      <c r="AN48" s="122">
        <f>AN25+AN34+AN47</f>
        <v/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31.63000000000102</v>
      </c>
      <c r="C50" s="55" t="n">
        <v>100.1700000000019</v>
      </c>
      <c r="D50" s="55" t="n">
        <v>8840.02</v>
      </c>
      <c r="E50" s="55" t="n">
        <v>1635.790000000001</v>
      </c>
      <c r="F50" s="55" t="n">
        <v>726.7799999999988</v>
      </c>
      <c r="G50" s="55" t="n">
        <v>148.8600000000006</v>
      </c>
      <c r="H50" s="55" t="n">
        <v>2612.139999999999</v>
      </c>
      <c r="I50" s="55" t="n">
        <v>-7463.949999999999</v>
      </c>
      <c r="J50" s="55" t="n">
        <v>-3293.499999999998</v>
      </c>
      <c r="K50" s="55" t="n">
        <v>-6737.74</v>
      </c>
      <c r="L50" s="55" t="n">
        <v>-9079.180000000004</v>
      </c>
      <c r="M50" s="55" t="n">
        <v>19054.90000000001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SUMIF('YBN FH TB'!$R:$R,'FH P&amp;L'!$A53,'YBN FH TB'!C:C)</f>
        <v/>
      </c>
      <c r="P53" s="37">
        <f>SUMIF('YBN FH TB'!$R:$R,'FH P&amp;L'!$A53,'YBN FH TB'!D:D)</f>
        <v/>
      </c>
      <c r="Q53" s="37">
        <f>SUMIF('YBN FH TB'!$R:$R,'FH P&amp;L'!$A53,'YBN FH TB'!E:E)</f>
        <v/>
      </c>
      <c r="R53" s="37">
        <f>SUMIF('YBN FH TB'!$R:$R,'FH P&amp;L'!$A53,'YBN FH TB'!F:F)</f>
        <v/>
      </c>
      <c r="S53" s="37">
        <f>SUMIF('YBN FH TB'!$R:$R,'FH P&amp;L'!$A53,'YBN FH TB'!G:G)</f>
        <v/>
      </c>
      <c r="T53" s="37">
        <f>SUMIF('YBN FH TB'!$R:$R,'FH P&amp;L'!$A53,'YBN FH TB'!H:H)</f>
        <v/>
      </c>
      <c r="U53" s="37">
        <f>SUMIF('YBN FH TB'!$R:$R,'FH P&amp;L'!$A53,'YBN FH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SUMIF('YBN FH TB'!$R:$R,'FH P&amp;L'!$A54,'YBN FH TB'!C:C)</f>
        <v/>
      </c>
      <c r="P54" s="37">
        <f>SUMIF('YBN FH TB'!$R:$R,'FH P&amp;L'!$A54,'YBN FH TB'!D:D)</f>
        <v/>
      </c>
      <c r="Q54" s="37">
        <f>SUMIF('YBN FH TB'!$R:$R,'FH P&amp;L'!$A54,'YBN FH TB'!E:E)</f>
        <v/>
      </c>
      <c r="R54" s="37">
        <f>SUMIF('YBN FH TB'!$R:$R,'FH P&amp;L'!$A54,'YBN FH TB'!F:F)</f>
        <v/>
      </c>
      <c r="S54" s="37">
        <f>SUMIF('YBN FH TB'!$R:$R,'FH P&amp;L'!$A54,'YBN FH TB'!G:G)</f>
        <v/>
      </c>
      <c r="T54" s="37">
        <f>SUMIF('YBN FH TB'!$R:$R,'FH P&amp;L'!$A54,'YBN FH TB'!H:H)</f>
        <v/>
      </c>
      <c r="U54" s="37">
        <f>SUMIF('YBN FH TB'!$R:$R,'FH P&amp;L'!$A54,'YBN FH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SUMIF('YBN FH TB'!$R:$R,'FH P&amp;L'!$A55,'YBN FH TB'!C:C)</f>
        <v/>
      </c>
      <c r="P55" s="37">
        <f>SUMIF('YBN FH TB'!$R:$R,'FH P&amp;L'!$A55,'YBN FH TB'!D:D)</f>
        <v/>
      </c>
      <c r="Q55" s="37">
        <f>SUMIF('YBN FH TB'!$R:$R,'FH P&amp;L'!$A55,'YBN FH TB'!E:E)</f>
        <v/>
      </c>
      <c r="R55" s="37">
        <f>SUMIF('YBN FH TB'!$R:$R,'FH P&amp;L'!$A55,'YBN FH TB'!F:F)</f>
        <v/>
      </c>
      <c r="S55" s="37">
        <f>SUMIF('YBN FH TB'!$R:$R,'FH P&amp;L'!$A55,'YBN FH TB'!G:G)</f>
        <v/>
      </c>
      <c r="T55" s="37">
        <f>SUMIF('YBN FH TB'!$R:$R,'FH P&amp;L'!$A55,'YBN FH TB'!H:H)</f>
        <v/>
      </c>
      <c r="U55" s="37">
        <f>SUMIF('YBN FH TB'!$R:$R,'FH P&amp;L'!$A55,'YBN FH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SUMIF('YBN FH TB'!$R:$R,'FH P&amp;L'!$A56,'YBN FH TB'!C:C)</f>
        <v/>
      </c>
      <c r="P56" s="37">
        <f>SUMIF('YBN FH TB'!$R:$R,'FH P&amp;L'!$A56,'YBN FH TB'!D:D)</f>
        <v/>
      </c>
      <c r="Q56" s="37">
        <f>SUMIF('YBN FH TB'!$R:$R,'FH P&amp;L'!$A56,'YBN FH TB'!E:E)</f>
        <v/>
      </c>
      <c r="R56" s="37">
        <f>SUMIF('YBN FH TB'!$R:$R,'FH P&amp;L'!$A56,'YBN FH TB'!F:F)</f>
        <v/>
      </c>
      <c r="S56" s="37">
        <f>SUMIF('YBN FH TB'!$R:$R,'FH P&amp;L'!$A56,'YBN FH TB'!G:G)</f>
        <v/>
      </c>
      <c r="T56" s="37">
        <f>SUMIF('YBN FH TB'!$R:$R,'FH P&amp;L'!$A56,'YBN FH TB'!H:H)</f>
        <v/>
      </c>
      <c r="U56" s="37">
        <f>SUMIF('YBN FH TB'!$R:$R,'FH P&amp;L'!$A56,'YBN FH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180</v>
      </c>
      <c r="M57" s="35" t="n">
        <v>0</v>
      </c>
      <c r="N57" s="36">
        <f>SUM(B57:M57)</f>
        <v/>
      </c>
      <c r="O57" s="37">
        <f>SUMIF('YBN FH TB'!$R:$R,'FH P&amp;L'!$A57,'YBN FH TB'!C:C)</f>
        <v/>
      </c>
      <c r="P57" s="37">
        <f>SUMIF('YBN FH TB'!$R:$R,'FH P&amp;L'!$A57,'YBN FH TB'!D:D)</f>
        <v/>
      </c>
      <c r="Q57" s="37">
        <f>SUMIF('YBN FH TB'!$R:$R,'FH P&amp;L'!$A57,'YBN FH TB'!E:E)</f>
        <v/>
      </c>
      <c r="R57" s="37">
        <f>SUMIF('YBN FH TB'!$R:$R,'FH P&amp;L'!$A57,'YBN FH TB'!F:F)</f>
        <v/>
      </c>
      <c r="S57" s="37">
        <f>SUMIF('YBN FH TB'!$R:$R,'FH P&amp;L'!$A57,'YBN FH TB'!G:G)</f>
        <v/>
      </c>
      <c r="T57" s="37">
        <f>SUMIF('YBN FH TB'!$R:$R,'FH P&amp;L'!$A57,'YBN FH TB'!H:H)</f>
        <v/>
      </c>
      <c r="U57" s="37">
        <f>SUMIF('YBN FH TB'!$R:$R,'FH P&amp;L'!$A57,'YBN FH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9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SUMIF('YBN FH TB'!$R:$R,'FH P&amp;L'!$A58,'YBN FH TB'!C:C)</f>
        <v/>
      </c>
      <c r="P58" s="37">
        <f>SUMIF('YBN FH TB'!$R:$R,'FH P&amp;L'!$A58,'YBN FH TB'!D:D)</f>
        <v/>
      </c>
      <c r="Q58" s="37">
        <f>SUMIF('YBN FH TB'!$R:$R,'FH P&amp;L'!$A58,'YBN FH TB'!E:E)</f>
        <v/>
      </c>
      <c r="R58" s="37">
        <f>SUMIF('YBN FH TB'!$R:$R,'FH P&amp;L'!$A58,'YBN FH TB'!F:F)</f>
        <v/>
      </c>
      <c r="S58" s="37">
        <f>SUMIF('YBN FH TB'!$R:$R,'FH P&amp;L'!$A58,'YBN FH TB'!G:G)</f>
        <v/>
      </c>
      <c r="T58" s="37">
        <f>SUMIF('YBN FH TB'!$R:$R,'FH P&amp;L'!$A58,'YBN FH TB'!H:H)</f>
        <v/>
      </c>
      <c r="U58" s="37">
        <f>SUMIF('YBN FH TB'!$R:$R,'FH P&amp;L'!$A58,'YBN FH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 t="n">
        <v>214.8</v>
      </c>
      <c r="P59" s="37" t="n">
        <v>214.8</v>
      </c>
      <c r="Q59" s="37" t="n">
        <v>214.8</v>
      </c>
      <c r="R59" s="37" t="n">
        <v>214.8</v>
      </c>
      <c r="S59" s="37" t="n">
        <v>214.8</v>
      </c>
      <c r="T59" s="37" t="n">
        <v>214.8</v>
      </c>
      <c r="U59" s="37" t="n">
        <v>214.8</v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9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3</v>
      </c>
      <c r="C60" s="35" t="n">
        <v>2.4</v>
      </c>
      <c r="D60" s="35" t="n">
        <v>137.61</v>
      </c>
      <c r="E60" s="35" t="n">
        <v>1.8</v>
      </c>
      <c r="F60" s="35" t="n">
        <v>2.4</v>
      </c>
      <c r="G60" s="35" t="n">
        <v>47.40000000000001</v>
      </c>
      <c r="H60" s="35" t="n">
        <v>1.2</v>
      </c>
      <c r="I60" s="35" t="n">
        <v>1.8</v>
      </c>
      <c r="J60" s="35" t="n">
        <v>2.4</v>
      </c>
      <c r="K60" s="35" t="n">
        <v>68.8</v>
      </c>
      <c r="L60" s="35" t="n">
        <v>1.8</v>
      </c>
      <c r="M60" s="35" t="n">
        <v>3</v>
      </c>
      <c r="N60" s="36">
        <f>SUM(B60:M60)</f>
        <v/>
      </c>
      <c r="O60" s="37" t="n">
        <v>29.4</v>
      </c>
      <c r="P60" s="37" t="n">
        <v>2.4</v>
      </c>
      <c r="Q60" s="37" t="n">
        <v>1.8</v>
      </c>
      <c r="R60" s="37" t="n">
        <v>30</v>
      </c>
      <c r="S60" s="37" t="n">
        <v>3</v>
      </c>
      <c r="T60" s="37" t="n">
        <v>1.8</v>
      </c>
      <c r="U60" s="37" t="n">
        <v>3.6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8.539999999999999</v>
      </c>
      <c r="D61" s="35" t="n">
        <v>0</v>
      </c>
      <c r="E61" s="35" t="n">
        <v>0</v>
      </c>
      <c r="F61" s="35" t="n">
        <v>34.24</v>
      </c>
      <c r="G61" s="35" t="n">
        <v>60.11</v>
      </c>
      <c r="H61" s="35" t="n">
        <v>33.5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20.52</v>
      </c>
      <c r="N61" s="36">
        <f>SUM(B61:M61)</f>
        <v/>
      </c>
      <c r="O61" s="37">
        <f>SUMIF('YBN FH TB'!$R:$R,'FH P&amp;L'!$A61,'YBN FH TB'!C:C)</f>
        <v/>
      </c>
      <c r="P61" s="37">
        <f>SUMIF('YBN FH TB'!$R:$R,'FH P&amp;L'!$A61,'YBN FH TB'!D:D)</f>
        <v/>
      </c>
      <c r="Q61" s="37">
        <f>SUMIF('YBN FH TB'!$R:$R,'FH P&amp;L'!$A61,'YBN FH TB'!E:E)</f>
        <v/>
      </c>
      <c r="R61" s="37">
        <f>SUMIF('YBN FH TB'!$R:$R,'FH P&amp;L'!$A61,'YBN FH TB'!F:F)</f>
        <v/>
      </c>
      <c r="S61" s="37">
        <f>SUMIF('YBN FH TB'!$R:$R,'FH P&amp;L'!$A61,'YBN FH TB'!G:G)</f>
        <v/>
      </c>
      <c r="T61" s="37">
        <f>SUMIF('YBN FH TB'!$R:$R,'FH P&amp;L'!$A61,'YBN FH TB'!H:H)</f>
        <v/>
      </c>
      <c r="U61" s="37">
        <f>SUMIF('YBN FH TB'!$R:$R,'FH P&amp;L'!$A61,'YBN FH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164</v>
      </c>
      <c r="F62" s="35" t="n">
        <v>0</v>
      </c>
      <c r="G62" s="35" t="n">
        <v>0</v>
      </c>
      <c r="H62" s="35" t="n">
        <v>0</v>
      </c>
      <c r="I62" s="35" t="n">
        <v>260</v>
      </c>
      <c r="J62" s="35" t="n">
        <v>0</v>
      </c>
      <c r="K62" s="35" t="n">
        <v>0</v>
      </c>
      <c r="L62" s="35" t="n">
        <v>37</v>
      </c>
      <c r="M62" s="35" t="n">
        <v>231</v>
      </c>
      <c r="N62" s="36">
        <f>SUM(B62:M62)</f>
        <v/>
      </c>
      <c r="O62" s="37">
        <f>SUMIF('YBN FH TB'!$R:$R,'FH P&amp;L'!$A62,'YBN FH TB'!C:C)</f>
        <v/>
      </c>
      <c r="P62" s="37">
        <f>SUMIF('YBN FH TB'!$R:$R,'FH P&amp;L'!$A62,'YBN FH TB'!D:D)</f>
        <v/>
      </c>
      <c r="Q62" s="37">
        <f>SUMIF('YBN FH TB'!$R:$R,'FH P&amp;L'!$A62,'YBN FH TB'!E:E)</f>
        <v/>
      </c>
      <c r="R62" s="37">
        <f>SUMIF('YBN FH TB'!$R:$R,'FH P&amp;L'!$A62,'YBN FH TB'!F:F)</f>
        <v/>
      </c>
      <c r="S62" s="37">
        <f>SUMIF('YBN FH TB'!$R:$R,'FH P&amp;L'!$A62,'YBN FH TB'!G:G)</f>
        <v/>
      </c>
      <c r="T62" s="37">
        <f>SUMIF('YBN FH TB'!$R:$R,'FH P&amp;L'!$A62,'YBN FH TB'!H:H)</f>
        <v/>
      </c>
      <c r="U62" s="37">
        <f>SUMIF('YBN FH TB'!$R:$R,'FH P&amp;L'!$A62,'YBN FH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SUMIF('YBN FH TB'!$R:$R,'FH P&amp;L'!$A63,'YBN FH TB'!C:C)</f>
        <v/>
      </c>
      <c r="P63" s="37">
        <f>SUMIF('YBN FH TB'!$R:$R,'FH P&amp;L'!$A63,'YBN FH TB'!D:D)</f>
        <v/>
      </c>
      <c r="Q63" s="37">
        <f>SUMIF('YBN FH TB'!$R:$R,'FH P&amp;L'!$A63,'YBN FH TB'!E:E)</f>
        <v/>
      </c>
      <c r="R63" s="37">
        <f>SUMIF('YBN FH TB'!$R:$R,'FH P&amp;L'!$A63,'YBN FH TB'!F:F)</f>
        <v/>
      </c>
      <c r="S63" s="37">
        <f>SUMIF('YBN FH TB'!$R:$R,'FH P&amp;L'!$A63,'YBN FH TB'!G:G)</f>
        <v/>
      </c>
      <c r="T63" s="37">
        <f>SUMIF('YBN FH TB'!$R:$R,'FH P&amp;L'!$A63,'YBN FH TB'!H:H)</f>
        <v/>
      </c>
      <c r="U63" s="37">
        <f>SUMIF('YBN FH TB'!$R:$R,'FH P&amp;L'!$A63,'YBN FH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SUMIF('YBN FH TB'!$R:$R,'FH P&amp;L'!$A64,'YBN FH TB'!C:C)</f>
        <v/>
      </c>
      <c r="P64" s="37">
        <f>SUMIF('YBN FH TB'!$R:$R,'FH P&amp;L'!$A64,'YBN FH TB'!D:D)</f>
        <v/>
      </c>
      <c r="Q64" s="37">
        <f>SUMIF('YBN FH TB'!$R:$R,'FH P&amp;L'!$A64,'YBN FH TB'!E:E)</f>
        <v/>
      </c>
      <c r="R64" s="37">
        <f>SUMIF('YBN FH TB'!$R:$R,'FH P&amp;L'!$A64,'YBN FH TB'!F:F)</f>
        <v/>
      </c>
      <c r="S64" s="37">
        <f>SUMIF('YBN FH TB'!$R:$R,'FH P&amp;L'!$A64,'YBN FH TB'!G:G)</f>
        <v/>
      </c>
      <c r="T64" s="37">
        <f>SUMIF('YBN FH TB'!$R:$R,'FH P&amp;L'!$A64,'YBN FH TB'!H:H)</f>
        <v/>
      </c>
      <c r="U64" s="37">
        <f>SUMIF('YBN FH TB'!$R:$R,'FH P&amp;L'!$A64,'YBN FH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SUMIF('YBN FH TB'!$R:$R,'FH P&amp;L'!$A65,'YBN FH TB'!C:C)</f>
        <v/>
      </c>
      <c r="P65" s="37">
        <f>SUMIF('YBN FH TB'!$R:$R,'FH P&amp;L'!$A65,'YBN FH TB'!D:D)</f>
        <v/>
      </c>
      <c r="Q65" s="37">
        <f>SUMIF('YBN FH TB'!$R:$R,'FH P&amp;L'!$A65,'YBN FH TB'!E:E)</f>
        <v/>
      </c>
      <c r="R65" s="37">
        <f>SUMIF('YBN FH TB'!$R:$R,'FH P&amp;L'!$A65,'YBN FH TB'!F:F)</f>
        <v/>
      </c>
      <c r="S65" s="37">
        <f>SUMIF('YBN FH TB'!$R:$R,'FH P&amp;L'!$A65,'YBN FH TB'!G:G)</f>
        <v/>
      </c>
      <c r="T65" s="37">
        <f>SUMIF('YBN FH TB'!$R:$R,'FH P&amp;L'!$A65,'YBN FH TB'!H:H)</f>
        <v/>
      </c>
      <c r="U65" s="37">
        <f>SUMIF('YBN FH TB'!$R:$R,'FH P&amp;L'!$A65,'YBN FH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SUMIF('YBN FH TB'!$R:$R,'FH P&amp;L'!$A66,'YBN FH TB'!C:C)</f>
        <v/>
      </c>
      <c r="P66" s="37">
        <f>SUMIF('YBN FH TB'!$R:$R,'FH P&amp;L'!$A66,'YBN FH TB'!D:D)</f>
        <v/>
      </c>
      <c r="Q66" s="37">
        <f>SUMIF('YBN FH TB'!$R:$R,'FH P&amp;L'!$A66,'YBN FH TB'!E:E)</f>
        <v/>
      </c>
      <c r="R66" s="37">
        <f>SUMIF('YBN FH TB'!$R:$R,'FH P&amp;L'!$A66,'YBN FH TB'!F:F)</f>
        <v/>
      </c>
      <c r="S66" s="37">
        <f>SUMIF('YBN FH TB'!$R:$R,'FH P&amp;L'!$A66,'YBN FH TB'!G:G)</f>
        <v/>
      </c>
      <c r="T66" s="37">
        <f>SUMIF('YBN FH TB'!$R:$R,'FH P&amp;L'!$A66,'YBN FH TB'!H:H)</f>
        <v/>
      </c>
      <c r="U66" s="37">
        <f>SUMIF('YBN FH TB'!$R:$R,'FH P&amp;L'!$A66,'YBN FH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42.75</v>
      </c>
      <c r="I67" s="35" t="n">
        <v>262.75</v>
      </c>
      <c r="J67" s="35" t="n">
        <v>42.75</v>
      </c>
      <c r="K67" s="35" t="n">
        <v>42.75</v>
      </c>
      <c r="L67" s="35" t="n">
        <v>42.75</v>
      </c>
      <c r="M67" s="35" t="n">
        <v>42.75</v>
      </c>
      <c r="N67" s="36">
        <f>SUM(B67:M67)</f>
        <v/>
      </c>
      <c r="O67" s="37">
        <f>SUMIF('YBN FH TB'!$R:$R,'FH P&amp;L'!$A67,'YBN FH TB'!C:C)</f>
        <v/>
      </c>
      <c r="P67" s="37">
        <f>SUMIF('YBN FH TB'!$R:$R,'FH P&amp;L'!$A67,'YBN FH TB'!D:D)</f>
        <v/>
      </c>
      <c r="Q67" s="37">
        <f>SUMIF('YBN FH TB'!$R:$R,'FH P&amp;L'!$A67,'YBN FH TB'!E:E)</f>
        <v/>
      </c>
      <c r="R67" s="37">
        <f>SUMIF('YBN FH TB'!$R:$R,'FH P&amp;L'!$A67,'YBN FH TB'!F:F)</f>
        <v/>
      </c>
      <c r="S67" s="37">
        <f>SUMIF('YBN FH TB'!$R:$R,'FH P&amp;L'!$A67,'YBN FH TB'!G:G)</f>
        <v/>
      </c>
      <c r="T67" s="37">
        <f>SUMIF('YBN FH TB'!$R:$R,'FH P&amp;L'!$A67,'YBN FH TB'!H:H)</f>
        <v/>
      </c>
      <c r="U67" s="37">
        <f>SUMIF('YBN FH TB'!$R:$R,'FH P&amp;L'!$A67,'YBN FH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-78.61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SUMIF('YBN FH TB'!$R:$R,'FH P&amp;L'!$A68,'YBN FH TB'!C:C)</f>
        <v/>
      </c>
      <c r="P68" s="37">
        <f>SUMIF('YBN FH TB'!$R:$R,'FH P&amp;L'!$A68,'YBN FH TB'!D:D)</f>
        <v/>
      </c>
      <c r="Q68" s="37">
        <f>SUMIF('YBN FH TB'!$R:$R,'FH P&amp;L'!$A68,'YBN FH TB'!E:E)</f>
        <v/>
      </c>
      <c r="R68" s="37">
        <f>SUMIF('YBN FH TB'!$R:$R,'FH P&amp;L'!$A68,'YBN FH TB'!F:F)</f>
        <v/>
      </c>
      <c r="S68" s="37">
        <f>SUMIF('YBN FH TB'!$R:$R,'FH P&amp;L'!$A68,'YBN FH TB'!G:G)</f>
        <v/>
      </c>
      <c r="T68" s="37">
        <f>SUMIF('YBN FH TB'!$R:$R,'FH P&amp;L'!$A68,'YBN FH TB'!H:H)</f>
        <v/>
      </c>
      <c r="U68" s="37">
        <f>SUMIF('YBN FH TB'!$R:$R,'FH P&amp;L'!$A68,'YBN FH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204.38</v>
      </c>
      <c r="C69" s="42" t="n">
        <v>212.32</v>
      </c>
      <c r="D69" s="42" t="n">
        <v>338.99</v>
      </c>
      <c r="E69" s="42" t="n">
        <v>367.18</v>
      </c>
      <c r="F69" s="42" t="n">
        <v>238.01</v>
      </c>
      <c r="G69" s="42" t="n">
        <v>308.89</v>
      </c>
      <c r="H69" s="42" t="n">
        <v>278.83</v>
      </c>
      <c r="I69" s="42" t="n">
        <v>725.9300000000001</v>
      </c>
      <c r="J69" s="42" t="n">
        <v>167.92</v>
      </c>
      <c r="K69" s="42" t="n">
        <v>326.35</v>
      </c>
      <c r="L69" s="42" t="n">
        <v>476.35</v>
      </c>
      <c r="M69" s="42" t="n">
        <v>512.0700000000001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-172.749999999999</v>
      </c>
      <c r="C70" s="55" t="n">
        <v>-112.1499999999981</v>
      </c>
      <c r="D70" s="55" t="n">
        <v>8501.030000000001</v>
      </c>
      <c r="E70" s="55" t="n">
        <v>1268.610000000001</v>
      </c>
      <c r="F70" s="55" t="n">
        <v>488.7699999999988</v>
      </c>
      <c r="G70" s="55" t="n">
        <v>-160.0299999999994</v>
      </c>
      <c r="H70" s="55" t="n">
        <v>2333.309999999999</v>
      </c>
      <c r="I70" s="55" t="n">
        <v>-8189.879999999999</v>
      </c>
      <c r="J70" s="55" t="n">
        <v>-3461.419999999998</v>
      </c>
      <c r="K70" s="55" t="n">
        <v>-7064.09</v>
      </c>
      <c r="L70" s="55" t="n">
        <v>-9555.530000000004</v>
      </c>
      <c r="M70" s="55" t="n">
        <v>18542.83000000001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7">
        <f>SUM(AC72:AH72)+SUM(AI72:AN72)</f>
        <v/>
      </c>
      <c r="AP72" s="145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7" t="n">
        <v>0</v>
      </c>
      <c r="AJ73" s="117" t="n">
        <v>0</v>
      </c>
      <c r="AK73" s="117" t="n">
        <v>0</v>
      </c>
      <c r="AL73" s="117" t="n">
        <v>0</v>
      </c>
      <c r="AM73" s="117" t="n">
        <v>0</v>
      </c>
      <c r="AN73" s="117" t="n">
        <v>0</v>
      </c>
      <c r="AO73" s="156">
        <f>SUM(AC73:AH73)+SUM(AI73:AN73)</f>
        <v/>
      </c>
      <c r="AP73" s="145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7" t="n">
        <v>0</v>
      </c>
      <c r="AJ74" s="117" t="n">
        <v>0</v>
      </c>
      <c r="AK74" s="117" t="n">
        <v>0</v>
      </c>
      <c r="AL74" s="117" t="n">
        <v>0</v>
      </c>
      <c r="AM74" s="117" t="n">
        <v>0</v>
      </c>
      <c r="AN74" s="117" t="n">
        <v>0</v>
      </c>
      <c r="AO74" s="156">
        <f>SUM(AC74:AH74)+SUM(AI74:AN74)</f>
        <v/>
      </c>
      <c r="AP74" s="145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7" t="n">
        <v>0</v>
      </c>
      <c r="AJ75" s="117" t="n">
        <v>0</v>
      </c>
      <c r="AK75" s="117" t="n">
        <v>0</v>
      </c>
      <c r="AL75" s="117" t="n">
        <v>0</v>
      </c>
      <c r="AM75" s="117" t="n">
        <v>0</v>
      </c>
      <c r="AN75" s="117" t="n">
        <v>0</v>
      </c>
      <c r="AO75" s="156">
        <f>SUM(AC75:AH75)+SUM(AI75:AN75)</f>
        <v/>
      </c>
      <c r="AP75" s="145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7" t="n">
        <v>0</v>
      </c>
      <c r="AJ76" s="117" t="n">
        <v>0</v>
      </c>
      <c r="AK76" s="117" t="n">
        <v>0</v>
      </c>
      <c r="AL76" s="117" t="n">
        <v>0</v>
      </c>
      <c r="AM76" s="117" t="n">
        <v>0</v>
      </c>
      <c r="AN76" s="117" t="n">
        <v>0</v>
      </c>
      <c r="AO76" s="156">
        <f>SUM(AC76:AH76)+SUM(AI76:AN76)</f>
        <v/>
      </c>
      <c r="AP76" s="145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7" t="n">
        <v>0</v>
      </c>
      <c r="AJ77" s="117" t="n">
        <v>0</v>
      </c>
      <c r="AK77" s="117" t="n">
        <v>0</v>
      </c>
      <c r="AL77" s="117" t="n">
        <v>0</v>
      </c>
      <c r="AM77" s="117" t="n">
        <v>0</v>
      </c>
      <c r="AN77" s="117" t="n">
        <v>0</v>
      </c>
      <c r="AO77" s="156">
        <f>SUM(AC77:AH77)+SUM(AI77:AN77)</f>
        <v/>
      </c>
      <c r="AP77" s="145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117" t="n">
        <v>0</v>
      </c>
      <c r="AJ78" s="117" t="n">
        <v>0</v>
      </c>
      <c r="AK78" s="117" t="n">
        <v>0</v>
      </c>
      <c r="AL78" s="117" t="n">
        <v>0</v>
      </c>
      <c r="AM78" s="117" t="n">
        <v>0</v>
      </c>
      <c r="AN78" s="117" t="n">
        <v>0</v>
      </c>
      <c r="AO78" s="156">
        <f>SUM(AC78:AH78)+SUM(AI78:AN78)</f>
        <v/>
      </c>
      <c r="AP78" s="145">
        <f>IF(AB78&lt;&gt;0,(AO78-AB78)/ABS(AB78),0)</f>
        <v/>
      </c>
    </row>
    <row r="79">
      <c r="A79" s="54" t="n"/>
      <c r="B79" s="57" t="n">
        <v>-172.749999999999</v>
      </c>
      <c r="C79" s="57" t="n">
        <v>-112.1499999999981</v>
      </c>
      <c r="D79" s="57" t="n">
        <v>8501.030000000001</v>
      </c>
      <c r="E79" s="57" t="n">
        <v>1268.610000000001</v>
      </c>
      <c r="F79" s="57" t="n">
        <v>488.7699999999988</v>
      </c>
      <c r="G79" s="57" t="n">
        <v>-160.0299999999994</v>
      </c>
      <c r="H79" s="57" t="n">
        <v>2333.309999999999</v>
      </c>
      <c r="I79" s="57" t="n">
        <v>-8189.879999999999</v>
      </c>
      <c r="J79" s="57" t="n">
        <v>-3461.419999999998</v>
      </c>
      <c r="K79" s="57" t="n">
        <v>-7064.09</v>
      </c>
      <c r="L79" s="57" t="n">
        <v>-9555.530000000004</v>
      </c>
      <c r="M79" s="57" t="n">
        <v>18542.83000000001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7">
        <f>SUM(AC79:AH79)+SUM(AI79:AN79)</f>
        <v/>
      </c>
      <c r="AP79" s="145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7">
        <f>SUM(AC80:AH80)+SUM(AI80:AN80)</f>
        <v/>
      </c>
      <c r="AP80" s="145">
        <f>IF(AB80&lt;&gt;0,(AO80-AB80)/ABS(AB80),0)</f>
        <v/>
      </c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20117.83</v>
      </c>
      <c r="C87" s="60" t="n">
        <v>20249.13</v>
      </c>
      <c r="D87" s="60" t="n">
        <v>26571.5</v>
      </c>
      <c r="E87" s="60" t="n">
        <v>19831.28</v>
      </c>
      <c r="F87" s="60" t="n">
        <v>18403.03</v>
      </c>
      <c r="G87" s="60" t="n">
        <v>17457.45</v>
      </c>
      <c r="H87" s="60" t="n">
        <v>24037.05</v>
      </c>
      <c r="I87" s="60" t="n">
        <v>10930.69</v>
      </c>
      <c r="J87" s="60" t="n">
        <v>13199.67</v>
      </c>
      <c r="K87" s="60" t="n">
        <v>14024.35</v>
      </c>
      <c r="L87" s="60" t="n">
        <v>12673.34</v>
      </c>
      <c r="M87" s="8" t="n"/>
      <c r="N87" s="8" t="n"/>
      <c r="O87" s="60">
        <f>-SUMIF('YBN FH TB'!$T:$T,'FH P&amp;L'!$A87,'YBN FH TB'!C:C)</f>
        <v/>
      </c>
      <c r="P87" s="60">
        <f>-SUMIF('YBN FH TB'!$T:$T,'FH P&amp;L'!$A87,'YBN FH TB'!D:D)</f>
        <v/>
      </c>
      <c r="Q87" s="60">
        <f>-SUMIF('YBN FH TB'!$T:$T,'FH P&amp;L'!$A87,'YBN FH TB'!E:E)</f>
        <v/>
      </c>
      <c r="R87" s="60">
        <f>-SUMIF('YBN FH TB'!$T:$T,'FH P&amp;L'!$A87,'YBN FH TB'!F:F)</f>
        <v/>
      </c>
      <c r="S87" s="60">
        <f>-SUMIF('YBN FH TB'!$T:$T,'FH P&amp;L'!$A87,'YBN FH TB'!G:G)</f>
        <v/>
      </c>
      <c r="T87" s="60">
        <f>-SUMIF('YBN FH TB'!$T:$T,'FH P&amp;L'!$A87,'YBN FH TB'!H:H)</f>
        <v/>
      </c>
      <c r="U87" s="60">
        <f>-SUMIF('YBN FH TB'!$T:$T,'FH P&amp;L'!$A87,'YBN FH TB'!I:I)</f>
        <v/>
      </c>
      <c r="V87" s="60">
        <f>-SUMIF('YBN FH TB'!$T:$T,'FH P&amp;L'!$A87,'YBN FH TB'!J:J)</f>
        <v/>
      </c>
      <c r="W87" s="60">
        <f>-SUMIF('YBN FH TB'!$T:$T,'FH P&amp;L'!$A87,'YBN FH TB'!K:K)</f>
        <v/>
      </c>
      <c r="X87" s="60">
        <f>-SUMIF('YBN FH TB'!$T:$T,'FH P&amp;L'!$A87,'YBN FH TB'!L:L)</f>
        <v/>
      </c>
      <c r="Y87" s="60">
        <f>-SUMIF('YBN FH TB'!$T:$T,'FH P&amp;L'!$A87,'YBN FH TB'!M:M)</f>
        <v/>
      </c>
      <c r="Z87" s="60">
        <f>-SUMIF('YBN FH TB'!$T:$T,'FH P&amp;L'!$A87,'YBN FH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48" t="n">
        <v>0</v>
      </c>
      <c r="AJ87" s="148" t="n">
        <v>0</v>
      </c>
      <c r="AK87" s="148" t="n">
        <v>0</v>
      </c>
      <c r="AL87" s="148" t="n">
        <v>0</v>
      </c>
      <c r="AM87" s="148" t="n">
        <v>0</v>
      </c>
      <c r="AN87" s="148" t="n">
        <v>0</v>
      </c>
      <c r="AO87" s="149">
        <f>SUM(AC87:AH87)+SUM(AI87:AN87)</f>
        <v/>
      </c>
      <c r="AP87" s="145">
        <f>IF(AB87&lt;&gt;0,(AO87-AB87)/ABS(AB87),0)</f>
        <v/>
      </c>
    </row>
    <row r="88">
      <c r="A88" s="34" t="inlineStr">
        <is>
          <t>Direct - Staff Cost</t>
        </is>
      </c>
      <c r="B88" s="18" t="n">
        <v>-15237.76</v>
      </c>
      <c r="C88" s="18" t="n">
        <v>-15403.43</v>
      </c>
      <c r="D88" s="18" t="n">
        <v>-12032.29</v>
      </c>
      <c r="E88" s="18" t="n">
        <v>-13190.74</v>
      </c>
      <c r="F88" s="18" t="n">
        <v>-13389.22</v>
      </c>
      <c r="G88" s="18" t="n">
        <v>-13121.69</v>
      </c>
      <c r="H88" s="18" t="n">
        <v>-16994.95</v>
      </c>
      <c r="I88" s="18" t="n">
        <v>-14247.8</v>
      </c>
      <c r="J88" s="18" t="n">
        <v>-13644.29</v>
      </c>
      <c r="K88" s="18" t="n">
        <v>-16145.13</v>
      </c>
      <c r="L88" s="18" t="n">
        <v>-17393.09</v>
      </c>
      <c r="M88" s="18" t="n"/>
      <c r="N88" s="8" t="n"/>
      <c r="O88" s="60">
        <f>-SUMIF('YBN FH TB'!$T:$T,'FH P&amp;L'!$A88,'YBN FH TB'!C:C)</f>
        <v/>
      </c>
      <c r="P88" s="60">
        <f>-SUMIF('YBN FH TB'!$T:$T,'FH P&amp;L'!$A88,'YBN FH TB'!D:D)</f>
        <v/>
      </c>
      <c r="Q88" s="60">
        <f>-SUMIF('YBN FH TB'!$T:$T,'FH P&amp;L'!$A88,'YBN FH TB'!E:E)</f>
        <v/>
      </c>
      <c r="R88" s="60">
        <f>-SUMIF('YBN FH TB'!$T:$T,'FH P&amp;L'!$A88,'YBN FH TB'!F:F)</f>
        <v/>
      </c>
      <c r="S88" s="60">
        <f>-SUMIF('YBN FH TB'!$T:$T,'FH P&amp;L'!$A88,'YBN FH TB'!G:G)</f>
        <v/>
      </c>
      <c r="T88" s="60">
        <f>-SUMIF('YBN FH TB'!$T:$T,'FH P&amp;L'!$A88,'YBN FH TB'!H:H)</f>
        <v/>
      </c>
      <c r="U88" s="60">
        <f>-SUMIF('YBN FH TB'!$T:$T,'FH P&amp;L'!$A88,'YBN FH TB'!I:I)</f>
        <v/>
      </c>
      <c r="V88" s="60">
        <f>-SUMIF('YBN FH TB'!$T:$T,'FH P&amp;L'!$A88,'YBN FH TB'!J:J)</f>
        <v/>
      </c>
      <c r="W88" s="60">
        <f>-SUMIF('YBN FH TB'!$T:$T,'FH P&amp;L'!$A88,'YBN FH TB'!K:K)</f>
        <v/>
      </c>
      <c r="X88" s="60">
        <f>-SUMIF('YBN FH TB'!$T:$T,'FH P&amp;L'!$A88,'YBN FH TB'!L:L)</f>
        <v/>
      </c>
      <c r="Y88" s="60">
        <f>-SUMIF('YBN FH TB'!$T:$T,'FH P&amp;L'!$A88,'YBN FH TB'!M:M)</f>
        <v/>
      </c>
      <c r="Z88" s="60">
        <f>-SUMIF('YBN FH TB'!$T:$T,'FH P&amp;L'!$A88,'YBN FH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48" t="n">
        <v>0</v>
      </c>
      <c r="AJ88" s="148" t="n">
        <v>0</v>
      </c>
      <c r="AK88" s="148" t="n">
        <v>0</v>
      </c>
      <c r="AL88" s="148" t="n">
        <v>0</v>
      </c>
      <c r="AM88" s="148" t="n">
        <v>0</v>
      </c>
      <c r="AN88" s="148" t="n">
        <v>0</v>
      </c>
      <c r="AO88" s="149">
        <f>SUM(AC88:AH88)+SUM(AI88:AN88)</f>
        <v/>
      </c>
      <c r="AP88" s="145">
        <f>IF(AB88&lt;&gt;0,(AO88-AB88)/ABS(AB88),0)</f>
        <v/>
      </c>
    </row>
    <row r="89">
      <c r="A89" s="60" t="inlineStr">
        <is>
          <t>Direct - Childcare Cost</t>
        </is>
      </c>
      <c r="B89" s="18" t="n">
        <v>-1008.73</v>
      </c>
      <c r="C89" s="18" t="n">
        <v>-815.6400000000001</v>
      </c>
      <c r="D89" s="18" t="n">
        <v>-974.3000000000002</v>
      </c>
      <c r="E89" s="18" t="n">
        <v>-851.04</v>
      </c>
      <c r="F89" s="18" t="n">
        <v>-899.62</v>
      </c>
      <c r="G89" s="18" t="n">
        <v>-683.0300000000001</v>
      </c>
      <c r="H89" s="18" t="n">
        <v>-779.1600000000002</v>
      </c>
      <c r="I89" s="18" t="n">
        <v>-713.29</v>
      </c>
      <c r="J89" s="18" t="n">
        <v>-768.41</v>
      </c>
      <c r="K89" s="18" t="n">
        <v>-1460.98</v>
      </c>
      <c r="L89" s="18" t="n">
        <v>-686.6600000000001</v>
      </c>
      <c r="M89" s="18" t="n">
        <v>-526.37</v>
      </c>
      <c r="N89" s="8" t="n"/>
      <c r="O89" s="60">
        <f>-SUMIF('YBN FH TB'!$T:$T,'FH P&amp;L'!$A89,'YBN FH TB'!C:C)</f>
        <v/>
      </c>
      <c r="P89" s="60">
        <f>-SUMIF('YBN FH TB'!$T:$T,'FH P&amp;L'!$A89,'YBN FH TB'!D:D)</f>
        <v/>
      </c>
      <c r="Q89" s="60">
        <f>-SUMIF('YBN FH TB'!$T:$T,'FH P&amp;L'!$A89,'YBN FH TB'!E:E)</f>
        <v/>
      </c>
      <c r="R89" s="60">
        <f>-SUMIF('YBN FH TB'!$T:$T,'FH P&amp;L'!$A89,'YBN FH TB'!F:F)</f>
        <v/>
      </c>
      <c r="S89" s="60">
        <f>-SUMIF('YBN FH TB'!$T:$T,'FH P&amp;L'!$A89,'YBN FH TB'!G:G)</f>
        <v/>
      </c>
      <c r="T89" s="60">
        <f>-SUMIF('YBN FH TB'!$T:$T,'FH P&amp;L'!$A89,'YBN FH TB'!H:H)</f>
        <v/>
      </c>
      <c r="U89" s="60">
        <f>-SUMIF('YBN FH TB'!$T:$T,'FH P&amp;L'!$A89,'YBN FH TB'!I:I)</f>
        <v/>
      </c>
      <c r="V89" s="60">
        <f>-SUMIF('YBN FH TB'!$T:$T,'FH P&amp;L'!$A89,'YBN FH TB'!J:J)</f>
        <v/>
      </c>
      <c r="W89" s="60">
        <f>-SUMIF('YBN FH TB'!$T:$T,'FH P&amp;L'!$A89,'YBN FH TB'!K:K)</f>
        <v/>
      </c>
      <c r="X89" s="60">
        <f>-SUMIF('YBN FH TB'!$T:$T,'FH P&amp;L'!$A89,'YBN FH TB'!L:L)</f>
        <v/>
      </c>
      <c r="Y89" s="60">
        <f>-SUMIF('YBN FH TB'!$T:$T,'FH P&amp;L'!$A89,'YBN FH TB'!M:M)</f>
        <v/>
      </c>
      <c r="Z89" s="60">
        <f>-SUMIF('YBN FH TB'!$T:$T,'FH P&amp;L'!$A89,'YBN FH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48" t="n">
        <v>0</v>
      </c>
      <c r="AJ89" s="148" t="n">
        <v>0</v>
      </c>
      <c r="AK89" s="148" t="n">
        <v>0</v>
      </c>
      <c r="AL89" s="148" t="n">
        <v>0</v>
      </c>
      <c r="AM89" s="148" t="n">
        <v>0</v>
      </c>
      <c r="AN89" s="148" t="n">
        <v>0</v>
      </c>
      <c r="AO89" s="149">
        <f>SUM(AC89:AH89)+SUM(AI89:AN89)</f>
        <v/>
      </c>
      <c r="AP89" s="145">
        <f>IF(AB89&lt;&gt;0,(AO89-AB89)/ABS(AB89),0)</f>
        <v/>
      </c>
    </row>
    <row r="90">
      <c r="A90" s="60" t="inlineStr">
        <is>
          <t>Direct - Premises &amp; Admin</t>
        </is>
      </c>
      <c r="B90" s="18" t="n">
        <v>-3839.71</v>
      </c>
      <c r="C90" s="18" t="n">
        <v>-3929.89</v>
      </c>
      <c r="D90" s="18" t="n">
        <v>-4724.89</v>
      </c>
      <c r="E90" s="18" t="n">
        <v>-4153.71</v>
      </c>
      <c r="F90" s="18" t="n">
        <v>-3387.41</v>
      </c>
      <c r="G90" s="18" t="n">
        <v>-3503.869999999999</v>
      </c>
      <c r="H90" s="18" t="n">
        <v>-3650.799999999999</v>
      </c>
      <c r="I90" s="18" t="n">
        <v>-3433.55</v>
      </c>
      <c r="J90" s="18" t="n">
        <v>-2080.47</v>
      </c>
      <c r="K90" s="18" t="n">
        <v>-3155.98</v>
      </c>
      <c r="L90" s="18" t="n">
        <v>-3672.77</v>
      </c>
      <c r="M90" s="18" t="n">
        <v>-4511.69</v>
      </c>
      <c r="N90" s="8" t="n"/>
      <c r="O90" s="60">
        <f>-SUMIF('YBN FH TB'!$T:$T,'FH P&amp;L'!$A90,'YBN FH TB'!C:C)</f>
        <v/>
      </c>
      <c r="P90" s="60">
        <f>-SUMIF('YBN FH TB'!$T:$T,'FH P&amp;L'!$A90,'YBN FH TB'!D:D)</f>
        <v/>
      </c>
      <c r="Q90" s="60">
        <f>-SUMIF('YBN FH TB'!$T:$T,'FH P&amp;L'!$A90,'YBN FH TB'!E:E)</f>
        <v/>
      </c>
      <c r="R90" s="60">
        <f>-SUMIF('YBN FH TB'!$T:$T,'FH P&amp;L'!$A90,'YBN FH TB'!F:F)</f>
        <v/>
      </c>
      <c r="S90" s="60">
        <f>-SUMIF('YBN FH TB'!$T:$T,'FH P&amp;L'!$A90,'YBN FH TB'!G:G)</f>
        <v/>
      </c>
      <c r="T90" s="60">
        <f>-SUMIF('YBN FH TB'!$T:$T,'FH P&amp;L'!$A90,'YBN FH TB'!H:H)</f>
        <v/>
      </c>
      <c r="U90" s="60">
        <f>-SUMIF('YBN FH TB'!$T:$T,'FH P&amp;L'!$A90,'YBN FH TB'!I:I)</f>
        <v/>
      </c>
      <c r="V90" s="60">
        <f>-SUMIF('YBN FH TB'!$T:$T,'FH P&amp;L'!$A90,'YBN FH TB'!J:J)</f>
        <v/>
      </c>
      <c r="W90" s="60">
        <f>-SUMIF('YBN FH TB'!$T:$T,'FH P&amp;L'!$A90,'YBN FH TB'!K:K)</f>
        <v/>
      </c>
      <c r="X90" s="60">
        <f>-SUMIF('YBN FH TB'!$T:$T,'FH P&amp;L'!$A90,'YBN FH TB'!L:L)</f>
        <v/>
      </c>
      <c r="Y90" s="60">
        <f>-SUMIF('YBN FH TB'!$T:$T,'FH P&amp;L'!$A90,'YBN FH TB'!M:M)</f>
        <v/>
      </c>
      <c r="Z90" s="60">
        <f>-SUMIF('YBN FH TB'!$T:$T,'FH P&amp;L'!$A90,'YBN FH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148" t="n">
        <v>0</v>
      </c>
      <c r="AJ90" s="148" t="n">
        <v>0</v>
      </c>
      <c r="AK90" s="148" t="n">
        <v>0</v>
      </c>
      <c r="AL90" s="148" t="n">
        <v>0</v>
      </c>
      <c r="AM90" s="148" t="n">
        <v>0</v>
      </c>
      <c r="AN90" s="148" t="n">
        <v>0</v>
      </c>
      <c r="AO90" s="149">
        <f>SUM(AC90:AH90)+SUM(AI90:AN90)</f>
        <v/>
      </c>
      <c r="AP90" s="145">
        <f>IF(AB90&lt;&gt;0,(AO90-AB90)/ABS(AB90),0)</f>
        <v/>
      </c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-SUMIF('YBN FH TB'!$T:$T,'FH P&amp;L'!$A91,'YBN FH TB'!C:C)</f>
        <v/>
      </c>
      <c r="P91" s="60">
        <f>-SUMIF('YBN FH TB'!$T:$T,'FH P&amp;L'!$A91,'YBN FH TB'!D:D)</f>
        <v/>
      </c>
      <c r="Q91" s="60">
        <f>-SUMIF('YBN FH TB'!$T:$T,'FH P&amp;L'!$A91,'YBN FH TB'!E:E)</f>
        <v/>
      </c>
      <c r="R91" s="60">
        <f>-SUMIF('YBN FH TB'!$T:$T,'FH P&amp;L'!$A91,'YBN FH TB'!F:F)</f>
        <v/>
      </c>
      <c r="S91" s="60">
        <f>-SUMIF('YBN FH TB'!$T:$T,'FH P&amp;L'!$A91,'YBN FH TB'!G:G)</f>
        <v/>
      </c>
      <c r="T91" s="60">
        <f>-SUMIF('YBN FH TB'!$T:$T,'FH P&amp;L'!$A91,'YBN FH TB'!H:H)</f>
        <v/>
      </c>
      <c r="U91" s="60">
        <f>-SUMIF('YBN FH TB'!$T:$T,'FH P&amp;L'!$A91,'YBN FH TB'!I:I)</f>
        <v/>
      </c>
      <c r="V91" s="60">
        <f>-SUMIF('YBN FH TB'!$T:$T,'FH P&amp;L'!$A91,'YBN FH TB'!J:J)</f>
        <v/>
      </c>
      <c r="W91" s="60">
        <f>-SUMIF('YBN FH TB'!$T:$T,'FH P&amp;L'!$A91,'YBN FH TB'!K:K)</f>
        <v/>
      </c>
      <c r="X91" s="60">
        <f>-SUMIF('YBN FH TB'!$T:$T,'FH P&amp;L'!$A91,'YBN FH TB'!L:L)</f>
        <v/>
      </c>
      <c r="Y91" s="60">
        <f>-SUMIF('YBN FH TB'!$T:$T,'FH P&amp;L'!$A91,'YBN FH TB'!M:M)</f>
        <v/>
      </c>
      <c r="Z91" s="60">
        <f>-SUMIF('YBN FH TB'!$T:$T,'FH P&amp;L'!$A91,'YBN FH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48" t="n">
        <v>0</v>
      </c>
      <c r="AJ91" s="148" t="n">
        <v>0</v>
      </c>
      <c r="AK91" s="148" t="n">
        <v>0</v>
      </c>
      <c r="AL91" s="148" t="n">
        <v>0</v>
      </c>
      <c r="AM91" s="148" t="n">
        <v>0</v>
      </c>
      <c r="AN91" s="148" t="n">
        <v>0</v>
      </c>
      <c r="AO91" s="149">
        <f>SUM(AC91:AH91)+SUM(AI91:AN91)</f>
        <v/>
      </c>
      <c r="AP91" s="145">
        <f>IF(AB91&lt;&gt;0,(AO91-AB91)/ABS(AB91),0)</f>
        <v/>
      </c>
    </row>
    <row r="92">
      <c r="A92" s="60" t="inlineStr">
        <is>
          <t>In-Direct - Overheads</t>
        </is>
      </c>
      <c r="B92" s="18" t="n">
        <v>-204.38</v>
      </c>
      <c r="C92" s="18" t="n">
        <v>-212.32</v>
      </c>
      <c r="D92" s="18" t="n">
        <v>-338.99</v>
      </c>
      <c r="E92" s="18" t="n">
        <v>-367.18</v>
      </c>
      <c r="F92" s="18" t="n">
        <v>-238.01</v>
      </c>
      <c r="G92" s="18" t="n">
        <v>-308.89</v>
      </c>
      <c r="H92" s="18" t="n">
        <v>-278.83</v>
      </c>
      <c r="I92" s="18" t="n">
        <v>-725.9300000000001</v>
      </c>
      <c r="J92" s="18" t="n">
        <v>-167.92</v>
      </c>
      <c r="K92" s="18" t="n">
        <v>-326.35</v>
      </c>
      <c r="L92" s="18" t="n">
        <v>-476.35</v>
      </c>
      <c r="M92" s="18" t="n">
        <v>-512.0700000000001</v>
      </c>
      <c r="N92" s="8" t="n"/>
      <c r="O92" s="60">
        <f>-SUMIF('YBN FH TB'!$T:$T,'FH P&amp;L'!$A92,'YBN FH TB'!C:C)</f>
        <v/>
      </c>
      <c r="P92" s="60">
        <f>-SUMIF('YBN FH TB'!$T:$T,'FH P&amp;L'!$A92,'YBN FH TB'!D:D)</f>
        <v/>
      </c>
      <c r="Q92" s="60">
        <f>-SUMIF('YBN FH TB'!$T:$T,'FH P&amp;L'!$A92,'YBN FH TB'!E:E)</f>
        <v/>
      </c>
      <c r="R92" s="60">
        <f>-SUMIF('YBN FH TB'!$T:$T,'FH P&amp;L'!$A92,'YBN FH TB'!F:F)</f>
        <v/>
      </c>
      <c r="S92" s="60">
        <f>-SUMIF('YBN FH TB'!$T:$T,'FH P&amp;L'!$A92,'YBN FH TB'!G:G)</f>
        <v/>
      </c>
      <c r="T92" s="60">
        <f>-SUMIF('YBN FH TB'!$T:$T,'FH P&amp;L'!$A92,'YBN FH TB'!H:H)</f>
        <v/>
      </c>
      <c r="U92" s="60">
        <f>-SUMIF('YBN FH TB'!$T:$T,'FH P&amp;L'!$A92,'YBN FH TB'!I:I)</f>
        <v/>
      </c>
      <c r="V92" s="60">
        <f>-SUMIF('YBN FH TB'!$T:$T,'FH P&amp;L'!$A92,'YBN FH TB'!J:J)</f>
        <v/>
      </c>
      <c r="W92" s="60">
        <f>-SUMIF('YBN FH TB'!$T:$T,'FH P&amp;L'!$A92,'YBN FH TB'!K:K)</f>
        <v/>
      </c>
      <c r="X92" s="60">
        <f>-SUMIF('YBN FH TB'!$T:$T,'FH P&amp;L'!$A92,'YBN FH TB'!L:L)</f>
        <v/>
      </c>
      <c r="Y92" s="60">
        <f>-SUMIF('YBN FH TB'!$T:$T,'FH P&amp;L'!$A92,'YBN FH TB'!M:M)</f>
        <v/>
      </c>
      <c r="Z92" s="60">
        <f>-SUMIF('YBN FH TB'!$T:$T,'FH P&amp;L'!$A92,'YBN FH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48" t="n">
        <v>0</v>
      </c>
      <c r="AJ92" s="148" t="n">
        <v>0</v>
      </c>
      <c r="AK92" s="148" t="n">
        <v>0</v>
      </c>
      <c r="AL92" s="148" t="n">
        <v>0</v>
      </c>
      <c r="AM92" s="148" t="n">
        <v>0</v>
      </c>
      <c r="AN92" s="148" t="n">
        <v>0</v>
      </c>
      <c r="AO92" s="149">
        <f>SUM(AC92:AH92)+SUM(AI92:AN92)</f>
        <v/>
      </c>
      <c r="AP92" s="145">
        <f>IF(AB92&lt;&gt;0,(AO92-AB92)/ABS(AB92),0)</f>
        <v/>
      </c>
    </row>
    <row r="93" ht="15.75" customHeight="1">
      <c r="A93" s="8" t="n"/>
      <c r="B93" s="67" t="n">
        <v>-172.7500000000003</v>
      </c>
      <c r="C93" s="67" t="n">
        <v>-112.1499999999976</v>
      </c>
      <c r="D93" s="67" t="n">
        <v>8501.030000000001</v>
      </c>
      <c r="E93" s="67" t="n">
        <v>1268.610000000001</v>
      </c>
      <c r="F93" s="67" t="n">
        <v>488.7699999999979</v>
      </c>
      <c r="G93" s="67" t="n">
        <v>-160.0299999999994</v>
      </c>
      <c r="H93" s="67" t="n">
        <v>2333.309999999999</v>
      </c>
      <c r="I93" s="67" t="n">
        <v>-8189.879999999999</v>
      </c>
      <c r="J93" s="67" t="n">
        <v>-3461.419999999999</v>
      </c>
      <c r="K93" s="67" t="n">
        <v>-7064.090000000002</v>
      </c>
      <c r="L93" s="67" t="n">
        <v>-9555.530000000004</v>
      </c>
      <c r="M93" s="67" t="n">
        <v>-5550.129999999999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134" t="n">
        <v>0</v>
      </c>
      <c r="AJ93" s="134" t="n">
        <v>0</v>
      </c>
      <c r="AK93" s="134" t="n">
        <v>0</v>
      </c>
      <c r="AL93" s="134" t="n">
        <v>0</v>
      </c>
      <c r="AM93" s="134" t="n">
        <v>0</v>
      </c>
      <c r="AN93" s="134" t="n">
        <v>0</v>
      </c>
      <c r="AO93" s="150">
        <f>SUM(AC93:AH93)+SUM(AI93:AN93)</f>
        <v/>
      </c>
      <c r="AP93" s="145">
        <f>IF(AB93&lt;&gt;0,(AO93-AB93)/ABS(AB93),0)</f>
        <v/>
      </c>
    </row>
    <row r="94" ht="15.75" customHeight="1">
      <c r="A94" s="8" t="n"/>
      <c r="B94" s="18" t="n">
        <v>1.364242052659392e-12</v>
      </c>
      <c r="C94" s="18" t="n">
        <v>-4.547473508864641e-13</v>
      </c>
      <c r="D94" s="18" t="n">
        <v>0</v>
      </c>
      <c r="E94" s="18" t="n">
        <v>0</v>
      </c>
      <c r="F94" s="18" t="n">
        <v>9.094947017729282e-13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24092.96000000001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148" t="n">
        <v>0</v>
      </c>
      <c r="AJ94" s="148" t="n">
        <v>0</v>
      </c>
      <c r="AK94" s="148" t="n">
        <v>0</v>
      </c>
      <c r="AL94" s="148" t="n">
        <v>0</v>
      </c>
      <c r="AM94" s="148" t="n">
        <v>0</v>
      </c>
      <c r="AN94" s="148" t="n">
        <v>0</v>
      </c>
      <c r="AO94" s="149">
        <f>SUM(AC94:AH94)+SUM(AI94:AN94)</f>
        <v/>
      </c>
      <c r="AP94" s="145">
        <f>IF(AB94&lt;&gt;0,(AO94-AB94)/ABS(AB94),0)</f>
        <v/>
      </c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1.335820343228988e-12</v>
      </c>
      <c r="C96" s="18" t="n">
        <v>9.379164112033322e-13</v>
      </c>
      <c r="D96" s="18" t="n">
        <v>0</v>
      </c>
      <c r="E96" s="18" t="n">
        <v>0</v>
      </c>
      <c r="F96" s="18" t="n">
        <v>1.13686837721616e-12</v>
      </c>
      <c r="G96" s="18" t="n">
        <v>1.477928890381008e-12</v>
      </c>
      <c r="H96" s="18" t="n">
        <v>0</v>
      </c>
      <c r="I96" s="18" t="n">
        <v>0</v>
      </c>
      <c r="J96" s="18" t="n">
        <v>78.61000000000058</v>
      </c>
      <c r="K96" s="18" t="n">
        <v>0</v>
      </c>
      <c r="L96" s="18" t="n">
        <v>0</v>
      </c>
      <c r="M96" s="18" t="n">
        <v>-24092.96000000001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48" t="n">
        <v>0</v>
      </c>
      <c r="AJ96" s="148" t="n">
        <v>0</v>
      </c>
      <c r="AK96" s="148" t="n">
        <v>0</v>
      </c>
      <c r="AL96" s="148" t="n">
        <v>0</v>
      </c>
      <c r="AM96" s="148" t="n">
        <v>0</v>
      </c>
      <c r="AN96" s="148" t="n">
        <v>0</v>
      </c>
      <c r="AO96" s="149">
        <f>SUM(AC96:AH96)+SUM(AI96:AN96)</f>
        <v/>
      </c>
      <c r="AP96" s="145">
        <f>IF(AB96&lt;&gt;0,(AO96-AB96)/ABS(AB96),0)</f>
        <v/>
      </c>
    </row>
    <row r="97">
      <c r="A97" s="8" t="n"/>
      <c r="B97" s="18" t="n">
        <v>172.7500000000017</v>
      </c>
      <c r="C97" s="18" t="n">
        <v>112.1499999999986</v>
      </c>
      <c r="D97" s="18" t="n">
        <v>-8501.030000000002</v>
      </c>
      <c r="E97" s="18" t="n">
        <v>-1268.609999999999</v>
      </c>
      <c r="F97" s="18" t="n">
        <v>-488.7699999999968</v>
      </c>
      <c r="G97" s="18" t="n">
        <v>160.0300000000009</v>
      </c>
      <c r="H97" s="18" t="n">
        <v>-2333.310000000001</v>
      </c>
      <c r="I97" s="18" t="n">
        <v>8189.879999999999</v>
      </c>
      <c r="J97" s="18" t="n">
        <v>3540.03</v>
      </c>
      <c r="K97" s="18" t="n">
        <v>7064.09</v>
      </c>
      <c r="L97" s="18" t="n">
        <v>9555.529999999997</v>
      </c>
      <c r="M97" s="18" t="n">
        <v>-18542.83000000001</v>
      </c>
      <c r="N97" s="8" t="n"/>
      <c r="O97" s="60">
        <f>SUM('YBN FH TB'!C2:C43)</f>
        <v/>
      </c>
      <c r="P97" s="60">
        <f>SUM('YBN FH TB'!D2:D43)</f>
        <v/>
      </c>
      <c r="Q97" s="60">
        <f>SUM('YBN FH TB'!E2:E43)</f>
        <v/>
      </c>
      <c r="R97" s="60">
        <f>SUM('YBN FH TB'!F2:F43)</f>
        <v/>
      </c>
      <c r="S97" s="60">
        <f>SUM('YBN FH TB'!G2:G43)</f>
        <v/>
      </c>
      <c r="T97" s="60">
        <f>SUM('YBN FH TB'!H2:H43)</f>
        <v/>
      </c>
      <c r="U97" s="60">
        <f>SUM('YBN FH TB'!I2:I43)</f>
        <v/>
      </c>
      <c r="V97" s="60">
        <f>SUM('YBN FH TB'!J2:J43)</f>
        <v/>
      </c>
      <c r="W97" s="60">
        <f>SUM('YBN FH TB'!K2:K43)</f>
        <v/>
      </c>
      <c r="X97" s="60">
        <f>SUM('YBN FH TB'!L2:L43)</f>
        <v/>
      </c>
      <c r="Y97" s="60">
        <f>SUM('YBN FH TB'!M2:M43)</f>
        <v/>
      </c>
      <c r="Z97" s="60">
        <f>SUM('YBN FH TB'!N2:N43)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148" t="n">
        <v>0</v>
      </c>
      <c r="AJ97" s="148" t="n">
        <v>0</v>
      </c>
      <c r="AK97" s="148" t="n">
        <v>0</v>
      </c>
      <c r="AL97" s="148" t="n">
        <v>0</v>
      </c>
      <c r="AM97" s="148" t="n">
        <v>0</v>
      </c>
      <c r="AN97" s="148" t="n">
        <v>0</v>
      </c>
      <c r="AO97" s="149">
        <f>SUM(AC97:AH97)+SUM(AI97:AN97)</f>
        <v/>
      </c>
      <c r="AP97" s="145">
        <f>IF(AB97&lt;&gt;0,(AO97-AB97)/ABS(AB97),0)</f>
        <v/>
      </c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pane xSplit="13" ySplit="36" topLeftCell="N3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5703125" customWidth="1" min="27" max="27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KNL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37" t="n">
        <v>0</v>
      </c>
      <c r="U8" s="37" t="n">
        <v>0</v>
      </c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117" t="n">
        <v>0</v>
      </c>
      <c r="AJ8" s="118" t="n">
        <v>0</v>
      </c>
      <c r="AK8" s="118" t="n">
        <v>0</v>
      </c>
      <c r="AL8" s="118" t="n">
        <v>0</v>
      </c>
      <c r="AM8" s="119" t="n">
        <v>0</v>
      </c>
      <c r="AN8" s="117" t="n">
        <v>0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 t="n">
        <v>0</v>
      </c>
      <c r="P9" s="37" t="n">
        <v>0</v>
      </c>
      <c r="Q9" s="37" t="n">
        <v>0</v>
      </c>
      <c r="R9" s="37" t="n">
        <v>0</v>
      </c>
      <c r="S9" s="37" t="n">
        <v>0</v>
      </c>
      <c r="T9" s="37" t="n">
        <v>0</v>
      </c>
      <c r="U9" s="37" t="n">
        <v>0</v>
      </c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16.94</v>
      </c>
      <c r="H10" s="35" t="n">
        <v>0</v>
      </c>
      <c r="I10" s="35" t="n">
        <v>0</v>
      </c>
      <c r="J10" s="35" t="n">
        <v>850.5700000000001</v>
      </c>
      <c r="K10" s="35" t="n">
        <v>0</v>
      </c>
      <c r="L10" s="35" t="n">
        <v>730.24</v>
      </c>
      <c r="M10" s="35" t="n">
        <v>0</v>
      </c>
      <c r="N10" s="36">
        <f>SUM(B10:M10)</f>
        <v/>
      </c>
      <c r="O10" s="37" t="n">
        <v>0</v>
      </c>
      <c r="P10" s="37" t="n">
        <v>0</v>
      </c>
      <c r="Q10" s="37" t="n">
        <v>0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16.94</v>
      </c>
      <c r="H11" s="42" t="n">
        <v>0</v>
      </c>
      <c r="I11" s="42" t="n">
        <v>0</v>
      </c>
      <c r="J11" s="42" t="n">
        <v>850.5700000000001</v>
      </c>
      <c r="K11" s="42" t="n">
        <v>0</v>
      </c>
      <c r="L11" s="42" t="n">
        <v>730.24</v>
      </c>
      <c r="M11" s="42" t="n">
        <v>0</v>
      </c>
      <c r="N11" s="43">
        <f>SUM(B11:M11)</f>
        <v/>
      </c>
      <c r="O11" s="44" t="n">
        <v>0</v>
      </c>
      <c r="P11" s="44" t="n">
        <v>0</v>
      </c>
      <c r="Q11" s="44" t="n">
        <v>0</v>
      </c>
      <c r="R11" s="44" t="n">
        <v>0</v>
      </c>
      <c r="S11" s="44" t="n">
        <v>0</v>
      </c>
      <c r="T11" s="44" t="n">
        <v>0</v>
      </c>
      <c r="U11" s="44" t="n">
        <v>0</v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134" t="n">
        <v>0</v>
      </c>
      <c r="AJ11" s="157" t="n">
        <v>0</v>
      </c>
      <c r="AK11" s="157" t="n">
        <v>0</v>
      </c>
      <c r="AL11" s="157" t="n">
        <v>0</v>
      </c>
      <c r="AM11" s="157" t="n">
        <v>0</v>
      </c>
      <c r="AN11" s="134" t="n">
        <v>0</v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n"/>
      <c r="B13" s="47" t="n"/>
      <c r="C13" s="47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  <c r="AH13" s="47" t="n"/>
      <c r="AI13" s="81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117" t="n">
        <v>0</v>
      </c>
      <c r="AJ16" s="118" t="n">
        <v>0</v>
      </c>
      <c r="AK16" s="118" t="n">
        <v>0</v>
      </c>
      <c r="AL16" s="118" t="n">
        <v>0</v>
      </c>
      <c r="AM16" s="119" t="n">
        <v>0</v>
      </c>
      <c r="AN16" s="117" t="n">
        <v>0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37" t="n">
        <v>0</v>
      </c>
      <c r="U17" s="37" t="n">
        <v>0</v>
      </c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117" t="n">
        <v>0</v>
      </c>
      <c r="AJ17" s="118" t="n">
        <v>0</v>
      </c>
      <c r="AK17" s="118" t="n">
        <v>0</v>
      </c>
      <c r="AL17" s="118" t="n">
        <v>0</v>
      </c>
      <c r="AM17" s="119" t="n">
        <v>0</v>
      </c>
      <c r="AN17" s="117" t="n">
        <v>0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37" t="n">
        <v>0</v>
      </c>
      <c r="U18" s="37" t="n">
        <v>0</v>
      </c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117" t="n">
        <v>0</v>
      </c>
      <c r="AJ18" s="118" t="n">
        <v>0</v>
      </c>
      <c r="AK18" s="118" t="n">
        <v>0</v>
      </c>
      <c r="AL18" s="118" t="n">
        <v>0</v>
      </c>
      <c r="AM18" s="119" t="n">
        <v>0</v>
      </c>
      <c r="AN18" s="117" t="n">
        <v>0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251.32</v>
      </c>
      <c r="C19" s="35" t="n">
        <v>-1</v>
      </c>
      <c r="D19" s="35" t="n">
        <v>42.98</v>
      </c>
      <c r="E19" s="35" t="n">
        <v>0</v>
      </c>
      <c r="F19" s="35" t="n">
        <v>0</v>
      </c>
      <c r="G19" s="35" t="n">
        <v>20.28</v>
      </c>
      <c r="H19" s="35" t="n">
        <v>53</v>
      </c>
      <c r="I19" s="35" t="n">
        <v>0</v>
      </c>
      <c r="J19" s="35" t="n">
        <v>125.58</v>
      </c>
      <c r="K19" s="35" t="n">
        <v>0</v>
      </c>
      <c r="L19" s="35" t="n">
        <v>43.34</v>
      </c>
      <c r="M19" s="35" t="n">
        <v>30.98</v>
      </c>
      <c r="N19" s="36">
        <f>SUM(B19:M19)</f>
        <v/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0</v>
      </c>
      <c r="U19" s="37" t="n">
        <v>0</v>
      </c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117" t="n">
        <v>0</v>
      </c>
      <c r="AJ19" s="118" t="n">
        <v>0</v>
      </c>
      <c r="AK19" s="118" t="n">
        <v>0</v>
      </c>
      <c r="AL19" s="118" t="n">
        <v>0</v>
      </c>
      <c r="AM19" s="119" t="n">
        <v>0</v>
      </c>
      <c r="AN19" s="117" t="n">
        <v>0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2093.6</v>
      </c>
      <c r="C20" s="35" t="n">
        <v>7064.880000000001</v>
      </c>
      <c r="D20" s="35" t="n">
        <v>2725.99</v>
      </c>
      <c r="E20" s="35" t="n">
        <v>2100.8</v>
      </c>
      <c r="F20" s="35" t="n">
        <v>1948.2</v>
      </c>
      <c r="G20" s="35" t="n">
        <v>1535.64</v>
      </c>
      <c r="H20" s="35" t="n">
        <v>1763.2</v>
      </c>
      <c r="I20" s="35" t="n">
        <v>2601.5</v>
      </c>
      <c r="J20" s="35" t="n">
        <v>1643.2</v>
      </c>
      <c r="K20" s="35" t="n">
        <v>6098.6</v>
      </c>
      <c r="L20" s="35" t="n">
        <v>440</v>
      </c>
      <c r="M20" s="35" t="n">
        <v>95.7</v>
      </c>
      <c r="N20" s="36">
        <f>SUM(B20:M20)</f>
        <v/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7" t="n">
        <v>0</v>
      </c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117" t="n">
        <v>0</v>
      </c>
      <c r="AJ20" s="118" t="n">
        <v>0</v>
      </c>
      <c r="AK20" s="118" t="n">
        <v>0</v>
      </c>
      <c r="AL20" s="118" t="n">
        <v>0</v>
      </c>
      <c r="AM20" s="119" t="n">
        <v>0</v>
      </c>
      <c r="AN20" s="117" t="n">
        <v>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3746.52</v>
      </c>
      <c r="C21" s="35" t="n">
        <v>1951.9</v>
      </c>
      <c r="D21" s="35" t="n">
        <v>1552.85</v>
      </c>
      <c r="E21" s="35" t="n">
        <v>2180.94</v>
      </c>
      <c r="F21" s="35" t="n">
        <v>2227.49</v>
      </c>
      <c r="G21" s="35" t="n">
        <v>824.1799999999999</v>
      </c>
      <c r="H21" s="35" t="n">
        <v>932.1799999999999</v>
      </c>
      <c r="I21" s="35" t="n">
        <v>379.18</v>
      </c>
      <c r="J21" s="35" t="n">
        <v>512.5699999999999</v>
      </c>
      <c r="K21" s="35" t="n">
        <v>787.26</v>
      </c>
      <c r="L21" s="35" t="n">
        <v>1075.18</v>
      </c>
      <c r="M21" s="35" t="n">
        <v>862.24</v>
      </c>
      <c r="N21" s="36">
        <f>SUM(B21:M21)</f>
        <v/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37" t="n">
        <v>0</v>
      </c>
      <c r="U21" s="37" t="n">
        <v>0</v>
      </c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117" t="n">
        <v>0</v>
      </c>
      <c r="AJ21" s="118" t="n">
        <v>0</v>
      </c>
      <c r="AK21" s="118" t="n">
        <v>0</v>
      </c>
      <c r="AL21" s="118" t="n">
        <v>0</v>
      </c>
      <c r="AM21" s="119" t="n">
        <v>0</v>
      </c>
      <c r="AN21" s="117" t="n">
        <v>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69.98999999999999</v>
      </c>
      <c r="E22" s="35" t="n">
        <v>0</v>
      </c>
      <c r="F22" s="35" t="n">
        <v>69.05</v>
      </c>
      <c r="G22" s="35" t="n">
        <v>4876.26</v>
      </c>
      <c r="H22" s="35" t="n">
        <v>528.17</v>
      </c>
      <c r="I22" s="35" t="n">
        <v>0</v>
      </c>
      <c r="J22" s="35" t="n">
        <v>600</v>
      </c>
      <c r="K22" s="35" t="n">
        <v>39.89</v>
      </c>
      <c r="L22" s="35" t="n">
        <v>0</v>
      </c>
      <c r="M22" s="35" t="n">
        <v>0</v>
      </c>
      <c r="N22" s="36">
        <f>SUM(B22:M22)</f>
        <v/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1630</v>
      </c>
      <c r="H23" s="35" t="n">
        <v>1755</v>
      </c>
      <c r="I23" s="35" t="n">
        <v>1000</v>
      </c>
      <c r="J23" s="35" t="n">
        <v>2060</v>
      </c>
      <c r="K23" s="35" t="n">
        <v>988.3</v>
      </c>
      <c r="L23" s="35" t="n">
        <v>3534</v>
      </c>
      <c r="M23" s="35" t="n">
        <v>1700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117" t="n">
        <v>0</v>
      </c>
      <c r="AJ23" s="118" t="n">
        <v>0</v>
      </c>
      <c r="AK23" s="118" t="n">
        <v>0</v>
      </c>
      <c r="AL23" s="118" t="n">
        <v>0</v>
      </c>
      <c r="AM23" s="119" t="n">
        <v>0</v>
      </c>
      <c r="AN23" s="117" t="n">
        <v>0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 t="n">
        <v>0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7" t="n">
        <v>0</v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6091.440000000001</v>
      </c>
      <c r="C25" s="42" t="n">
        <v>9015.780000000001</v>
      </c>
      <c r="D25" s="42" t="n">
        <v>4391.809999999999</v>
      </c>
      <c r="E25" s="42" t="n">
        <v>4281.74</v>
      </c>
      <c r="F25" s="42" t="n">
        <v>4244.740000000001</v>
      </c>
      <c r="G25" s="42" t="n">
        <v>8886.360000000001</v>
      </c>
      <c r="H25" s="42" t="n">
        <v>5031.55</v>
      </c>
      <c r="I25" s="42" t="n">
        <v>3980.68</v>
      </c>
      <c r="J25" s="42" t="n">
        <v>4941.35</v>
      </c>
      <c r="K25" s="42" t="n">
        <v>7914.050000000001</v>
      </c>
      <c r="L25" s="42" t="n">
        <v>5092.52</v>
      </c>
      <c r="M25" s="42" t="n">
        <v>2688.92</v>
      </c>
      <c r="N25" s="43">
        <f>SUM(B25:M25)</f>
        <v/>
      </c>
      <c r="O25" s="44" t="n">
        <v>0</v>
      </c>
      <c r="P25" s="44" t="n">
        <v>0</v>
      </c>
      <c r="Q25" s="44" t="n">
        <v>0</v>
      </c>
      <c r="R25" s="44" t="n">
        <v>0</v>
      </c>
      <c r="S25" s="44" t="n">
        <v>0</v>
      </c>
      <c r="T25" s="44" t="n">
        <v>0</v>
      </c>
      <c r="U25" s="44" t="n">
        <v>0</v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134" t="n">
        <v>0</v>
      </c>
      <c r="AJ25" s="157" t="n">
        <v>0</v>
      </c>
      <c r="AK25" s="157" t="n">
        <v>0</v>
      </c>
      <c r="AL25" s="157" t="n">
        <v>0</v>
      </c>
      <c r="AM25" s="157" t="n">
        <v>0</v>
      </c>
      <c r="AN25" s="134" t="n">
        <v>0</v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280.37</v>
      </c>
      <c r="E27" s="35" t="n">
        <v>101.16</v>
      </c>
      <c r="F27" s="35" t="n">
        <v>0</v>
      </c>
      <c r="G27" s="35" t="n">
        <v>0</v>
      </c>
      <c r="H27" s="35" t="n">
        <v>0</v>
      </c>
      <c r="I27" s="35" t="n">
        <v>0</v>
      </c>
      <c r="J27" s="35" t="n">
        <v>0</v>
      </c>
      <c r="K27" s="35" t="n">
        <v>0</v>
      </c>
      <c r="L27" s="35" t="n">
        <v>3.15</v>
      </c>
      <c r="M27" s="35" t="n">
        <v>0</v>
      </c>
      <c r="N27" s="36">
        <f>SUM(B27:M27)</f>
        <v/>
      </c>
      <c r="O27" s="37" t="n">
        <v>0</v>
      </c>
      <c r="P27" s="37" t="n">
        <v>0</v>
      </c>
      <c r="Q27" s="37" t="n">
        <v>0</v>
      </c>
      <c r="R27" s="37" t="n">
        <v>0</v>
      </c>
      <c r="S27" s="37" t="n">
        <v>0</v>
      </c>
      <c r="T27" s="37" t="n">
        <v>0</v>
      </c>
      <c r="U27" s="37" t="n">
        <v>0</v>
      </c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117" t="n">
        <v>0</v>
      </c>
      <c r="AJ27" s="118" t="n">
        <v>0</v>
      </c>
      <c r="AK27" s="118" t="n">
        <v>0</v>
      </c>
      <c r="AL27" s="118" t="n">
        <v>0</v>
      </c>
      <c r="AM27" s="119" t="n">
        <v>0</v>
      </c>
      <c r="AN27" s="117" t="n">
        <v>0</v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12.33</v>
      </c>
      <c r="H28" s="35" t="n">
        <v>0</v>
      </c>
      <c r="I28" s="35" t="n">
        <v>0</v>
      </c>
      <c r="J28" s="35" t="n">
        <v>0</v>
      </c>
      <c r="K28" s="35" t="n">
        <v>7.97</v>
      </c>
      <c r="L28" s="35" t="n">
        <v>0</v>
      </c>
      <c r="M28" s="35" t="n">
        <v>0</v>
      </c>
      <c r="N28" s="36">
        <f>SUM(B28:M28)</f>
        <v/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117" t="n">
        <v>0</v>
      </c>
      <c r="AJ28" s="118" t="n">
        <v>0</v>
      </c>
      <c r="AK28" s="118" t="n">
        <v>0</v>
      </c>
      <c r="AL28" s="118" t="n">
        <v>0</v>
      </c>
      <c r="AM28" s="119" t="n">
        <v>0</v>
      </c>
      <c r="AN28" s="117" t="n">
        <v>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5.98</v>
      </c>
      <c r="L29" s="35" t="n">
        <v>0</v>
      </c>
      <c r="M29" s="35" t="n">
        <v>0</v>
      </c>
      <c r="N29" s="36">
        <f>SUM(B29:M29)</f>
        <v/>
      </c>
      <c r="O29" s="37" t="n">
        <v>0</v>
      </c>
      <c r="P29" s="37" t="n">
        <v>0</v>
      </c>
      <c r="Q29" s="37" t="n">
        <v>0</v>
      </c>
      <c r="R29" s="37" t="n">
        <v>0</v>
      </c>
      <c r="S29" s="37" t="n">
        <v>0</v>
      </c>
      <c r="T29" s="37" t="n">
        <v>0</v>
      </c>
      <c r="U29" s="37" t="n">
        <v>0</v>
      </c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117" t="n">
        <v>0</v>
      </c>
      <c r="AJ29" s="118" t="n">
        <v>0</v>
      </c>
      <c r="AK29" s="118" t="n">
        <v>0</v>
      </c>
      <c r="AL29" s="118" t="n">
        <v>0</v>
      </c>
      <c r="AM29" s="119" t="n">
        <v>0</v>
      </c>
      <c r="AN29" s="117" t="n">
        <v>0</v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174.71</v>
      </c>
      <c r="C30" s="35" t="n">
        <v>146.94</v>
      </c>
      <c r="D30" s="35" t="n">
        <v>35.89</v>
      </c>
      <c r="E30" s="35" t="n">
        <v>125.98</v>
      </c>
      <c r="F30" s="35" t="n">
        <v>44.48</v>
      </c>
      <c r="G30" s="35" t="n">
        <v>112.97</v>
      </c>
      <c r="H30" s="35" t="n">
        <v>461.6200000000001</v>
      </c>
      <c r="I30" s="35" t="n">
        <v>125.85</v>
      </c>
      <c r="J30" s="35" t="n">
        <v>73.06999999999999</v>
      </c>
      <c r="K30" s="35" t="n">
        <v>78.53999999999999</v>
      </c>
      <c r="L30" s="35" t="n">
        <v>113.5</v>
      </c>
      <c r="M30" s="35" t="n">
        <v>50.44</v>
      </c>
      <c r="N30" s="36">
        <f>SUM(B30:M30)</f>
        <v/>
      </c>
      <c r="O30" s="37" t="n">
        <v>0</v>
      </c>
      <c r="P30" s="37" t="n">
        <v>0</v>
      </c>
      <c r="Q30" s="37" t="n">
        <v>0</v>
      </c>
      <c r="R30" s="37" t="n">
        <v>0</v>
      </c>
      <c r="S30" s="37" t="n">
        <v>0</v>
      </c>
      <c r="T30" s="37" t="n">
        <v>0</v>
      </c>
      <c r="U30" s="37" t="n">
        <v>0</v>
      </c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117" t="n">
        <v>0</v>
      </c>
      <c r="AJ30" s="118" t="n">
        <v>0</v>
      </c>
      <c r="AK30" s="118" t="n">
        <v>0</v>
      </c>
      <c r="AL30" s="118" t="n">
        <v>0</v>
      </c>
      <c r="AM30" s="119" t="n">
        <v>0</v>
      </c>
      <c r="AN30" s="117" t="n">
        <v>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498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0</v>
      </c>
      <c r="L31" s="35" t="n">
        <v>0</v>
      </c>
      <c r="M31" s="35" t="n">
        <v>0</v>
      </c>
      <c r="N31" s="36">
        <f>SUM(B31:M31)</f>
        <v/>
      </c>
      <c r="O31" s="37" t="n">
        <v>0</v>
      </c>
      <c r="P31" s="37" t="n">
        <v>0</v>
      </c>
      <c r="Q31" s="37" t="n">
        <v>0</v>
      </c>
      <c r="R31" s="37" t="n">
        <v>0</v>
      </c>
      <c r="S31" s="37" t="n">
        <v>0</v>
      </c>
      <c r="T31" s="37" t="n">
        <v>0</v>
      </c>
      <c r="U31" s="37" t="n">
        <v>0</v>
      </c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117" t="n">
        <v>0</v>
      </c>
      <c r="AJ31" s="118" t="n">
        <v>0</v>
      </c>
      <c r="AK31" s="118" t="n">
        <v>0</v>
      </c>
      <c r="AL31" s="118" t="n">
        <v>0</v>
      </c>
      <c r="AM31" s="119" t="n">
        <v>0</v>
      </c>
      <c r="AN31" s="117" t="n">
        <v>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30.44</v>
      </c>
      <c r="C32" s="35" t="n">
        <v>36.5</v>
      </c>
      <c r="D32" s="35" t="n">
        <v>0</v>
      </c>
      <c r="E32" s="35" t="n">
        <v>13.65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 t="n">
        <v>0</v>
      </c>
      <c r="P32" s="37" t="n">
        <v>0</v>
      </c>
      <c r="Q32" s="37" t="n">
        <v>0</v>
      </c>
      <c r="R32" s="37" t="n">
        <v>0</v>
      </c>
      <c r="S32" s="37" t="n">
        <v>0</v>
      </c>
      <c r="T32" s="37" t="n">
        <v>0</v>
      </c>
      <c r="U32" s="37" t="n">
        <v>0</v>
      </c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117" t="n">
        <v>0</v>
      </c>
      <c r="AJ32" s="118" t="n">
        <v>0</v>
      </c>
      <c r="AK32" s="118" t="n">
        <v>0</v>
      </c>
      <c r="AL32" s="118" t="n">
        <v>0</v>
      </c>
      <c r="AM32" s="119" t="n">
        <v>0</v>
      </c>
      <c r="AN32" s="117" t="n">
        <v>0</v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 t="n">
        <v>0</v>
      </c>
      <c r="P33" s="37" t="n">
        <v>0</v>
      </c>
      <c r="Q33" s="37" t="n">
        <v>0</v>
      </c>
      <c r="R33" s="37" t="n">
        <v>0</v>
      </c>
      <c r="S33" s="37" t="n">
        <v>0</v>
      </c>
      <c r="T33" s="37" t="n">
        <v>0</v>
      </c>
      <c r="U33" s="37" t="n">
        <v>0</v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703.1500000000001</v>
      </c>
      <c r="C34" s="42" t="n">
        <v>183.44</v>
      </c>
      <c r="D34" s="42" t="n">
        <v>316.26</v>
      </c>
      <c r="E34" s="42" t="n">
        <v>240.79</v>
      </c>
      <c r="F34" s="42" t="n">
        <v>44.48</v>
      </c>
      <c r="G34" s="42" t="n">
        <v>125.3</v>
      </c>
      <c r="H34" s="42" t="n">
        <v>461.6200000000001</v>
      </c>
      <c r="I34" s="42" t="n">
        <v>125.85</v>
      </c>
      <c r="J34" s="42" t="n">
        <v>73.06999999999999</v>
      </c>
      <c r="K34" s="42" t="n">
        <v>92.48999999999999</v>
      </c>
      <c r="L34" s="42" t="n">
        <v>116.65</v>
      </c>
      <c r="M34" s="42" t="n">
        <v>50.44</v>
      </c>
      <c r="N34" s="43">
        <f>SUM(B34:M34)</f>
        <v/>
      </c>
      <c r="O34" s="44" t="n">
        <v>0</v>
      </c>
      <c r="P34" s="44" t="n">
        <v>0</v>
      </c>
      <c r="Q34" s="44" t="n">
        <v>0</v>
      </c>
      <c r="R34" s="44" t="n">
        <v>0</v>
      </c>
      <c r="S34" s="44" t="n">
        <v>0</v>
      </c>
      <c r="T34" s="44" t="n">
        <v>0</v>
      </c>
      <c r="U34" s="44" t="n">
        <v>0</v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134" t="n">
        <v>0</v>
      </c>
      <c r="AJ34" s="157" t="n">
        <v>0</v>
      </c>
      <c r="AK34" s="157" t="n">
        <v>0</v>
      </c>
      <c r="AL34" s="157" t="n">
        <v>0</v>
      </c>
      <c r="AM34" s="157" t="n">
        <v>0</v>
      </c>
      <c r="AN34" s="134" t="n">
        <v>0</v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769.29</v>
      </c>
      <c r="C37" s="35" t="n">
        <v>769.29</v>
      </c>
      <c r="D37" s="35" t="n">
        <v>769.29</v>
      </c>
      <c r="E37" s="35" t="n">
        <v>769.29</v>
      </c>
      <c r="F37" s="35" t="n">
        <v>769.29</v>
      </c>
      <c r="G37" s="35" t="n">
        <v>769.29</v>
      </c>
      <c r="H37" s="35" t="n">
        <v>769.29</v>
      </c>
      <c r="I37" s="35" t="n">
        <v>769.29</v>
      </c>
      <c r="J37" s="35" t="n">
        <v>769.29</v>
      </c>
      <c r="K37" s="35" t="n">
        <v>769.29</v>
      </c>
      <c r="L37" s="35" t="n">
        <v>769.29</v>
      </c>
      <c r="M37" s="35" t="n">
        <v>769.29</v>
      </c>
      <c r="N37" s="36">
        <f>SUM(B37:M37)</f>
        <v/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8" t="n">
        <v>736.67</v>
      </c>
      <c r="W37" s="38" t="n">
        <v>736.67</v>
      </c>
      <c r="X37" s="38" t="n">
        <v>736.67</v>
      </c>
      <c r="Y37" s="38" t="n">
        <v>736.67</v>
      </c>
      <c r="Z37" s="38" t="n">
        <v>736.67</v>
      </c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117" t="n">
        <v>0</v>
      </c>
      <c r="AJ37" s="118" t="n">
        <v>0</v>
      </c>
      <c r="AK37" s="118" t="n">
        <v>0</v>
      </c>
      <c r="AL37" s="118" t="n">
        <v>0</v>
      </c>
      <c r="AM37" s="119" t="n">
        <v>0</v>
      </c>
      <c r="AN37" s="117" t="n">
        <v>0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628.96</v>
      </c>
      <c r="C38" s="35" t="n">
        <v>300.63</v>
      </c>
      <c r="D38" s="35" t="n">
        <v>271.59</v>
      </c>
      <c r="E38" s="35" t="n">
        <v>-778.0699999999999</v>
      </c>
      <c r="F38" s="35" t="n">
        <v>178.3700000000001</v>
      </c>
      <c r="G38" s="35" t="n">
        <v>243.71</v>
      </c>
      <c r="H38" s="35" t="n">
        <v>283.43</v>
      </c>
      <c r="I38" s="35" t="n">
        <v>288.92</v>
      </c>
      <c r="J38" s="35" t="n">
        <v>180.98</v>
      </c>
      <c r="K38" s="35" t="n">
        <v>399.15</v>
      </c>
      <c r="L38" s="35" t="n">
        <v>273.05</v>
      </c>
      <c r="M38" s="35" t="n">
        <v>-1949.84</v>
      </c>
      <c r="N38" s="36">
        <f>SUM(B38:M38)</f>
        <v/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8" t="n">
        <v>200</v>
      </c>
      <c r="W38" s="38" t="n">
        <v>200</v>
      </c>
      <c r="X38" s="38" t="n">
        <v>200</v>
      </c>
      <c r="Y38" s="38" t="n">
        <v>200</v>
      </c>
      <c r="Z38" s="38" t="n">
        <v>200</v>
      </c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117" t="n">
        <v>0</v>
      </c>
      <c r="AJ38" s="118" t="n">
        <v>0</v>
      </c>
      <c r="AK38" s="118" t="n">
        <v>0</v>
      </c>
      <c r="AL38" s="118" t="n">
        <v>0</v>
      </c>
      <c r="AM38" s="119" t="n">
        <v>0</v>
      </c>
      <c r="AN38" s="117" t="n">
        <v>0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1783.02</v>
      </c>
      <c r="C39" s="35" t="n">
        <v>1160.22</v>
      </c>
      <c r="D39" s="35" t="n">
        <v>1766.9</v>
      </c>
      <c r="E39" s="35" t="n">
        <v>854.3</v>
      </c>
      <c r="F39" s="35" t="n">
        <v>1437.47</v>
      </c>
      <c r="G39" s="35" t="n">
        <v>1109.24</v>
      </c>
      <c r="H39" s="35" t="n">
        <v>616.9200000000001</v>
      </c>
      <c r="I39" s="35" t="n">
        <v>297.62</v>
      </c>
      <c r="J39" s="35" t="n">
        <v>910.5200000000002</v>
      </c>
      <c r="K39" s="35" t="n">
        <v>1882.44</v>
      </c>
      <c r="L39" s="35" t="n">
        <v>133.83</v>
      </c>
      <c r="M39" s="35" t="n">
        <v>382.66</v>
      </c>
      <c r="N39" s="36">
        <f>SUM(B39:M39)</f>
        <v/>
      </c>
      <c r="O39" s="37" t="n">
        <v>0</v>
      </c>
      <c r="P39" s="37" t="n">
        <v>0</v>
      </c>
      <c r="Q39" s="37" t="n">
        <v>0</v>
      </c>
      <c r="R39" s="37" t="n">
        <v>0</v>
      </c>
      <c r="S39" s="37" t="n">
        <v>0</v>
      </c>
      <c r="T39" s="37" t="n">
        <v>0</v>
      </c>
      <c r="U39" s="37" t="n">
        <v>0</v>
      </c>
      <c r="V39" s="38" t="n">
        <v>3500</v>
      </c>
      <c r="W39" s="38" t="n">
        <v>3500</v>
      </c>
      <c r="X39" s="38" t="n">
        <v>3500</v>
      </c>
      <c r="Y39" s="38" t="n">
        <v>3500</v>
      </c>
      <c r="Z39" s="38" t="n">
        <v>3500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76.42</v>
      </c>
      <c r="C40" s="35" t="n">
        <v>180</v>
      </c>
      <c r="D40" s="35" t="n">
        <v>1122.03</v>
      </c>
      <c r="E40" s="35" t="n">
        <v>144.95</v>
      </c>
      <c r="F40" s="35" t="n">
        <v>0</v>
      </c>
      <c r="G40" s="35" t="n">
        <v>1122.03</v>
      </c>
      <c r="H40" s="35" t="n">
        <v>1262.02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8" t="n">
        <v>0</v>
      </c>
      <c r="W40" s="38" t="n">
        <v>0</v>
      </c>
      <c r="X40" s="38" t="n">
        <v>0</v>
      </c>
      <c r="Y40" s="38" t="n">
        <v>0</v>
      </c>
      <c r="Z40" s="38" t="n">
        <v>0</v>
      </c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117" t="n">
        <v>0</v>
      </c>
      <c r="AJ40" s="118" t="n">
        <v>0</v>
      </c>
      <c r="AK40" s="118" t="n">
        <v>0</v>
      </c>
      <c r="AL40" s="118" t="n">
        <v>0</v>
      </c>
      <c r="AM40" s="119" t="n">
        <v>0</v>
      </c>
      <c r="AN40" s="117" t="n">
        <v>0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112.74</v>
      </c>
      <c r="C41" s="35" t="n">
        <v>112.74</v>
      </c>
      <c r="D41" s="35" t="n">
        <v>113.22</v>
      </c>
      <c r="E41" s="35" t="n">
        <v>113.22</v>
      </c>
      <c r="F41" s="35" t="n">
        <v>590.5</v>
      </c>
      <c r="G41" s="35" t="n">
        <v>261.85</v>
      </c>
      <c r="H41" s="35" t="n">
        <v>229.12</v>
      </c>
      <c r="I41" s="35" t="n">
        <v>266.82</v>
      </c>
      <c r="J41" s="35" t="n">
        <v>118.37</v>
      </c>
      <c r="K41" s="35" t="n">
        <v>118.37</v>
      </c>
      <c r="L41" s="35" t="n">
        <v>-31.22999999999999</v>
      </c>
      <c r="M41" s="35" t="n">
        <v>222.77</v>
      </c>
      <c r="N41" s="36">
        <f>SUM(B41:M41)</f>
        <v/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8" t="n">
        <v>240</v>
      </c>
      <c r="W41" s="38" t="n">
        <v>240</v>
      </c>
      <c r="X41" s="38" t="n">
        <v>240</v>
      </c>
      <c r="Y41" s="38" t="n">
        <v>240</v>
      </c>
      <c r="Z41" s="38" t="n">
        <v>240</v>
      </c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117" t="n">
        <v>0</v>
      </c>
      <c r="AJ41" s="118" t="n">
        <v>0</v>
      </c>
      <c r="AK41" s="118" t="n">
        <v>0</v>
      </c>
      <c r="AL41" s="118" t="n">
        <v>0</v>
      </c>
      <c r="AM41" s="119" t="n">
        <v>0</v>
      </c>
      <c r="AN41" s="117" t="n">
        <v>0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1386.33</v>
      </c>
      <c r="C42" s="35" t="n">
        <v>548.5699999999999</v>
      </c>
      <c r="D42" s="35" t="n">
        <v>171.22</v>
      </c>
      <c r="E42" s="35" t="n">
        <v>79.02</v>
      </c>
      <c r="F42" s="35" t="n">
        <v>363.68</v>
      </c>
      <c r="G42" s="35" t="n">
        <v>87.47</v>
      </c>
      <c r="H42" s="35" t="n">
        <v>301.23</v>
      </c>
      <c r="I42" s="35" t="n">
        <v>218.49</v>
      </c>
      <c r="J42" s="35" t="n">
        <v>213.11</v>
      </c>
      <c r="K42" s="35" t="n">
        <v>30.72</v>
      </c>
      <c r="L42" s="35" t="n">
        <v>196.04</v>
      </c>
      <c r="M42" s="35" t="n">
        <v>730.47</v>
      </c>
      <c r="N42" s="36">
        <f>SUM(B42:M42)</f>
        <v/>
      </c>
      <c r="O42" s="37" t="n">
        <v>0</v>
      </c>
      <c r="P42" s="37" t="n">
        <v>0</v>
      </c>
      <c r="Q42" s="37" t="n">
        <v>0</v>
      </c>
      <c r="R42" s="37" t="n">
        <v>0</v>
      </c>
      <c r="S42" s="37" t="n">
        <v>0</v>
      </c>
      <c r="T42" s="37" t="n">
        <v>0</v>
      </c>
      <c r="U42" s="37" t="n">
        <v>0</v>
      </c>
      <c r="V42" s="38" t="n">
        <v>200</v>
      </c>
      <c r="W42" s="38" t="n">
        <v>200</v>
      </c>
      <c r="X42" s="38" t="n">
        <v>200</v>
      </c>
      <c r="Y42" s="38" t="n">
        <v>200</v>
      </c>
      <c r="Z42" s="38" t="n">
        <v>200</v>
      </c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3312.7</v>
      </c>
      <c r="C43" s="35" t="n">
        <v>3286.88</v>
      </c>
      <c r="D43" s="35" t="n">
        <v>3825.05</v>
      </c>
      <c r="E43" s="35" t="n">
        <v>3504.24</v>
      </c>
      <c r="F43" s="35" t="n">
        <v>3500.68</v>
      </c>
      <c r="G43" s="35" t="n">
        <v>3505.49</v>
      </c>
      <c r="H43" s="35" t="n">
        <v>3652.43</v>
      </c>
      <c r="I43" s="35" t="n">
        <v>3507.11</v>
      </c>
      <c r="J43" s="35" t="n">
        <v>3516.05</v>
      </c>
      <c r="K43" s="35" t="n">
        <v>3345.18</v>
      </c>
      <c r="L43" s="35" t="n">
        <v>3519.39</v>
      </c>
      <c r="M43" s="35" t="n">
        <v>3907.98</v>
      </c>
      <c r="N43" s="36">
        <f>SUM(B43:M43)</f>
        <v/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8" t="n">
        <v>3500</v>
      </c>
      <c r="W43" s="38" t="n">
        <v>3500</v>
      </c>
      <c r="X43" s="38" t="n">
        <v>8500</v>
      </c>
      <c r="Y43" s="38" t="n">
        <v>3500</v>
      </c>
      <c r="Z43" s="38" t="n">
        <v>3500</v>
      </c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4653.46</v>
      </c>
      <c r="C45" s="35" t="n">
        <v>4592.05</v>
      </c>
      <c r="D45" s="35" t="n">
        <v>1826.47</v>
      </c>
      <c r="E45" s="35" t="n">
        <v>3771.9</v>
      </c>
      <c r="F45" s="35" t="n">
        <v>2115.33</v>
      </c>
      <c r="G45" s="35" t="n">
        <v>9287.91</v>
      </c>
      <c r="H45" s="35" t="n">
        <v>2622.49</v>
      </c>
      <c r="I45" s="35" t="n">
        <v>3476.43</v>
      </c>
      <c r="J45" s="35" t="n">
        <v>4380.61</v>
      </c>
      <c r="K45" s="35" t="n">
        <v>2639.55</v>
      </c>
      <c r="L45" s="35" t="n">
        <v>2333.38</v>
      </c>
      <c r="M45" s="35" t="n">
        <v>1559.54</v>
      </c>
      <c r="N45" s="36">
        <f>SUM(B45:M45)</f>
        <v/>
      </c>
      <c r="O45" s="37" t="n">
        <v>0</v>
      </c>
      <c r="P45" s="37" t="n">
        <v>0</v>
      </c>
      <c r="Q45" s="37" t="n">
        <v>0</v>
      </c>
      <c r="R45" s="37" t="n">
        <v>0</v>
      </c>
      <c r="S45" s="37" t="n">
        <v>0</v>
      </c>
      <c r="T45" s="37" t="n">
        <v>0</v>
      </c>
      <c r="U45" s="37" t="n">
        <v>0</v>
      </c>
      <c r="V45" s="38" t="n">
        <v>2500</v>
      </c>
      <c r="W45" s="38" t="n">
        <v>2500</v>
      </c>
      <c r="X45" s="38" t="n">
        <v>2500</v>
      </c>
      <c r="Y45" s="38" t="n">
        <v>2500</v>
      </c>
      <c r="Z45" s="38" t="n">
        <v>2500</v>
      </c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117" t="n">
        <v>0</v>
      </c>
      <c r="AJ45" s="118" t="n">
        <v>0</v>
      </c>
      <c r="AK45" s="118" t="n">
        <v>0</v>
      </c>
      <c r="AL45" s="118" t="n">
        <v>0</v>
      </c>
      <c r="AM45" s="119" t="n">
        <v>0</v>
      </c>
      <c r="AN45" s="117" t="n">
        <v>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460.32</v>
      </c>
      <c r="I46" s="35" t="n">
        <v>475.15</v>
      </c>
      <c r="J46" s="35" t="n">
        <v>212.63</v>
      </c>
      <c r="K46" s="35" t="n">
        <v>102.57</v>
      </c>
      <c r="L46" s="35" t="n">
        <v>0</v>
      </c>
      <c r="M46" s="35" t="n">
        <v>55.85</v>
      </c>
      <c r="N46" s="36">
        <f>SUM(B46:M46)</f>
        <v/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12722.92</v>
      </c>
      <c r="C47" s="42" t="n">
        <v>10950.38</v>
      </c>
      <c r="D47" s="42" t="n">
        <v>9865.769999999999</v>
      </c>
      <c r="E47" s="42" t="n">
        <v>8458.85</v>
      </c>
      <c r="F47" s="42" t="n">
        <v>8955.32</v>
      </c>
      <c r="G47" s="42" t="n">
        <v>16386.99</v>
      </c>
      <c r="H47" s="42" t="n">
        <v>10197.25</v>
      </c>
      <c r="I47" s="42" t="n">
        <v>9299.83</v>
      </c>
      <c r="J47" s="42" t="n">
        <v>10301.56</v>
      </c>
      <c r="K47" s="42" t="n">
        <v>9287.27</v>
      </c>
      <c r="L47" s="42" t="n">
        <v>7193.75</v>
      </c>
      <c r="M47" s="42" t="n">
        <v>5678.72</v>
      </c>
      <c r="N47" s="52">
        <f>SUM(B47:M47)</f>
        <v/>
      </c>
      <c r="O47" s="44" t="n">
        <v>0</v>
      </c>
      <c r="P47" s="44" t="n">
        <v>0</v>
      </c>
      <c r="Q47" s="44" t="n">
        <v>0</v>
      </c>
      <c r="R47" s="44" t="n">
        <v>0</v>
      </c>
      <c r="S47" s="44" t="n">
        <v>0</v>
      </c>
      <c r="T47" s="44" t="n">
        <v>0</v>
      </c>
      <c r="U47" s="44" t="n">
        <v>0</v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134" t="n">
        <v>0</v>
      </c>
      <c r="AJ47" s="157" t="n">
        <v>0</v>
      </c>
      <c r="AK47" s="157" t="n">
        <v>0</v>
      </c>
      <c r="AL47" s="157" t="n">
        <v>0</v>
      </c>
      <c r="AM47" s="158" t="n">
        <v>0</v>
      </c>
      <c r="AN47" s="134" t="n">
        <v>0</v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19517.51</v>
      </c>
      <c r="C48" s="23" t="n">
        <v>20149.6</v>
      </c>
      <c r="D48" s="23" t="n">
        <v>14573.84</v>
      </c>
      <c r="E48" s="23" t="n">
        <v>12981.38</v>
      </c>
      <c r="F48" s="23" t="n">
        <v>13244.54</v>
      </c>
      <c r="G48" s="23" t="n">
        <v>25398.65</v>
      </c>
      <c r="H48" s="23" t="n">
        <v>15690.42</v>
      </c>
      <c r="I48" s="23" t="n">
        <v>13406.36</v>
      </c>
      <c r="J48" s="23" t="n">
        <v>15315.98</v>
      </c>
      <c r="K48" s="23" t="n">
        <v>17293.81</v>
      </c>
      <c r="L48" s="23" t="n">
        <v>12402.92</v>
      </c>
      <c r="M48" s="23" t="n">
        <v>8418.08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134" t="n">
        <v>0</v>
      </c>
      <c r="AJ48" s="135" t="n">
        <v>0</v>
      </c>
      <c r="AK48" s="135" t="n">
        <v>0</v>
      </c>
      <c r="AL48" s="135" t="n">
        <v>0</v>
      </c>
      <c r="AM48" s="135" t="n">
        <v>0</v>
      </c>
      <c r="AN48" s="134" t="n">
        <v>0</v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-19517.51</v>
      </c>
      <c r="C50" s="55" t="n">
        <v>-20149.6</v>
      </c>
      <c r="D50" s="55" t="n">
        <v>-14573.84</v>
      </c>
      <c r="E50" s="55" t="n">
        <v>-12981.38</v>
      </c>
      <c r="F50" s="55" t="n">
        <v>-13244.54</v>
      </c>
      <c r="G50" s="55" t="n">
        <v>-25381.71</v>
      </c>
      <c r="H50" s="55" t="n">
        <v>-15690.42</v>
      </c>
      <c r="I50" s="55" t="n">
        <v>-13406.36</v>
      </c>
      <c r="J50" s="55" t="n">
        <v>-14465.41</v>
      </c>
      <c r="K50" s="55" t="n">
        <v>-17293.81</v>
      </c>
      <c r="L50" s="55" t="n">
        <v>-11672.68</v>
      </c>
      <c r="M50" s="55" t="n">
        <v>-8418.08</v>
      </c>
      <c r="N50" s="55">
        <f>SUM(B50:M50)</f>
        <v/>
      </c>
      <c r="O50" s="55" t="n">
        <v>0</v>
      </c>
      <c r="P50" s="55" t="n">
        <v>0</v>
      </c>
      <c r="Q50" s="55" t="n">
        <v>0</v>
      </c>
      <c r="R50" s="55" t="n">
        <v>0</v>
      </c>
      <c r="S50" s="55" t="n">
        <v>0</v>
      </c>
      <c r="T50" s="55" t="n">
        <v>0</v>
      </c>
      <c r="U50" s="55" t="n">
        <v>0</v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 t="n"/>
      <c r="AD50" s="55" t="n"/>
      <c r="AE50" s="55" t="n"/>
      <c r="AF50" s="55" t="n"/>
      <c r="AG50" s="55" t="n"/>
      <c r="AH50" s="55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82089.10000000001</v>
      </c>
      <c r="C53" s="35" t="n">
        <v>83145.28</v>
      </c>
      <c r="D53" s="35" t="n">
        <v>82791.22</v>
      </c>
      <c r="E53" s="35" t="n">
        <v>134235.96</v>
      </c>
      <c r="F53" s="35" t="n">
        <v>81426.45999999999</v>
      </c>
      <c r="G53" s="35" t="n">
        <v>97910.46000000001</v>
      </c>
      <c r="H53" s="35" t="n">
        <v>97978.69</v>
      </c>
      <c r="I53" s="35" t="n">
        <v>112374.73</v>
      </c>
      <c r="J53" s="35" t="n">
        <v>137394</v>
      </c>
      <c r="K53" s="35" t="n">
        <v>102166.94</v>
      </c>
      <c r="L53" s="35" t="n">
        <v>108279</v>
      </c>
      <c r="M53" s="35" t="n">
        <v>384692.96</v>
      </c>
      <c r="N53" s="36">
        <f>SUM(B53:M53)</f>
        <v/>
      </c>
      <c r="O53" s="37" t="n">
        <v>110561.6</v>
      </c>
      <c r="P53" s="37" t="n">
        <v>104194.85</v>
      </c>
      <c r="Q53" s="37" t="n">
        <v>122684.97</v>
      </c>
      <c r="R53" s="37" t="n">
        <v>172859.62</v>
      </c>
      <c r="S53" s="37" t="n">
        <v>117438.53</v>
      </c>
      <c r="T53" s="37" t="n">
        <v>116497.42</v>
      </c>
      <c r="U53" s="37" t="n">
        <v>117057.9</v>
      </c>
      <c r="V53" s="38" t="n">
        <v>117439</v>
      </c>
      <c r="W53" s="38" t="n">
        <v>117439</v>
      </c>
      <c r="X53" s="38" t="n">
        <v>117439</v>
      </c>
      <c r="Y53" s="38" t="n">
        <v>117439</v>
      </c>
      <c r="Z53" s="38">
        <f>117439+281000</f>
        <v/>
      </c>
      <c r="AA53" s="36">
        <f>SUM(O53:U53)</f>
        <v/>
      </c>
      <c r="AB53" s="36">
        <f>SUM(O53:Z53)</f>
        <v/>
      </c>
      <c r="AC53" s="38" t="n">
        <v>117439</v>
      </c>
      <c r="AD53" s="38" t="n">
        <v>117439</v>
      </c>
      <c r="AE53" s="38" t="n">
        <v>117439</v>
      </c>
      <c r="AF53" s="38" t="n">
        <v>117439</v>
      </c>
      <c r="AG53" s="38" t="n">
        <v>117439</v>
      </c>
      <c r="AH53" s="38" t="n">
        <v>117439</v>
      </c>
      <c r="AI53" s="117" t="n">
        <v>117439</v>
      </c>
      <c r="AJ53" s="118" t="n">
        <v>117439</v>
      </c>
      <c r="AK53" s="118" t="n">
        <v>117439</v>
      </c>
      <c r="AL53" s="118" t="n">
        <v>117439</v>
      </c>
      <c r="AM53" s="119" t="n">
        <v>117439</v>
      </c>
      <c r="AN53" s="117" t="n">
        <v>117439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9992.110000000001</v>
      </c>
      <c r="C54" s="35" t="n">
        <v>11326.84</v>
      </c>
      <c r="D54" s="35" t="n">
        <v>11325.06</v>
      </c>
      <c r="E54" s="35" t="n">
        <v>20699.56</v>
      </c>
      <c r="F54" s="35" t="n">
        <v>12797.69</v>
      </c>
      <c r="G54" s="35" t="n">
        <v>15261.34</v>
      </c>
      <c r="H54" s="35" t="n">
        <v>15170.04</v>
      </c>
      <c r="I54" s="35" t="n">
        <v>17278.08</v>
      </c>
      <c r="J54" s="35" t="n">
        <v>15614.88</v>
      </c>
      <c r="K54" s="35" t="n">
        <v>14827.88</v>
      </c>
      <c r="L54" s="35" t="n">
        <v>15458.86</v>
      </c>
      <c r="M54" s="35" t="n">
        <v>57020.84</v>
      </c>
      <c r="N54" s="36">
        <f>SUM(B54:M54)</f>
        <v/>
      </c>
      <c r="O54" s="37" t="n">
        <v>15829.25</v>
      </c>
      <c r="P54" s="37" t="n">
        <v>14890.45</v>
      </c>
      <c r="Q54" s="37" t="n">
        <v>17671.3</v>
      </c>
      <c r="R54" s="37" t="n">
        <v>25136.38</v>
      </c>
      <c r="S54" s="37" t="n">
        <v>16772.83</v>
      </c>
      <c r="T54" s="37" t="n">
        <v>16744.56</v>
      </c>
      <c r="U54" s="37" t="n">
        <v>16640.7</v>
      </c>
      <c r="V54" s="38" t="n">
        <v>16773</v>
      </c>
      <c r="W54" s="38" t="n">
        <v>16773</v>
      </c>
      <c r="X54" s="38" t="n">
        <v>16773</v>
      </c>
      <c r="Y54" s="38" t="n">
        <v>16773</v>
      </c>
      <c r="Z54" s="38" t="n">
        <v>16773</v>
      </c>
      <c r="AA54" s="36">
        <f>SUM(O54:U54)</f>
        <v/>
      </c>
      <c r="AB54" s="36">
        <f>SUM(O54:Z54)</f>
        <v/>
      </c>
      <c r="AC54" s="38" t="n">
        <v>16773</v>
      </c>
      <c r="AD54" s="38" t="n">
        <v>16773</v>
      </c>
      <c r="AE54" s="38" t="n">
        <v>16773</v>
      </c>
      <c r="AF54" s="38" t="n">
        <v>16773</v>
      </c>
      <c r="AG54" s="38" t="n">
        <v>16773</v>
      </c>
      <c r="AH54" s="38" t="n">
        <v>16773</v>
      </c>
      <c r="AI54" s="117" t="n">
        <v>16773</v>
      </c>
      <c r="AJ54" s="118" t="n">
        <v>16773</v>
      </c>
      <c r="AK54" s="118" t="n">
        <v>16773</v>
      </c>
      <c r="AL54" s="118" t="n">
        <v>16773</v>
      </c>
      <c r="AM54" s="119" t="n">
        <v>16773</v>
      </c>
      <c r="AN54" s="117" t="n">
        <v>16773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697.8300000000002</v>
      </c>
      <c r="C55" s="35" t="n">
        <v>754.1500000000001</v>
      </c>
      <c r="D55" s="35" t="n">
        <v>754.1500000000001</v>
      </c>
      <c r="E55" s="35" t="n">
        <v>754.1500000000001</v>
      </c>
      <c r="F55" s="35" t="n">
        <v>754.1500000000001</v>
      </c>
      <c r="G55" s="35" t="n">
        <v>645.13</v>
      </c>
      <c r="H55" s="35" t="n">
        <v>711.13</v>
      </c>
      <c r="I55" s="35" t="n">
        <v>711.13</v>
      </c>
      <c r="J55" s="35" t="n">
        <v>711.13</v>
      </c>
      <c r="K55" s="35" t="n">
        <v>343.6</v>
      </c>
      <c r="L55" s="35" t="n">
        <v>397.55</v>
      </c>
      <c r="M55" s="35" t="n">
        <v>397.55</v>
      </c>
      <c r="N55" s="36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585.15</v>
      </c>
      <c r="U55" s="37" t="n">
        <v>585.15</v>
      </c>
      <c r="V55" s="38" t="n">
        <v>695</v>
      </c>
      <c r="W55" s="38" t="n">
        <v>695</v>
      </c>
      <c r="X55" s="38" t="n">
        <v>695</v>
      </c>
      <c r="Y55" s="38" t="n">
        <v>695</v>
      </c>
      <c r="Z55" s="38" t="n">
        <v>695</v>
      </c>
      <c r="AA55" s="36">
        <f>SUM(O55:U55)</f>
        <v/>
      </c>
      <c r="AB55" s="36">
        <f>SUM(O55:Z55)</f>
        <v/>
      </c>
      <c r="AC55" s="38" t="n">
        <v>695</v>
      </c>
      <c r="AD55" s="38" t="n">
        <v>695</v>
      </c>
      <c r="AE55" s="38" t="n">
        <v>695</v>
      </c>
      <c r="AF55" s="38" t="n">
        <v>695</v>
      </c>
      <c r="AG55" s="38" t="n">
        <v>695</v>
      </c>
      <c r="AH55" s="38" t="n">
        <v>695</v>
      </c>
      <c r="AI55" s="117" t="n">
        <v>695</v>
      </c>
      <c r="AJ55" s="118" t="n">
        <v>695</v>
      </c>
      <c r="AK55" s="118" t="n">
        <v>695</v>
      </c>
      <c r="AL55" s="118" t="n">
        <v>695</v>
      </c>
      <c r="AM55" s="119" t="n">
        <v>695</v>
      </c>
      <c r="AN55" s="117" t="n">
        <v>695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832.4000000000001</v>
      </c>
      <c r="C56" s="35" t="n">
        <v>886.37</v>
      </c>
      <c r="D56" s="35" t="n">
        <v>987.53</v>
      </c>
      <c r="E56" s="35" t="n">
        <v>1010.72</v>
      </c>
      <c r="F56" s="35" t="n">
        <v>917.11</v>
      </c>
      <c r="G56" s="35" t="n">
        <v>900.63</v>
      </c>
      <c r="H56" s="35" t="n">
        <v>1072.08</v>
      </c>
      <c r="I56" s="35" t="n">
        <v>989.58</v>
      </c>
      <c r="J56" s="35" t="n">
        <v>823.79</v>
      </c>
      <c r="K56" s="35" t="n">
        <v>958.6500000000001</v>
      </c>
      <c r="L56" s="35" t="n">
        <v>1038.97</v>
      </c>
      <c r="M56" s="35" t="n">
        <v>980.35</v>
      </c>
      <c r="N56" s="36">
        <f>SUM(B56:M56)</f>
        <v/>
      </c>
      <c r="O56" s="37" t="n">
        <v>1185.13</v>
      </c>
      <c r="P56" s="37" t="n">
        <v>1099.1</v>
      </c>
      <c r="Q56" s="37" t="n">
        <v>1911.99</v>
      </c>
      <c r="R56" s="37" t="n">
        <v>1982.45</v>
      </c>
      <c r="S56" s="37" t="n">
        <v>1897.62</v>
      </c>
      <c r="T56" s="37" t="n">
        <v>1896.13</v>
      </c>
      <c r="U56" s="37" t="n">
        <v>1156.53</v>
      </c>
      <c r="V56" s="38" t="n">
        <v>1897.62</v>
      </c>
      <c r="W56" s="38" t="n">
        <v>1897.62</v>
      </c>
      <c r="X56" s="38" t="n">
        <v>1897.62</v>
      </c>
      <c r="Y56" s="38" t="n">
        <v>1897.62</v>
      </c>
      <c r="Z56" s="38" t="n">
        <v>1897.62</v>
      </c>
      <c r="AA56" s="36">
        <f>SUM(O56:U56)</f>
        <v/>
      </c>
      <c r="AB56" s="36">
        <f>SUM(O56:Z56)</f>
        <v/>
      </c>
      <c r="AC56" s="38" t="n">
        <v>1897.62</v>
      </c>
      <c r="AD56" s="38" t="n">
        <v>1897.62</v>
      </c>
      <c r="AE56" s="38" t="n">
        <v>1897.62</v>
      </c>
      <c r="AF56" s="38" t="n">
        <v>1897.62</v>
      </c>
      <c r="AG56" s="38" t="n">
        <v>1897.62</v>
      </c>
      <c r="AH56" s="38" t="n">
        <v>1897.62</v>
      </c>
      <c r="AI56" s="117" t="n">
        <v>1897.62</v>
      </c>
      <c r="AJ56" s="118" t="n">
        <v>1897.62</v>
      </c>
      <c r="AK56" s="118" t="n">
        <v>1897.62</v>
      </c>
      <c r="AL56" s="118" t="n">
        <v>1897.62</v>
      </c>
      <c r="AM56" s="119" t="n">
        <v>1897.62</v>
      </c>
      <c r="AN56" s="117" t="n">
        <v>1897.62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300.41</v>
      </c>
      <c r="J57" s="35" t="n">
        <v>16814</v>
      </c>
      <c r="K57" s="35" t="n">
        <v>0</v>
      </c>
      <c r="L57" s="35" t="n">
        <v>0</v>
      </c>
      <c r="M57" s="35" t="n">
        <v>1160.7</v>
      </c>
      <c r="N57" s="36">
        <f>SUM(B57:M57)</f>
        <v/>
      </c>
      <c r="O57" s="37" t="n">
        <v>0</v>
      </c>
      <c r="P57" s="37" t="n">
        <v>0</v>
      </c>
      <c r="Q57" s="37" t="n">
        <v>0</v>
      </c>
      <c r="R57" s="37" t="n">
        <v>0</v>
      </c>
      <c r="S57" s="37" t="n">
        <v>0</v>
      </c>
      <c r="T57" s="37" t="n">
        <v>0</v>
      </c>
      <c r="U57" s="37" t="n">
        <v>0</v>
      </c>
      <c r="V57" s="38" t="n"/>
      <c r="W57" s="38" t="n"/>
      <c r="X57" s="38" t="n"/>
      <c r="Y57" s="38" t="n"/>
      <c r="Z57" s="38">
        <f>21*30</f>
        <v/>
      </c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117" t="n">
        <v>0</v>
      </c>
      <c r="AJ57" s="118" t="n">
        <v>0</v>
      </c>
      <c r="AK57" s="118" t="n">
        <v>0</v>
      </c>
      <c r="AL57" s="118" t="n">
        <v>0</v>
      </c>
      <c r="AM57" s="119" t="n">
        <v>0</v>
      </c>
      <c r="AN57" s="117" t="n">
        <v>0</v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465.62</v>
      </c>
      <c r="C58" s="35" t="n">
        <v>465.62</v>
      </c>
      <c r="D58" s="35" t="n">
        <v>465.62</v>
      </c>
      <c r="E58" s="35" t="n">
        <v>465.62</v>
      </c>
      <c r="F58" s="35" t="n">
        <v>465.62</v>
      </c>
      <c r="G58" s="35" t="n">
        <v>341.4</v>
      </c>
      <c r="H58" s="35" t="n">
        <v>341.4</v>
      </c>
      <c r="I58" s="35" t="n">
        <v>341.4</v>
      </c>
      <c r="J58" s="35" t="n">
        <v>341.4</v>
      </c>
      <c r="K58" s="35" t="n">
        <v>341.4</v>
      </c>
      <c r="L58" s="35" t="n">
        <v>341.4</v>
      </c>
      <c r="M58" s="35" t="n">
        <v>0</v>
      </c>
      <c r="N58" s="36">
        <f>SUM(B58:M58)</f>
        <v/>
      </c>
      <c r="O58" s="37" t="n">
        <v>0</v>
      </c>
      <c r="P58" s="37" t="n">
        <v>0</v>
      </c>
      <c r="Q58" s="37" t="n">
        <v>12212.4</v>
      </c>
      <c r="R58" s="37" t="n">
        <v>2756.4</v>
      </c>
      <c r="S58" s="37" t="n">
        <v>0</v>
      </c>
      <c r="T58" s="37" t="n">
        <v>0</v>
      </c>
      <c r="U58" s="37" t="n">
        <v>195.75</v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2433.87</v>
      </c>
      <c r="C59" s="35" t="n">
        <v>3479.54</v>
      </c>
      <c r="D59" s="35" t="n">
        <v>2017.34</v>
      </c>
      <c r="E59" s="35" t="n">
        <v>2017.34</v>
      </c>
      <c r="F59" s="35" t="n">
        <v>1354.84</v>
      </c>
      <c r="G59" s="35" t="n">
        <v>2674.84</v>
      </c>
      <c r="H59" s="35" t="n">
        <v>2011.34</v>
      </c>
      <c r="I59" s="35" t="n">
        <v>3673.34</v>
      </c>
      <c r="J59" s="35" t="n">
        <v>8823.34</v>
      </c>
      <c r="K59" s="35" t="n">
        <v>1983.34</v>
      </c>
      <c r="L59" s="35" t="n">
        <v>2678.34</v>
      </c>
      <c r="M59" s="35" t="n">
        <v>2876.74</v>
      </c>
      <c r="N59" s="36">
        <f>SUM(B59:M59)</f>
        <v/>
      </c>
      <c r="O59" s="37" t="n">
        <v>2238.11</v>
      </c>
      <c r="P59" s="37" t="n">
        <v>1404.87</v>
      </c>
      <c r="Q59" s="37" t="n">
        <v>1404.87</v>
      </c>
      <c r="R59" s="37" t="n">
        <v>2893.39</v>
      </c>
      <c r="S59" s="37" t="n">
        <v>2933.33</v>
      </c>
      <c r="T59" s="37" t="n">
        <v>14489.47</v>
      </c>
      <c r="U59" s="37" t="n">
        <v>3526.92</v>
      </c>
      <c r="V59" s="38" t="n">
        <v>2856</v>
      </c>
      <c r="W59" s="38" t="n">
        <v>2856</v>
      </c>
      <c r="X59" s="38" t="n">
        <v>2856</v>
      </c>
      <c r="Y59" s="38" t="n">
        <v>2856</v>
      </c>
      <c r="Z59" s="38" t="n">
        <v>2856</v>
      </c>
      <c r="AA59" s="36">
        <f>SUM(O59:U59)</f>
        <v/>
      </c>
      <c r="AB59" s="36">
        <f>SUM(O59:Z59)</f>
        <v/>
      </c>
      <c r="AC59" s="38" t="n">
        <v>2856</v>
      </c>
      <c r="AD59" s="38" t="n">
        <v>2856</v>
      </c>
      <c r="AE59" s="38" t="n">
        <v>2856</v>
      </c>
      <c r="AF59" s="38" t="n">
        <v>2856</v>
      </c>
      <c r="AG59" s="38" t="n">
        <v>2856</v>
      </c>
      <c r="AH59" s="38" t="n">
        <v>2856</v>
      </c>
      <c r="AI59" s="117" t="n">
        <v>2856</v>
      </c>
      <c r="AJ59" s="118" t="n">
        <v>2856</v>
      </c>
      <c r="AK59" s="118" t="n">
        <v>2856</v>
      </c>
      <c r="AL59" s="118" t="n">
        <v>2856</v>
      </c>
      <c r="AM59" s="119" t="n">
        <v>2856</v>
      </c>
      <c r="AN59" s="117" t="n">
        <v>2856</v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623.3</v>
      </c>
      <c r="C60" s="35" t="n">
        <v>548.3099999999999</v>
      </c>
      <c r="D60" s="35" t="n">
        <v>633.3</v>
      </c>
      <c r="E60" s="35" t="n">
        <v>431.47</v>
      </c>
      <c r="F60" s="35" t="n">
        <v>431.68</v>
      </c>
      <c r="G60" s="35" t="n">
        <v>1051.67</v>
      </c>
      <c r="H60" s="35" t="n">
        <v>431.68</v>
      </c>
      <c r="I60" s="35" t="n">
        <v>454.54</v>
      </c>
      <c r="J60" s="35" t="n">
        <v>454.54</v>
      </c>
      <c r="K60" s="35" t="n">
        <v>954.54</v>
      </c>
      <c r="L60" s="35" t="n">
        <v>1174.54</v>
      </c>
      <c r="M60" s="35" t="n">
        <v>2465.74</v>
      </c>
      <c r="N60" s="36">
        <f>SUM(B60:M60)</f>
        <v/>
      </c>
      <c r="O60" s="37" t="n">
        <v>1186.5</v>
      </c>
      <c r="P60" s="37" t="n">
        <v>1186.5</v>
      </c>
      <c r="Q60" s="37" t="n">
        <v>1186.5</v>
      </c>
      <c r="R60" s="37" t="n">
        <v>2593.73</v>
      </c>
      <c r="S60" s="37" t="n">
        <v>2593.73</v>
      </c>
      <c r="T60" s="37" t="n">
        <v>2593.73</v>
      </c>
      <c r="U60" s="37" t="n">
        <v>2593.71</v>
      </c>
      <c r="V60" s="38" t="n">
        <v>2466</v>
      </c>
      <c r="W60" s="38" t="n">
        <v>2466</v>
      </c>
      <c r="X60" s="38" t="n">
        <v>2466</v>
      </c>
      <c r="Y60" s="38" t="n">
        <v>2466</v>
      </c>
      <c r="Z60" s="38" t="n">
        <v>2466</v>
      </c>
      <c r="AA60" s="36">
        <f>SUM(O60:U60)</f>
        <v/>
      </c>
      <c r="AB60" s="36">
        <f>SUM(O60:Z60)</f>
        <v/>
      </c>
      <c r="AC60" s="38" t="n">
        <v>2466</v>
      </c>
      <c r="AD60" s="38" t="n">
        <v>2466</v>
      </c>
      <c r="AE60" s="38" t="n">
        <v>2466</v>
      </c>
      <c r="AF60" s="38" t="n">
        <v>2466</v>
      </c>
      <c r="AG60" s="38" t="n">
        <v>2466</v>
      </c>
      <c r="AH60" s="38" t="n">
        <v>2466</v>
      </c>
      <c r="AI60" s="117" t="n">
        <v>2466</v>
      </c>
      <c r="AJ60" s="118" t="n">
        <v>2466</v>
      </c>
      <c r="AK60" s="118" t="n">
        <v>2466</v>
      </c>
      <c r="AL60" s="118" t="n">
        <v>2466</v>
      </c>
      <c r="AM60" s="119" t="n">
        <v>2466</v>
      </c>
      <c r="AN60" s="117" t="n">
        <v>2466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12.99</v>
      </c>
      <c r="C61" s="35" t="n">
        <v>0</v>
      </c>
      <c r="D61" s="35" t="n">
        <v>9.990000000000009</v>
      </c>
      <c r="E61" s="35" t="n">
        <v>0</v>
      </c>
      <c r="F61" s="35" t="n">
        <v>-5.13</v>
      </c>
      <c r="G61" s="35" t="n">
        <v>289.96</v>
      </c>
      <c r="H61" s="35" t="n">
        <v>2.92</v>
      </c>
      <c r="I61" s="35" t="n">
        <v>5.19</v>
      </c>
      <c r="J61" s="35" t="n">
        <v>5.69</v>
      </c>
      <c r="K61" s="35" t="n">
        <v>0</v>
      </c>
      <c r="L61" s="35" t="n">
        <v>2507.38</v>
      </c>
      <c r="M61" s="35" t="n">
        <v>254.99</v>
      </c>
      <c r="N61" s="36">
        <f>SUM(B61:M61)</f>
        <v/>
      </c>
      <c r="O61" s="37" t="n">
        <v>5384.61</v>
      </c>
      <c r="P61" s="37" t="n">
        <v>7655.49</v>
      </c>
      <c r="Q61" s="37" t="n">
        <v>7967.039999999999</v>
      </c>
      <c r="R61" s="37" t="n">
        <v>9289.66</v>
      </c>
      <c r="S61" s="37" t="n">
        <v>9122.59</v>
      </c>
      <c r="T61" s="37" t="n">
        <v>16372.61</v>
      </c>
      <c r="U61" s="37" t="n">
        <v>8138.370000000001</v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1194.76</v>
      </c>
      <c r="C62" s="35" t="n">
        <v>1981.34</v>
      </c>
      <c r="D62" s="35" t="n">
        <v>1997.94</v>
      </c>
      <c r="E62" s="35" t="n">
        <v>1411.23</v>
      </c>
      <c r="F62" s="35" t="n">
        <v>1075</v>
      </c>
      <c r="G62" s="35" t="n">
        <v>1494.6</v>
      </c>
      <c r="H62" s="35" t="n">
        <v>2705.84</v>
      </c>
      <c r="I62" s="35" t="n">
        <v>1179.39</v>
      </c>
      <c r="J62" s="35" t="n">
        <v>3300.01</v>
      </c>
      <c r="K62" s="35" t="n">
        <v>2471.48</v>
      </c>
      <c r="L62" s="35" t="n">
        <v>3585.76</v>
      </c>
      <c r="M62" s="35" t="n">
        <v>1496.43</v>
      </c>
      <c r="N62" s="36">
        <f>SUM(B62:M62)</f>
        <v/>
      </c>
      <c r="O62" s="37" t="n">
        <v>1610.78</v>
      </c>
      <c r="P62" s="37" t="n">
        <v>345.22</v>
      </c>
      <c r="Q62" s="37" t="n">
        <v>0</v>
      </c>
      <c r="R62" s="37" t="n">
        <v>43.47000000000003</v>
      </c>
      <c r="S62" s="37" t="n">
        <v>88.89</v>
      </c>
      <c r="T62" s="37" t="n">
        <v>1710.61</v>
      </c>
      <c r="U62" s="37" t="n">
        <v>1093.44</v>
      </c>
      <c r="V62" s="38" t="n">
        <v>1000</v>
      </c>
      <c r="W62" s="38" t="n">
        <v>1000</v>
      </c>
      <c r="X62" s="38" t="n">
        <v>1000</v>
      </c>
      <c r="Y62" s="38" t="n">
        <v>1000</v>
      </c>
      <c r="Z62" s="38" t="n">
        <v>1000</v>
      </c>
      <c r="AA62" s="36">
        <f>SUM(O62:U62)</f>
        <v/>
      </c>
      <c r="AB62" s="36">
        <f>SUM(O62:Z62)</f>
        <v/>
      </c>
      <c r="AC62" s="38" t="n">
        <v>1000</v>
      </c>
      <c r="AD62" s="38" t="n">
        <v>1000</v>
      </c>
      <c r="AE62" s="38" t="n">
        <v>1000</v>
      </c>
      <c r="AF62" s="38" t="n">
        <v>1000</v>
      </c>
      <c r="AG62" s="38" t="n">
        <v>1000</v>
      </c>
      <c r="AH62" s="38" t="n">
        <v>1000</v>
      </c>
      <c r="AI62" s="117" t="n">
        <v>1000</v>
      </c>
      <c r="AJ62" s="118" t="n">
        <v>1000</v>
      </c>
      <c r="AK62" s="118" t="n">
        <v>1000</v>
      </c>
      <c r="AL62" s="118" t="n">
        <v>1000</v>
      </c>
      <c r="AM62" s="119" t="n">
        <v>1000</v>
      </c>
      <c r="AN62" s="117" t="n">
        <v>1000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742.17</v>
      </c>
      <c r="C63" s="35" t="n">
        <v>1029.79</v>
      </c>
      <c r="D63" s="35" t="n">
        <v>1029.79</v>
      </c>
      <c r="E63" s="35" t="n">
        <v>1029.79</v>
      </c>
      <c r="F63" s="35" t="n">
        <v>1029.79</v>
      </c>
      <c r="G63" s="35" t="n">
        <v>1029.79</v>
      </c>
      <c r="H63" s="35" t="n">
        <v>1137.79</v>
      </c>
      <c r="I63" s="35" t="n">
        <v>1022.54</v>
      </c>
      <c r="J63" s="35" t="n">
        <v>1022.54</v>
      </c>
      <c r="K63" s="35" t="n">
        <v>1092.42</v>
      </c>
      <c r="L63" s="35" t="n">
        <v>1092.42</v>
      </c>
      <c r="M63" s="35" t="n">
        <v>1179.3</v>
      </c>
      <c r="N63" s="36">
        <f>SUM(B63:M63)</f>
        <v/>
      </c>
      <c r="O63" s="37" t="n">
        <v>0</v>
      </c>
      <c r="P63" s="37" t="n">
        <v>0</v>
      </c>
      <c r="Q63" s="37" t="n">
        <v>0</v>
      </c>
      <c r="R63" s="37" t="n">
        <v>0</v>
      </c>
      <c r="S63" s="37" t="n">
        <v>0</v>
      </c>
      <c r="T63" s="37" t="n">
        <v>0</v>
      </c>
      <c r="U63" s="37" t="n">
        <v>0</v>
      </c>
      <c r="V63" s="38" t="n">
        <v>1041</v>
      </c>
      <c r="W63" s="38" t="n">
        <v>1041</v>
      </c>
      <c r="X63" s="38" t="n">
        <v>1041</v>
      </c>
      <c r="Y63" s="38" t="n">
        <v>1041</v>
      </c>
      <c r="Z63" s="38" t="n">
        <v>1041</v>
      </c>
      <c r="AA63" s="36">
        <f>SUM(O63:U63)</f>
        <v/>
      </c>
      <c r="AB63" s="36">
        <f>SUM(O63:Z63)</f>
        <v/>
      </c>
      <c r="AC63" s="38" t="n">
        <v>1041</v>
      </c>
      <c r="AD63" s="38" t="n">
        <v>1041</v>
      </c>
      <c r="AE63" s="38" t="n">
        <v>1041</v>
      </c>
      <c r="AF63" s="38" t="n">
        <v>1041</v>
      </c>
      <c r="AG63" s="38" t="n">
        <v>1041</v>
      </c>
      <c r="AH63" s="38" t="n">
        <v>1041</v>
      </c>
      <c r="AI63" s="117" t="n">
        <v>1041</v>
      </c>
      <c r="AJ63" s="118" t="n">
        <v>1041</v>
      </c>
      <c r="AK63" s="118" t="n">
        <v>1041</v>
      </c>
      <c r="AL63" s="118" t="n">
        <v>1041</v>
      </c>
      <c r="AM63" s="119" t="n">
        <v>1041</v>
      </c>
      <c r="AN63" s="117" t="n">
        <v>1041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10532.4</v>
      </c>
      <c r="C65" s="35" t="n">
        <v>30</v>
      </c>
      <c r="D65" s="35" t="n">
        <v>22779.6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3504</v>
      </c>
      <c r="N65" s="36">
        <f>SUM(B65:M65)</f>
        <v/>
      </c>
      <c r="O65" s="37" t="n">
        <v>13797.88</v>
      </c>
      <c r="P65" s="37" t="n">
        <v>5720.969999999999</v>
      </c>
      <c r="Q65" s="37" t="n">
        <v>5427.91</v>
      </c>
      <c r="R65" s="37" t="n">
        <v>4311.21</v>
      </c>
      <c r="S65" s="37" t="n">
        <v>4359.15</v>
      </c>
      <c r="T65" s="37" t="n">
        <v>4667.76</v>
      </c>
      <c r="U65" s="37" t="n">
        <v>27831.66</v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 t="n">
        <v>0</v>
      </c>
      <c r="P66" s="37" t="n">
        <v>0</v>
      </c>
      <c r="Q66" s="37" t="n">
        <v>0</v>
      </c>
      <c r="R66" s="37" t="n">
        <v>0</v>
      </c>
      <c r="S66" s="37" t="n">
        <v>0</v>
      </c>
      <c r="T66" s="37" t="n">
        <v>0</v>
      </c>
      <c r="U66" s="37" t="n">
        <v>0</v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-4290.96</v>
      </c>
      <c r="C67" s="35" t="n">
        <v>23918.81</v>
      </c>
      <c r="D67" s="35" t="n">
        <v>6956.65</v>
      </c>
      <c r="E67" s="35" t="n">
        <v>17731.11</v>
      </c>
      <c r="F67" s="35" t="n">
        <v>12608.06</v>
      </c>
      <c r="G67" s="35" t="n">
        <v>5374.48</v>
      </c>
      <c r="H67" s="35" t="n">
        <v>5758.32</v>
      </c>
      <c r="I67" s="35" t="n">
        <v>5661.030000000001</v>
      </c>
      <c r="J67" s="35" t="n">
        <v>17475.36</v>
      </c>
      <c r="K67" s="35" t="n">
        <v>7906.360000000001</v>
      </c>
      <c r="L67" s="35" t="n">
        <v>6674.92</v>
      </c>
      <c r="M67" s="35" t="n">
        <v>5464.04</v>
      </c>
      <c r="N67" s="36">
        <f>SUM(B67:M67)</f>
        <v/>
      </c>
      <c r="O67" s="37" t="n">
        <v>0</v>
      </c>
      <c r="P67" s="37" t="n">
        <v>0</v>
      </c>
      <c r="Q67" s="37" t="n">
        <v>0</v>
      </c>
      <c r="R67" s="37" t="n">
        <v>0</v>
      </c>
      <c r="S67" s="37" t="n">
        <v>0</v>
      </c>
      <c r="T67" s="37" t="n">
        <v>0</v>
      </c>
      <c r="U67" s="37" t="n">
        <v>162.4</v>
      </c>
      <c r="V67" s="38" t="n">
        <v>6000</v>
      </c>
      <c r="W67" s="38" t="n">
        <v>6000</v>
      </c>
      <c r="X67" s="38" t="n">
        <v>6000</v>
      </c>
      <c r="Y67" s="38" t="n">
        <v>6000</v>
      </c>
      <c r="Z67" s="38" t="n">
        <v>6000</v>
      </c>
      <c r="AA67" s="36">
        <f>SUM(O67:U67)</f>
        <v/>
      </c>
      <c r="AB67" s="36">
        <f>SUM(O67:Z67)</f>
        <v/>
      </c>
      <c r="AC67" s="38" t="n">
        <v>6000</v>
      </c>
      <c r="AD67" s="38" t="n">
        <v>6000</v>
      </c>
      <c r="AE67" s="38" t="n">
        <v>6000</v>
      </c>
      <c r="AF67" s="38" t="n">
        <v>6000</v>
      </c>
      <c r="AG67" s="38" t="n">
        <v>6000</v>
      </c>
      <c r="AH67" s="38" t="n">
        <v>6000</v>
      </c>
      <c r="AI67" s="117" t="n">
        <v>6000</v>
      </c>
      <c r="AJ67" s="118" t="n">
        <v>6000</v>
      </c>
      <c r="AK67" s="118" t="n">
        <v>6000</v>
      </c>
      <c r="AL67" s="118" t="n">
        <v>6000</v>
      </c>
      <c r="AM67" s="119" t="n">
        <v>6000</v>
      </c>
      <c r="AN67" s="117" t="n">
        <v>6000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147.7</v>
      </c>
      <c r="C68" s="35" t="n">
        <v>172.2</v>
      </c>
      <c r="D68" s="35" t="n">
        <v>142.8</v>
      </c>
      <c r="E68" s="35" t="n">
        <v>191.45</v>
      </c>
      <c r="F68" s="35" t="n">
        <v>176.1</v>
      </c>
      <c r="G68" s="35" t="n">
        <v>144.45</v>
      </c>
      <c r="H68" s="35" t="n">
        <v>180.25</v>
      </c>
      <c r="I68" s="35" t="n">
        <v>154.35</v>
      </c>
      <c r="J68" s="35" t="n">
        <v>130.55</v>
      </c>
      <c r="K68" s="35" t="n">
        <v>140.7</v>
      </c>
      <c r="L68" s="35" t="n">
        <v>105.7</v>
      </c>
      <c r="M68" s="35" t="n">
        <v>156.45</v>
      </c>
      <c r="N68" s="36">
        <f>SUM(B68:M68)</f>
        <v/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8" t="n">
        <v>2600</v>
      </c>
      <c r="W68" s="38" t="n">
        <v>2600</v>
      </c>
      <c r="X68" s="38" t="n">
        <v>2600</v>
      </c>
      <c r="Y68" s="38" t="n">
        <v>2600</v>
      </c>
      <c r="Z68" s="38" t="n">
        <v>2600</v>
      </c>
      <c r="AA68" s="36">
        <f>SUM(O68:U68)</f>
        <v/>
      </c>
      <c r="AB68" s="36">
        <f>SUM(O68:Z68)</f>
        <v/>
      </c>
      <c r="AC68" s="38" t="n">
        <v>2600</v>
      </c>
      <c r="AD68" s="38" t="n">
        <v>2600</v>
      </c>
      <c r="AE68" s="38" t="n">
        <v>2600</v>
      </c>
      <c r="AF68" s="38" t="n">
        <v>2600</v>
      </c>
      <c r="AG68" s="38" t="n">
        <v>2600</v>
      </c>
      <c r="AH68" s="38" t="n">
        <v>2600</v>
      </c>
      <c r="AI68" s="117" t="n">
        <v>2600</v>
      </c>
      <c r="AJ68" s="118" t="n">
        <v>2600</v>
      </c>
      <c r="AK68" s="118" t="n">
        <v>2600</v>
      </c>
      <c r="AL68" s="118" t="n">
        <v>2600</v>
      </c>
      <c r="AM68" s="119" t="n">
        <v>2600</v>
      </c>
      <c r="AN68" s="117" t="n">
        <v>2600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105473.29</v>
      </c>
      <c r="C69" s="42" t="n">
        <v>127738.25</v>
      </c>
      <c r="D69" s="42" t="n">
        <v>131890.99</v>
      </c>
      <c r="E69" s="42" t="n">
        <v>179978.4</v>
      </c>
      <c r="F69" s="42" t="n">
        <v>113031.37</v>
      </c>
      <c r="G69" s="42" t="n">
        <v>127118.75</v>
      </c>
      <c r="H69" s="42" t="n">
        <v>127501.48</v>
      </c>
      <c r="I69" s="42" t="n">
        <v>144145.71</v>
      </c>
      <c r="J69" s="42" t="n">
        <v>202911.23</v>
      </c>
      <c r="K69" s="42" t="n">
        <v>133187.31</v>
      </c>
      <c r="L69" s="42" t="n">
        <v>143334.84</v>
      </c>
      <c r="M69" s="42" t="n">
        <v>461650.09</v>
      </c>
      <c r="N69" s="43">
        <f>SUM(B69:M69)</f>
        <v/>
      </c>
      <c r="O69" s="44" t="n">
        <v>0</v>
      </c>
      <c r="P69" s="44" t="n">
        <v>0</v>
      </c>
      <c r="Q69" s="44" t="n">
        <v>0</v>
      </c>
      <c r="R69" s="44" t="n">
        <v>0</v>
      </c>
      <c r="S69" s="44" t="n">
        <v>0</v>
      </c>
      <c r="T69" s="44" t="n">
        <v>0</v>
      </c>
      <c r="U69" s="44" t="n">
        <v>0</v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134" t="n">
        <v>0</v>
      </c>
      <c r="AJ69" s="157" t="n">
        <v>0</v>
      </c>
      <c r="AK69" s="157" t="n">
        <v>0</v>
      </c>
      <c r="AL69" s="157" t="n">
        <v>0</v>
      </c>
      <c r="AM69" s="157" t="n">
        <v>0</v>
      </c>
      <c r="AN69" s="134" t="n">
        <v>0</v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-124990.8</v>
      </c>
      <c r="C70" s="55" t="n">
        <v>-147887.8499999999</v>
      </c>
      <c r="D70" s="55" t="n">
        <v>-146464.83</v>
      </c>
      <c r="E70" s="55" t="n">
        <v>-192959.78</v>
      </c>
      <c r="F70" s="55" t="n">
        <v>-126275.91</v>
      </c>
      <c r="G70" s="55" t="n">
        <v>-152500.46</v>
      </c>
      <c r="H70" s="55" t="n">
        <v>-143191.9</v>
      </c>
      <c r="I70" s="55" t="n">
        <v>-157552.07</v>
      </c>
      <c r="J70" s="55" t="n">
        <v>-217376.64</v>
      </c>
      <c r="K70" s="55" t="n">
        <v>-150481.12</v>
      </c>
      <c r="L70" s="55" t="n">
        <v>-155007.52</v>
      </c>
      <c r="M70" s="55" t="n">
        <v>-470068.17</v>
      </c>
      <c r="N70" s="55">
        <f>SUM(B70:M70)</f>
        <v/>
      </c>
      <c r="O70" s="55" t="n">
        <v>0</v>
      </c>
      <c r="P70" s="55" t="n">
        <v>0</v>
      </c>
      <c r="Q70" s="55" t="n">
        <v>0</v>
      </c>
      <c r="R70" s="55" t="n">
        <v>0</v>
      </c>
      <c r="S70" s="55" t="n">
        <v>0</v>
      </c>
      <c r="T70" s="55" t="n">
        <v>0</v>
      </c>
      <c r="U70" s="55" t="n">
        <v>0</v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 t="n"/>
      <c r="AD70" s="55" t="n"/>
      <c r="AE70" s="55" t="n"/>
      <c r="AF70" s="55" t="n"/>
      <c r="AG70" s="55" t="n"/>
      <c r="AH70" s="55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8" t="n"/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63" t="inlineStr">
        <is>
          <t>Memo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7">
        <f>SUM(AC72:AH72)+SUM(AI72:AN72)</f>
        <v/>
      </c>
      <c r="AP72" s="145">
        <f>IF(AB72&lt;&gt;0,(AO72-AB72)/ABS(AB72),0)</f>
        <v/>
      </c>
    </row>
    <row r="73">
      <c r="A73" s="34" t="inlineStr">
        <is>
          <t>Direct - Sales</t>
        </is>
      </c>
      <c r="B73" s="18" t="n">
        <v>0</v>
      </c>
      <c r="C73" s="18" t="n">
        <v>0</v>
      </c>
      <c r="D73" s="18" t="n">
        <v>0</v>
      </c>
      <c r="E73" s="18" t="n">
        <v>0</v>
      </c>
      <c r="F73" s="18" t="n">
        <v>0</v>
      </c>
      <c r="G73" s="18" t="n">
        <v>16.94</v>
      </c>
      <c r="H73" s="18" t="n">
        <v>0</v>
      </c>
      <c r="I73" s="18" t="n">
        <v>0</v>
      </c>
      <c r="J73" s="18" t="n">
        <v>850.5700000000001</v>
      </c>
      <c r="K73" s="18" t="n">
        <v>0</v>
      </c>
      <c r="L73" s="18" t="n">
        <v>730.24</v>
      </c>
      <c r="M73" s="18" t="n">
        <v>0</v>
      </c>
      <c r="N73" s="8" t="n"/>
      <c r="O73" s="60" t="n">
        <v>0</v>
      </c>
      <c r="P73" s="60" t="n">
        <v>0</v>
      </c>
      <c r="Q73" s="60" t="n">
        <v>0</v>
      </c>
      <c r="R73" s="60" t="n">
        <v>0</v>
      </c>
      <c r="S73" s="60" t="n">
        <v>0</v>
      </c>
      <c r="T73" s="60" t="n">
        <v>0</v>
      </c>
      <c r="U73" s="60" t="n">
        <v>0</v>
      </c>
      <c r="V73" s="20" t="n"/>
      <c r="W73" s="20" t="n"/>
      <c r="X73" s="20" t="n"/>
      <c r="Y73" s="20" t="n"/>
      <c r="Z73" s="20" t="n"/>
      <c r="AA73" s="60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134" t="n">
        <v>0</v>
      </c>
      <c r="AJ73" s="134" t="n">
        <v>0</v>
      </c>
      <c r="AK73" s="134" t="n">
        <v>0</v>
      </c>
      <c r="AL73" s="134" t="n">
        <v>0</v>
      </c>
      <c r="AM73" s="134" t="n">
        <v>0</v>
      </c>
      <c r="AN73" s="134" t="n">
        <v>0</v>
      </c>
      <c r="AO73" s="147">
        <f>SUM(AC73:AH73)+SUM(AI73:AN73)</f>
        <v/>
      </c>
      <c r="AP73" s="145">
        <f>IF(AB73&lt;&gt;0,(AO73-AB73)/ABS(AB73),0)</f>
        <v/>
      </c>
    </row>
    <row r="74">
      <c r="A74" s="34" t="inlineStr">
        <is>
          <t>Direct - Staff Cost</t>
        </is>
      </c>
      <c r="B74" s="18" t="n">
        <v>-6091.440000000001</v>
      </c>
      <c r="C74" s="18" t="n">
        <v>-9015.780000000001</v>
      </c>
      <c r="D74" s="18" t="n">
        <v>-4391.81</v>
      </c>
      <c r="E74" s="18" t="n">
        <v>-4281.74</v>
      </c>
      <c r="F74" s="18" t="n">
        <v>-4244.740000000001</v>
      </c>
      <c r="G74" s="18" t="n">
        <v>-8886.360000000001</v>
      </c>
      <c r="H74" s="18" t="n">
        <v>-5031.55</v>
      </c>
      <c r="I74" s="18" t="n">
        <v>-3980.68</v>
      </c>
      <c r="J74" s="18" t="n">
        <v>-4941.349999999999</v>
      </c>
      <c r="K74" s="18" t="n">
        <v>-7914.05</v>
      </c>
      <c r="L74" s="18" t="n">
        <v>-5092.52</v>
      </c>
      <c r="M74" s="18" t="n">
        <v>-2688.92</v>
      </c>
      <c r="N74" s="8" t="n"/>
      <c r="O74" s="60" t="n">
        <v>0</v>
      </c>
      <c r="P74" s="60" t="n">
        <v>0</v>
      </c>
      <c r="Q74" s="60" t="n">
        <v>0</v>
      </c>
      <c r="R74" s="60" t="n">
        <v>0</v>
      </c>
      <c r="S74" s="60" t="n">
        <v>0</v>
      </c>
      <c r="T74" s="60" t="n">
        <v>0</v>
      </c>
      <c r="U74" s="60" t="n">
        <v>0</v>
      </c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134" t="n">
        <v>0</v>
      </c>
      <c r="AJ74" s="134" t="n">
        <v>0</v>
      </c>
      <c r="AK74" s="134" t="n">
        <v>0</v>
      </c>
      <c r="AL74" s="134" t="n">
        <v>0</v>
      </c>
      <c r="AM74" s="134" t="n">
        <v>0</v>
      </c>
      <c r="AN74" s="134" t="n">
        <v>0</v>
      </c>
      <c r="AO74" s="147">
        <f>SUM(AC74:AH74)+SUM(AI74:AN74)</f>
        <v/>
      </c>
      <c r="AP74" s="145">
        <f>IF(AB74&lt;&gt;0,(AO74-AB74)/ABS(AB74),0)</f>
        <v/>
      </c>
    </row>
    <row r="75">
      <c r="A75" s="60" t="inlineStr">
        <is>
          <t>Direct - Childcare Cost</t>
        </is>
      </c>
      <c r="B75" s="18" t="n">
        <v>-703.15</v>
      </c>
      <c r="C75" s="18" t="n">
        <v>-183.44</v>
      </c>
      <c r="D75" s="18" t="n">
        <v>-316.26</v>
      </c>
      <c r="E75" s="18" t="n">
        <v>-240.79</v>
      </c>
      <c r="F75" s="18" t="n">
        <v>-44.48</v>
      </c>
      <c r="G75" s="18" t="n">
        <v>-125.3</v>
      </c>
      <c r="H75" s="18" t="n">
        <v>-461.6200000000001</v>
      </c>
      <c r="I75" s="18" t="n">
        <v>-125.85</v>
      </c>
      <c r="J75" s="18" t="n">
        <v>-73.06999999999999</v>
      </c>
      <c r="K75" s="18" t="n">
        <v>-92.48999999999999</v>
      </c>
      <c r="L75" s="18" t="n">
        <v>-116.65</v>
      </c>
      <c r="M75" s="18" t="n">
        <v>-50.44</v>
      </c>
      <c r="N75" s="8" t="n"/>
      <c r="O75" s="60" t="n">
        <v>0</v>
      </c>
      <c r="P75" s="60" t="n">
        <v>0</v>
      </c>
      <c r="Q75" s="60" t="n">
        <v>0</v>
      </c>
      <c r="R75" s="60" t="n">
        <v>0</v>
      </c>
      <c r="S75" s="60" t="n">
        <v>0</v>
      </c>
      <c r="T75" s="60" t="n">
        <v>0</v>
      </c>
      <c r="U75" s="60" t="n">
        <v>0</v>
      </c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134" t="n">
        <v>0</v>
      </c>
      <c r="AJ75" s="134" t="n">
        <v>0</v>
      </c>
      <c r="AK75" s="134" t="n">
        <v>0</v>
      </c>
      <c r="AL75" s="134" t="n">
        <v>0</v>
      </c>
      <c r="AM75" s="134" t="n">
        <v>0</v>
      </c>
      <c r="AN75" s="134" t="n">
        <v>0</v>
      </c>
      <c r="AO75" s="147">
        <f>SUM(AC75:AH75)+SUM(AI75:AN75)</f>
        <v/>
      </c>
      <c r="AP75" s="145">
        <f>IF(AB75&lt;&gt;0,(AO75-AB75)/ABS(AB75),0)</f>
        <v/>
      </c>
    </row>
    <row r="76">
      <c r="A76" s="60" t="inlineStr">
        <is>
          <t>Direct - Premises &amp; Admin</t>
        </is>
      </c>
      <c r="B76" s="18" t="n">
        <v>-12722.92</v>
      </c>
      <c r="C76" s="18" t="n">
        <v>-10950.38</v>
      </c>
      <c r="D76" s="18" t="n">
        <v>-9865.77</v>
      </c>
      <c r="E76" s="18" t="n">
        <v>-8458.85</v>
      </c>
      <c r="F76" s="18" t="n">
        <v>-8955.32</v>
      </c>
      <c r="G76" s="18" t="n">
        <v>-16386.99</v>
      </c>
      <c r="H76" s="18" t="n">
        <v>-10197.25</v>
      </c>
      <c r="I76" s="18" t="n">
        <v>-9299.83</v>
      </c>
      <c r="J76" s="18" t="n">
        <v>-10301.56</v>
      </c>
      <c r="K76" s="18" t="n">
        <v>-9287.27</v>
      </c>
      <c r="L76" s="18" t="n">
        <v>-7193.749999999999</v>
      </c>
      <c r="M76" s="18" t="n">
        <v>-5678.72</v>
      </c>
      <c r="N76" s="8" t="n"/>
      <c r="O76" s="60" t="n">
        <v>0</v>
      </c>
      <c r="P76" s="60" t="n">
        <v>0</v>
      </c>
      <c r="Q76" s="60" t="n">
        <v>0</v>
      </c>
      <c r="R76" s="60" t="n">
        <v>0</v>
      </c>
      <c r="S76" s="60" t="n">
        <v>0</v>
      </c>
      <c r="T76" s="60" t="n">
        <v>0</v>
      </c>
      <c r="U76" s="60" t="n">
        <v>0</v>
      </c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134" t="n">
        <v>0</v>
      </c>
      <c r="AJ76" s="134" t="n">
        <v>0</v>
      </c>
      <c r="AK76" s="134" t="n">
        <v>0</v>
      </c>
      <c r="AL76" s="134" t="n">
        <v>0</v>
      </c>
      <c r="AM76" s="134" t="n">
        <v>0</v>
      </c>
      <c r="AN76" s="134" t="n">
        <v>0</v>
      </c>
      <c r="AO76" s="147">
        <f>SUM(AC76:AH76)+SUM(AI76:AN76)</f>
        <v/>
      </c>
      <c r="AP76" s="145">
        <f>IF(AB76&lt;&gt;0,(AO76-AB76)/ABS(AB76),0)</f>
        <v/>
      </c>
    </row>
    <row r="77">
      <c r="A77" s="60" t="inlineStr">
        <is>
          <t>In-Direct - Staff Cost</t>
        </is>
      </c>
      <c r="B77" s="18" t="n">
        <v>-93611.44</v>
      </c>
      <c r="C77" s="18" t="n">
        <v>-96112.64</v>
      </c>
      <c r="D77" s="18" t="n">
        <v>-95857.95999999999</v>
      </c>
      <c r="E77" s="18" t="n">
        <v>-156700.39</v>
      </c>
      <c r="F77" s="18" t="n">
        <v>-95895.40999999999</v>
      </c>
      <c r="G77" s="18" t="n">
        <v>-114717.56</v>
      </c>
      <c r="H77" s="18" t="n">
        <v>-114931.94</v>
      </c>
      <c r="I77" s="18" t="n">
        <v>-131353.52</v>
      </c>
      <c r="J77" s="18" t="n">
        <v>-154543.8</v>
      </c>
      <c r="K77" s="18" t="n">
        <v>-118297.07</v>
      </c>
      <c r="L77" s="18" t="n">
        <v>-125174.38</v>
      </c>
      <c r="M77" s="18" t="n">
        <v>-443091.7</v>
      </c>
      <c r="N77" s="8" t="n"/>
      <c r="O77" s="60" t="n">
        <v>0</v>
      </c>
      <c r="P77" s="60" t="n">
        <v>0</v>
      </c>
      <c r="Q77" s="60" t="n">
        <v>0</v>
      </c>
      <c r="R77" s="60" t="n">
        <v>0</v>
      </c>
      <c r="S77" s="60" t="n">
        <v>0</v>
      </c>
      <c r="T77" s="60" t="n">
        <v>0</v>
      </c>
      <c r="U77" s="60" t="n">
        <v>0</v>
      </c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7">
        <f>SUM(AC77:AH77)+SUM(AI77:AN77)</f>
        <v/>
      </c>
      <c r="AP77" s="145">
        <f>IF(AB77&lt;&gt;0,(AO77-AB77)/ABS(AB77),0)</f>
        <v/>
      </c>
    </row>
    <row r="78">
      <c r="A78" s="60" t="inlineStr">
        <is>
          <t>In-Direct - Overheads</t>
        </is>
      </c>
      <c r="B78" s="18" t="n">
        <v>-11861.85</v>
      </c>
      <c r="C78" s="18" t="n">
        <v>-31625.61</v>
      </c>
      <c r="D78" s="18" t="n">
        <v>-36033.03</v>
      </c>
      <c r="E78" s="18" t="n">
        <v>-23278.01</v>
      </c>
      <c r="F78" s="18" t="n">
        <v>-17135.96</v>
      </c>
      <c r="G78" s="18" t="n">
        <v>-12401.19</v>
      </c>
      <c r="H78" s="18" t="n">
        <v>-12569.54</v>
      </c>
      <c r="I78" s="18" t="n">
        <v>-12792.19</v>
      </c>
      <c r="J78" s="18" t="n">
        <v>-48367.43</v>
      </c>
      <c r="K78" s="18" t="n">
        <v>-14890.24</v>
      </c>
      <c r="L78" s="18" t="n">
        <v>-18160.46</v>
      </c>
      <c r="M78" s="18" t="n">
        <v>-18558.39</v>
      </c>
      <c r="N78" s="8" t="n"/>
      <c r="O78" s="60" t="n">
        <v>0</v>
      </c>
      <c r="P78" s="60" t="n">
        <v>0</v>
      </c>
      <c r="Q78" s="60" t="n">
        <v>0</v>
      </c>
      <c r="R78" s="60" t="n">
        <v>0</v>
      </c>
      <c r="S78" s="60" t="n">
        <v>0</v>
      </c>
      <c r="T78" s="60" t="n">
        <v>0</v>
      </c>
      <c r="U78" s="60" t="n">
        <v>0</v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134" t="n">
        <v>0</v>
      </c>
      <c r="AJ78" s="134" t="n">
        <v>0</v>
      </c>
      <c r="AK78" s="134" t="n">
        <v>0</v>
      </c>
      <c r="AL78" s="134" t="n">
        <v>0</v>
      </c>
      <c r="AM78" s="134" t="n">
        <v>0</v>
      </c>
      <c r="AN78" s="134" t="n">
        <v>0</v>
      </c>
      <c r="AO78" s="147">
        <f>SUM(AC78:AH78)+SUM(AI78:AN78)</f>
        <v/>
      </c>
      <c r="AP78" s="145">
        <f>IF(AB78&lt;&gt;0,(AO78-AB78)/ABS(AB78),0)</f>
        <v/>
      </c>
    </row>
    <row r="79" ht="15.75" customHeight="1">
      <c r="A79" s="8" t="n"/>
      <c r="B79" s="67" t="n">
        <v>-124990.8</v>
      </c>
      <c r="C79" s="67" t="n">
        <v>-147887.85</v>
      </c>
      <c r="D79" s="67" t="n">
        <v>-146464.83</v>
      </c>
      <c r="E79" s="67" t="n">
        <v>-192959.78</v>
      </c>
      <c r="F79" s="67" t="n">
        <v>-126275.91</v>
      </c>
      <c r="G79" s="67" t="n">
        <v>-152500.46</v>
      </c>
      <c r="H79" s="67" t="n">
        <v>-143191.9</v>
      </c>
      <c r="I79" s="67" t="n">
        <v>-157552.07</v>
      </c>
      <c r="J79" s="67" t="n">
        <v>-217376.64</v>
      </c>
      <c r="K79" s="67" t="n">
        <v>-150481.12</v>
      </c>
      <c r="L79" s="67" t="n">
        <v>-155007.52</v>
      </c>
      <c r="M79" s="67" t="n">
        <v>-470068.17</v>
      </c>
      <c r="N79" s="8" t="n"/>
      <c r="O79" s="64" t="n">
        <v>0</v>
      </c>
      <c r="P79" s="64" t="n">
        <v>0</v>
      </c>
      <c r="Q79" s="64" t="n">
        <v>0</v>
      </c>
      <c r="R79" s="64" t="n">
        <v>0</v>
      </c>
      <c r="S79" s="64" t="n">
        <v>0</v>
      </c>
      <c r="T79" s="64" t="n">
        <v>0</v>
      </c>
      <c r="U79" s="64" t="n">
        <v>0</v>
      </c>
      <c r="V79" s="68" t="n"/>
      <c r="W79" s="68" t="n"/>
      <c r="X79" s="68" t="n"/>
      <c r="Y79" s="68" t="n"/>
      <c r="Z79" s="68" t="n"/>
      <c r="AA79" s="60">
        <f>SUM(O79:T79)</f>
        <v/>
      </c>
      <c r="AB79" s="8" t="n"/>
      <c r="AC79" s="68" t="n"/>
      <c r="AD79" s="68" t="n"/>
      <c r="AE79" s="68" t="n"/>
      <c r="AF79" s="68" t="n"/>
      <c r="AG79" s="68" t="n"/>
      <c r="AH79" s="68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7">
        <f>SUM(AC79:AH79)+SUM(AI79:AN79)</f>
        <v/>
      </c>
      <c r="AP79" s="145">
        <f>IF(AB79&lt;&gt;0,(AO79-AB79)/ABS(AB79),0)</f>
        <v/>
      </c>
    </row>
    <row r="80" ht="15.75" customHeight="1">
      <c r="A80" s="8" t="n"/>
      <c r="B80" s="18" t="n">
        <v>0</v>
      </c>
      <c r="C80" s="18" t="n">
        <v>0</v>
      </c>
      <c r="D80" s="18" t="n">
        <v>0</v>
      </c>
      <c r="E80" s="18" t="n">
        <v>0</v>
      </c>
      <c r="F80" s="18" t="n">
        <v>0</v>
      </c>
      <c r="G80" s="18" t="n">
        <v>0</v>
      </c>
      <c r="H80" s="18" t="n">
        <v>0</v>
      </c>
      <c r="I80" s="18" t="n">
        <v>0</v>
      </c>
      <c r="J80" s="18" t="n">
        <v>0</v>
      </c>
      <c r="K80" s="18" t="n">
        <v>0</v>
      </c>
      <c r="L80" s="18" t="n">
        <v>0</v>
      </c>
      <c r="M80" s="18" t="n">
        <v>0</v>
      </c>
      <c r="N80" s="8" t="n"/>
      <c r="O80" s="60" t="n">
        <v>0</v>
      </c>
      <c r="P80" s="60" t="n">
        <v>0</v>
      </c>
      <c r="Q80" s="60" t="n">
        <v>0</v>
      </c>
      <c r="R80" s="60" t="n">
        <v>0</v>
      </c>
      <c r="S80" s="60" t="n">
        <v>0</v>
      </c>
      <c r="T80" s="60" t="n">
        <v>0</v>
      </c>
      <c r="U80" s="60" t="n">
        <v>0</v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7">
        <f>SUM(AC80:AH80)+SUM(AI80:AN80)</f>
        <v/>
      </c>
      <c r="AP80" s="145">
        <f>IF(AB80&lt;&gt;0,(AO80-AB80)/ABS(AB80),0)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34" t="inlineStr">
        <is>
          <t>CHECK TO TB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148" t="n">
        <v>0</v>
      </c>
      <c r="AJ82" s="148" t="n">
        <v>0</v>
      </c>
      <c r="AK82" s="148" t="n">
        <v>0</v>
      </c>
      <c r="AL82" s="148" t="n">
        <v>0</v>
      </c>
      <c r="AM82" s="148" t="n">
        <v>0</v>
      </c>
      <c r="AN82" s="148" t="n">
        <v>0</v>
      </c>
      <c r="AO82" s="149">
        <f>SUM(AC82:AH82)+SUM(AI82:AN82)</f>
        <v/>
      </c>
      <c r="AP82" s="145">
        <f>IF(AB82&lt;&gt;0,(AO82-AB82)/ABS(AB82),0)</f>
        <v/>
      </c>
    </row>
    <row r="83">
      <c r="A83" s="8" t="n"/>
      <c r="B83" s="60" t="n">
        <v>124990.8</v>
      </c>
      <c r="C83" s="60" t="n">
        <v>147887.85</v>
      </c>
      <c r="D83" s="60" t="n">
        <v>146464.83</v>
      </c>
      <c r="E83" s="60" t="n">
        <v>192959.78</v>
      </c>
      <c r="F83" s="60" t="n">
        <v>126275.91</v>
      </c>
      <c r="G83" s="60" t="n">
        <v>152500.46</v>
      </c>
      <c r="H83" s="60" t="n">
        <v>143191.9</v>
      </c>
      <c r="I83" s="60" t="n">
        <v>157552.0699999999</v>
      </c>
      <c r="J83" s="60" t="n">
        <v>217376.6400000001</v>
      </c>
      <c r="K83" s="60" t="n">
        <v>150481.12</v>
      </c>
      <c r="L83" s="60" t="n">
        <v>155007.52</v>
      </c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48" t="n">
        <v>0</v>
      </c>
      <c r="AJ83" s="148" t="n">
        <v>0</v>
      </c>
      <c r="AK83" s="148" t="n">
        <v>0</v>
      </c>
      <c r="AL83" s="148" t="n">
        <v>0</v>
      </c>
      <c r="AM83" s="148" t="n">
        <v>0</v>
      </c>
      <c r="AN83" s="148" t="n">
        <v>0</v>
      </c>
      <c r="AO83" s="149">
        <f>SUM(AC83:AH83)+SUM(AI83:AN83)</f>
        <v/>
      </c>
      <c r="AP83" s="145">
        <f>IF(AB83&lt;&gt;0,(AO83-AB83)/ABS(AB83),0)</f>
        <v/>
      </c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59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61" t="n"/>
      <c r="AF87" s="62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61" t="n"/>
      <c r="AF88" s="62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61" t="n"/>
      <c r="AF89" s="62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61" t="n"/>
      <c r="AF90" s="62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61" t="n"/>
      <c r="AF91" s="62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CCL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4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20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6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6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2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6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37" t="n">
        <v>0</v>
      </c>
      <c r="U8" s="38" t="n"/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117" t="n">
        <v>0</v>
      </c>
      <c r="AJ8" s="118" t="n">
        <v>0</v>
      </c>
      <c r="AK8" s="118" t="n">
        <v>0</v>
      </c>
      <c r="AL8" s="118" t="n">
        <v>0</v>
      </c>
      <c r="AM8" s="119" t="n">
        <v>0</v>
      </c>
      <c r="AN8" s="117" t="n">
        <v>0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 t="n">
        <v>0</v>
      </c>
      <c r="P9" s="37" t="n">
        <v>0</v>
      </c>
      <c r="Q9" s="37" t="n">
        <v>0</v>
      </c>
      <c r="R9" s="37" t="n">
        <v>0</v>
      </c>
      <c r="S9" s="37" t="n">
        <v>0</v>
      </c>
      <c r="T9" s="37" t="n">
        <v>0</v>
      </c>
      <c r="U9" s="38" t="n"/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 t="n">
        <v>0</v>
      </c>
      <c r="P10" s="37" t="n">
        <v>0</v>
      </c>
      <c r="Q10" s="37" t="n">
        <v>0</v>
      </c>
      <c r="R10" s="37" t="n">
        <v>0</v>
      </c>
      <c r="S10" s="37" t="n">
        <v>0</v>
      </c>
      <c r="T10" s="37" t="n">
        <v>0</v>
      </c>
      <c r="U10" s="38" t="n"/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3">
        <f>SUM(B11:M11)</f>
        <v/>
      </c>
      <c r="O11" s="44" t="n">
        <v>0</v>
      </c>
      <c r="P11" s="44" t="n">
        <v>0</v>
      </c>
      <c r="Q11" s="44" t="n">
        <v>0</v>
      </c>
      <c r="R11" s="44" t="n">
        <v>0</v>
      </c>
      <c r="S11" s="44" t="n">
        <v>0</v>
      </c>
      <c r="T11" s="44" t="n">
        <v>0</v>
      </c>
      <c r="U11" s="45" t="n">
        <v>0</v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134" t="n">
        <v>0</v>
      </c>
      <c r="AJ11" s="157" t="n">
        <v>0</v>
      </c>
      <c r="AK11" s="157" t="n">
        <v>0</v>
      </c>
      <c r="AL11" s="157" t="n">
        <v>0</v>
      </c>
      <c r="AM11" s="157" t="n">
        <v>0</v>
      </c>
      <c r="AN11" s="134" t="n">
        <v>0</v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2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 t="n">
        <v>0</v>
      </c>
      <c r="P13" s="47" t="n">
        <v>0</v>
      </c>
      <c r="Q13" s="47" t="n">
        <v>0</v>
      </c>
      <c r="R13" s="47" t="n">
        <v>0</v>
      </c>
      <c r="S13" s="47" t="n">
        <v>0</v>
      </c>
      <c r="T13" s="47" t="n">
        <v>0</v>
      </c>
      <c r="U13" s="47" t="n">
        <v>0</v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 t="n"/>
      <c r="AD13" s="47" t="n"/>
      <c r="AE13" s="47" t="n"/>
      <c r="AF13" s="47" t="n"/>
      <c r="AG13" s="47" t="n"/>
      <c r="AH13" s="47" t="n"/>
      <c r="AI13" s="159" t="n">
        <v>0</v>
      </c>
      <c r="AJ13" s="160" t="n">
        <v>0</v>
      </c>
      <c r="AK13" s="160" t="n">
        <v>0</v>
      </c>
      <c r="AL13" s="160" t="n">
        <v>0</v>
      </c>
      <c r="AM13" s="161" t="n">
        <v>0</v>
      </c>
      <c r="AN13" s="159" t="n">
        <v>0</v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2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6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8" t="n"/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117" t="n">
        <v>0</v>
      </c>
      <c r="AJ16" s="118" t="n">
        <v>0</v>
      </c>
      <c r="AK16" s="118" t="n">
        <v>0</v>
      </c>
      <c r="AL16" s="118" t="n">
        <v>0</v>
      </c>
      <c r="AM16" s="119" t="n">
        <v>0</v>
      </c>
      <c r="AN16" s="117" t="n">
        <v>0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37" t="n">
        <v>0</v>
      </c>
      <c r="U17" s="38" t="n"/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117" t="n">
        <v>0</v>
      </c>
      <c r="AJ17" s="118" t="n">
        <v>0</v>
      </c>
      <c r="AK17" s="118" t="n">
        <v>0</v>
      </c>
      <c r="AL17" s="118" t="n">
        <v>0</v>
      </c>
      <c r="AM17" s="119" t="n">
        <v>0</v>
      </c>
      <c r="AN17" s="117" t="n">
        <v>0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37" t="n">
        <v>0</v>
      </c>
      <c r="U18" s="38" t="n"/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117" t="n">
        <v>0</v>
      </c>
      <c r="AJ18" s="118" t="n">
        <v>0</v>
      </c>
      <c r="AK18" s="118" t="n">
        <v>0</v>
      </c>
      <c r="AL18" s="118" t="n">
        <v>0</v>
      </c>
      <c r="AM18" s="119" t="n">
        <v>0</v>
      </c>
      <c r="AN18" s="117" t="n">
        <v>0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0</v>
      </c>
      <c r="U19" s="38" t="n"/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117" t="n">
        <v>0</v>
      </c>
      <c r="AJ19" s="118" t="n">
        <v>0</v>
      </c>
      <c r="AK19" s="118" t="n">
        <v>0</v>
      </c>
      <c r="AL19" s="118" t="n">
        <v>0</v>
      </c>
      <c r="AM19" s="119" t="n">
        <v>0</v>
      </c>
      <c r="AN19" s="117" t="n">
        <v>0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252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0</v>
      </c>
      <c r="M20" s="35" t="n">
        <v>0</v>
      </c>
      <c r="N20" s="36">
        <f>SUM(B20:M20)</f>
        <v/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8" t="n"/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117" t="n">
        <v>0</v>
      </c>
      <c r="AJ20" s="118" t="n">
        <v>0</v>
      </c>
      <c r="AK20" s="118" t="n">
        <v>0</v>
      </c>
      <c r="AL20" s="118" t="n">
        <v>0</v>
      </c>
      <c r="AM20" s="119" t="n">
        <v>0</v>
      </c>
      <c r="AN20" s="117" t="n">
        <v>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0</v>
      </c>
      <c r="K21" s="35" t="n">
        <v>0</v>
      </c>
      <c r="L21" s="35" t="n">
        <v>0</v>
      </c>
      <c r="M21" s="35" t="n">
        <v>0</v>
      </c>
      <c r="N21" s="36">
        <f>SUM(B21:M21)</f>
        <v/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37" t="n">
        <v>0</v>
      </c>
      <c r="U21" s="38" t="n"/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117" t="n">
        <v>0</v>
      </c>
      <c r="AJ21" s="118" t="n">
        <v>0</v>
      </c>
      <c r="AK21" s="118" t="n">
        <v>0</v>
      </c>
      <c r="AL21" s="118" t="n">
        <v>0</v>
      </c>
      <c r="AM21" s="119" t="n">
        <v>0</v>
      </c>
      <c r="AN21" s="117" t="n">
        <v>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1917.6</v>
      </c>
      <c r="G22" s="35" t="n">
        <v>380.58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8" t="n"/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8" t="n"/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117" t="n">
        <v>0</v>
      </c>
      <c r="AJ23" s="118" t="n">
        <v>0</v>
      </c>
      <c r="AK23" s="118" t="n">
        <v>0</v>
      </c>
      <c r="AL23" s="118" t="n">
        <v>0</v>
      </c>
      <c r="AM23" s="119" t="n">
        <v>0</v>
      </c>
      <c r="AN23" s="117" t="n">
        <v>0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 t="n">
        <v>0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8" t="n"/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0</v>
      </c>
      <c r="C25" s="42" t="n">
        <v>0</v>
      </c>
      <c r="D25" s="42" t="n">
        <v>0</v>
      </c>
      <c r="E25" s="42" t="n">
        <v>0</v>
      </c>
      <c r="F25" s="42" t="n">
        <v>1917.6</v>
      </c>
      <c r="G25" s="42" t="n">
        <v>632.5799999999999</v>
      </c>
      <c r="H25" s="42" t="n">
        <v>0</v>
      </c>
      <c r="I25" s="42" t="n">
        <v>0</v>
      </c>
      <c r="J25" s="42" t="n">
        <v>0</v>
      </c>
      <c r="K25" s="42" t="n">
        <v>0</v>
      </c>
      <c r="L25" s="42" t="n">
        <v>0</v>
      </c>
      <c r="M25" s="42" t="n">
        <v>0</v>
      </c>
      <c r="N25" s="43">
        <f>SUM(B25:M25)</f>
        <v/>
      </c>
      <c r="O25" s="44" t="n">
        <v>0</v>
      </c>
      <c r="P25" s="44" t="n">
        <v>0</v>
      </c>
      <c r="Q25" s="44" t="n">
        <v>0</v>
      </c>
      <c r="R25" s="44" t="n">
        <v>0</v>
      </c>
      <c r="S25" s="44" t="n">
        <v>0</v>
      </c>
      <c r="T25" s="44" t="n">
        <v>0</v>
      </c>
      <c r="U25" s="45" t="n">
        <v>0</v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134" t="n">
        <v>0</v>
      </c>
      <c r="AJ25" s="157" t="n">
        <v>0</v>
      </c>
      <c r="AK25" s="157" t="n">
        <v>0</v>
      </c>
      <c r="AL25" s="157" t="n">
        <v>0</v>
      </c>
      <c r="AM25" s="157" t="n">
        <v>0</v>
      </c>
      <c r="AN25" s="134" t="n">
        <v>0</v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2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5" t="n">
        <v>20.97</v>
      </c>
      <c r="I27" s="35" t="n">
        <v>0</v>
      </c>
      <c r="J27" s="35" t="n">
        <v>0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 t="n">
        <v>0</v>
      </c>
      <c r="P27" s="37" t="n">
        <v>0</v>
      </c>
      <c r="Q27" s="37" t="n">
        <v>0</v>
      </c>
      <c r="R27" s="37" t="n">
        <v>0</v>
      </c>
      <c r="S27" s="37" t="n">
        <v>0</v>
      </c>
      <c r="T27" s="37" t="n">
        <v>0</v>
      </c>
      <c r="U27" s="38" t="n"/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117" t="n">
        <v>0</v>
      </c>
      <c r="AJ27" s="118" t="n">
        <v>0</v>
      </c>
      <c r="AK27" s="118" t="n">
        <v>0</v>
      </c>
      <c r="AL27" s="118" t="n">
        <v>0</v>
      </c>
      <c r="AM27" s="119" t="n">
        <v>0</v>
      </c>
      <c r="AN27" s="117" t="n">
        <v>0</v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62.78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0</v>
      </c>
      <c r="K28" s="35" t="n">
        <v>0</v>
      </c>
      <c r="L28" s="35" t="n">
        <v>0</v>
      </c>
      <c r="M28" s="35" t="n">
        <v>0</v>
      </c>
      <c r="N28" s="36">
        <f>SUM(B28:M28)</f>
        <v/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8" t="n"/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117" t="n">
        <v>0</v>
      </c>
      <c r="AJ28" s="118" t="n">
        <v>0</v>
      </c>
      <c r="AK28" s="118" t="n">
        <v>0</v>
      </c>
      <c r="AL28" s="118" t="n">
        <v>0</v>
      </c>
      <c r="AM28" s="119" t="n">
        <v>0</v>
      </c>
      <c r="AN28" s="117" t="n">
        <v>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165.27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0</v>
      </c>
      <c r="L29" s="35" t="n">
        <v>0</v>
      </c>
      <c r="M29" s="35" t="n">
        <v>0</v>
      </c>
      <c r="N29" s="36">
        <f>SUM(B29:M29)</f>
        <v/>
      </c>
      <c r="O29" s="37" t="n">
        <v>0</v>
      </c>
      <c r="P29" s="37" t="n">
        <v>0</v>
      </c>
      <c r="Q29" s="37" t="n">
        <v>0</v>
      </c>
      <c r="R29" s="37" t="n">
        <v>0</v>
      </c>
      <c r="S29" s="37" t="n">
        <v>0</v>
      </c>
      <c r="T29" s="37" t="n">
        <v>0</v>
      </c>
      <c r="U29" s="38" t="n"/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117" t="n">
        <v>0</v>
      </c>
      <c r="AJ29" s="118" t="n">
        <v>0</v>
      </c>
      <c r="AK29" s="118" t="n">
        <v>0</v>
      </c>
      <c r="AL29" s="118" t="n">
        <v>0</v>
      </c>
      <c r="AM29" s="119" t="n">
        <v>0</v>
      </c>
      <c r="AN29" s="117" t="n">
        <v>0</v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 t="n">
        <v>0</v>
      </c>
      <c r="P30" s="37" t="n">
        <v>0</v>
      </c>
      <c r="Q30" s="37" t="n">
        <v>0</v>
      </c>
      <c r="R30" s="37" t="n">
        <v>0</v>
      </c>
      <c r="S30" s="37" t="n">
        <v>0</v>
      </c>
      <c r="T30" s="37" t="n">
        <v>0</v>
      </c>
      <c r="U30" s="38" t="n"/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117" t="n">
        <v>0</v>
      </c>
      <c r="AJ30" s="118" t="n">
        <v>0</v>
      </c>
      <c r="AK30" s="118" t="n">
        <v>0</v>
      </c>
      <c r="AL30" s="118" t="n">
        <v>0</v>
      </c>
      <c r="AM30" s="119" t="n">
        <v>0</v>
      </c>
      <c r="AN30" s="117" t="n">
        <v>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47.98</v>
      </c>
      <c r="L31" s="35" t="n">
        <v>0</v>
      </c>
      <c r="M31" s="35" t="n">
        <v>0</v>
      </c>
      <c r="N31" s="36">
        <f>SUM(B31:M31)</f>
        <v/>
      </c>
      <c r="O31" s="37" t="n">
        <v>0</v>
      </c>
      <c r="P31" s="37" t="n">
        <v>0</v>
      </c>
      <c r="Q31" s="37" t="n">
        <v>0</v>
      </c>
      <c r="R31" s="37" t="n">
        <v>0</v>
      </c>
      <c r="S31" s="37" t="n">
        <v>0</v>
      </c>
      <c r="T31" s="37" t="n">
        <v>0</v>
      </c>
      <c r="U31" s="38" t="n"/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117" t="n">
        <v>0</v>
      </c>
      <c r="AJ31" s="118" t="n">
        <v>0</v>
      </c>
      <c r="AK31" s="118" t="n">
        <v>0</v>
      </c>
      <c r="AL31" s="118" t="n">
        <v>0</v>
      </c>
      <c r="AM31" s="119" t="n">
        <v>0</v>
      </c>
      <c r="AN31" s="117" t="n">
        <v>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 t="n">
        <v>0</v>
      </c>
      <c r="P32" s="37" t="n">
        <v>0</v>
      </c>
      <c r="Q32" s="37" t="n">
        <v>0</v>
      </c>
      <c r="R32" s="37" t="n">
        <v>0</v>
      </c>
      <c r="S32" s="37" t="n">
        <v>0</v>
      </c>
      <c r="T32" s="37" t="n">
        <v>0</v>
      </c>
      <c r="U32" s="38" t="n"/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117" t="n">
        <v>0</v>
      </c>
      <c r="AJ32" s="118" t="n">
        <v>0</v>
      </c>
      <c r="AK32" s="118" t="n">
        <v>0</v>
      </c>
      <c r="AL32" s="118" t="n">
        <v>0</v>
      </c>
      <c r="AM32" s="119" t="n">
        <v>0</v>
      </c>
      <c r="AN32" s="117" t="n">
        <v>0</v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 t="n">
        <v>0</v>
      </c>
      <c r="P33" s="37" t="n">
        <v>0</v>
      </c>
      <c r="Q33" s="37" t="n">
        <v>0</v>
      </c>
      <c r="R33" s="37" t="n">
        <v>0</v>
      </c>
      <c r="S33" s="37" t="n">
        <v>0</v>
      </c>
      <c r="T33" s="37" t="n">
        <v>0</v>
      </c>
      <c r="U33" s="38" t="n"/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228.05</v>
      </c>
      <c r="C34" s="42" t="n">
        <v>0</v>
      </c>
      <c r="D34" s="42" t="n">
        <v>0</v>
      </c>
      <c r="E34" s="42" t="n">
        <v>0</v>
      </c>
      <c r="F34" s="42" t="n">
        <v>0</v>
      </c>
      <c r="G34" s="42" t="n">
        <v>0</v>
      </c>
      <c r="H34" s="42" t="n">
        <v>20.97</v>
      </c>
      <c r="I34" s="42" t="n">
        <v>0</v>
      </c>
      <c r="J34" s="42" t="n">
        <v>0</v>
      </c>
      <c r="K34" s="42" t="n">
        <v>47.98</v>
      </c>
      <c r="L34" s="42" t="n">
        <v>0</v>
      </c>
      <c r="M34" s="42" t="n">
        <v>0</v>
      </c>
      <c r="N34" s="43">
        <f>SUM(B34:M34)</f>
        <v/>
      </c>
      <c r="O34" s="44" t="n">
        <v>0</v>
      </c>
      <c r="P34" s="44" t="n">
        <v>0</v>
      </c>
      <c r="Q34" s="44" t="n">
        <v>0</v>
      </c>
      <c r="R34" s="44" t="n">
        <v>0</v>
      </c>
      <c r="S34" s="44" t="n">
        <v>0</v>
      </c>
      <c r="T34" s="44" t="n">
        <v>0</v>
      </c>
      <c r="U34" s="45" t="n">
        <v>0</v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134" t="n">
        <v>0</v>
      </c>
      <c r="AJ34" s="157" t="n">
        <v>0</v>
      </c>
      <c r="AK34" s="157" t="n">
        <v>0</v>
      </c>
      <c r="AL34" s="157" t="n">
        <v>0</v>
      </c>
      <c r="AM34" s="157" t="n">
        <v>0</v>
      </c>
      <c r="AN34" s="134" t="n">
        <v>0</v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2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8" t="n"/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0</v>
      </c>
      <c r="C37" s="35" t="n">
        <v>0</v>
      </c>
      <c r="D37" s="35" t="n">
        <v>0</v>
      </c>
      <c r="E37" s="35" t="n">
        <v>0</v>
      </c>
      <c r="F37" s="35" t="n">
        <v>0</v>
      </c>
      <c r="G37" s="35" t="n">
        <v>0</v>
      </c>
      <c r="H37" s="35" t="n">
        <v>0</v>
      </c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  <c r="N37" s="36">
        <f>SUM(B37:M37)</f>
        <v/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8" t="n"/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117" t="n">
        <v>0</v>
      </c>
      <c r="AJ37" s="118" t="n">
        <v>0</v>
      </c>
      <c r="AK37" s="118" t="n">
        <v>0</v>
      </c>
      <c r="AL37" s="118" t="n">
        <v>0</v>
      </c>
      <c r="AM37" s="119" t="n">
        <v>0</v>
      </c>
      <c r="AN37" s="117" t="n">
        <v>0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0</v>
      </c>
      <c r="C38" s="35" t="n">
        <v>0</v>
      </c>
      <c r="D38" s="35" t="n">
        <v>0</v>
      </c>
      <c r="E38" s="35" t="n">
        <v>0</v>
      </c>
      <c r="F38" s="35" t="n">
        <v>3705.06</v>
      </c>
      <c r="G38" s="35" t="n">
        <v>0</v>
      </c>
      <c r="H38" s="35" t="n">
        <v>0</v>
      </c>
      <c r="I38" s="35" t="n">
        <v>1930.97</v>
      </c>
      <c r="J38" s="35" t="n">
        <v>0</v>
      </c>
      <c r="K38" s="35" t="n">
        <v>0</v>
      </c>
      <c r="L38" s="35" t="n">
        <v>0</v>
      </c>
      <c r="M38" s="35" t="n">
        <v>0</v>
      </c>
      <c r="N38" s="36">
        <f>SUM(B38:M38)</f>
        <v/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8" t="n"/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117" t="n">
        <v>0</v>
      </c>
      <c r="AJ38" s="118" t="n">
        <v>0</v>
      </c>
      <c r="AK38" s="118" t="n">
        <v>0</v>
      </c>
      <c r="AL38" s="118" t="n">
        <v>0</v>
      </c>
      <c r="AM38" s="119" t="n">
        <v>0</v>
      </c>
      <c r="AN38" s="117" t="n">
        <v>0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0</v>
      </c>
      <c r="C39" s="35" t="n">
        <v>120</v>
      </c>
      <c r="D39" s="35" t="n">
        <v>42</v>
      </c>
      <c r="E39" s="35" t="n">
        <v>0</v>
      </c>
      <c r="F39" s="35" t="n">
        <v>0</v>
      </c>
      <c r="G39" s="35" t="n">
        <v>15</v>
      </c>
      <c r="H39" s="35" t="n">
        <v>0</v>
      </c>
      <c r="I39" s="35" t="n">
        <v>0</v>
      </c>
      <c r="J39" s="35" t="n">
        <v>68.48999999999999</v>
      </c>
      <c r="K39" s="35" t="n">
        <v>405</v>
      </c>
      <c r="L39" s="35" t="n">
        <v>0</v>
      </c>
      <c r="M39" s="35" t="n">
        <v>0</v>
      </c>
      <c r="N39" s="36">
        <f>SUM(B39:M39)</f>
        <v/>
      </c>
      <c r="O39" s="37" t="n">
        <v>0</v>
      </c>
      <c r="P39" s="37" t="n">
        <v>0</v>
      </c>
      <c r="Q39" s="37" t="n">
        <v>0</v>
      </c>
      <c r="R39" s="37" t="n">
        <v>0</v>
      </c>
      <c r="S39" s="37" t="n">
        <v>0</v>
      </c>
      <c r="T39" s="37" t="n">
        <v>0</v>
      </c>
      <c r="U39" s="38" t="n"/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8" t="n"/>
      <c r="V40" s="38" t="n"/>
      <c r="W40" s="38" t="n"/>
      <c r="X40" s="38" t="n"/>
      <c r="Y40" s="38" t="n"/>
      <c r="Z40" s="38" t="n"/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117" t="n">
        <v>0</v>
      </c>
      <c r="AJ40" s="118" t="n">
        <v>0</v>
      </c>
      <c r="AK40" s="118" t="n">
        <v>0</v>
      </c>
      <c r="AL40" s="118" t="n">
        <v>0</v>
      </c>
      <c r="AM40" s="119" t="n">
        <v>0</v>
      </c>
      <c r="AN40" s="117" t="n">
        <v>0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0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  <c r="N41" s="36">
        <f>SUM(B41:M41)</f>
        <v/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8" t="n"/>
      <c r="V41" s="38" t="n"/>
      <c r="W41" s="38" t="n"/>
      <c r="X41" s="38" t="n"/>
      <c r="Y41" s="38" t="n"/>
      <c r="Z41" s="38" t="n"/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117" t="n">
        <v>0</v>
      </c>
      <c r="AJ41" s="118" t="n">
        <v>0</v>
      </c>
      <c r="AK41" s="118" t="n">
        <v>0</v>
      </c>
      <c r="AL41" s="118" t="n">
        <v>0</v>
      </c>
      <c r="AM41" s="119" t="n">
        <v>0</v>
      </c>
      <c r="AN41" s="117" t="n">
        <v>0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420</v>
      </c>
      <c r="C42" s="35" t="n">
        <v>420</v>
      </c>
      <c r="D42" s="35" t="n">
        <v>420</v>
      </c>
      <c r="E42" s="35" t="n">
        <v>0</v>
      </c>
      <c r="F42" s="35" t="n">
        <v>0</v>
      </c>
      <c r="G42" s="35" t="n">
        <v>0</v>
      </c>
      <c r="H42" s="35" t="n">
        <v>1260</v>
      </c>
      <c r="I42" s="35" t="n">
        <v>0</v>
      </c>
      <c r="J42" s="35" t="n">
        <v>0</v>
      </c>
      <c r="K42" s="35" t="n">
        <v>35.97</v>
      </c>
      <c r="L42" s="35" t="n">
        <v>0</v>
      </c>
      <c r="M42" s="35" t="n">
        <v>0</v>
      </c>
      <c r="N42" s="36">
        <f>SUM(B42:M42)</f>
        <v/>
      </c>
      <c r="O42" s="37" t="n">
        <v>0</v>
      </c>
      <c r="P42" s="37" t="n">
        <v>0</v>
      </c>
      <c r="Q42" s="37" t="n">
        <v>0</v>
      </c>
      <c r="R42" s="37" t="n">
        <v>0</v>
      </c>
      <c r="S42" s="37" t="n">
        <v>0</v>
      </c>
      <c r="T42" s="37" t="n">
        <v>0</v>
      </c>
      <c r="U42" s="38" t="n"/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4691.72</v>
      </c>
      <c r="C43" s="35" t="n">
        <v>301.64</v>
      </c>
      <c r="D43" s="35" t="n">
        <v>379.31</v>
      </c>
      <c r="E43" s="35" t="n">
        <v>5181.32</v>
      </c>
      <c r="F43" s="35" t="n">
        <v>449.51</v>
      </c>
      <c r="G43" s="35" t="n">
        <v>423.26</v>
      </c>
      <c r="H43" s="35" t="n">
        <v>4906.49</v>
      </c>
      <c r="I43" s="35" t="n">
        <v>843.59</v>
      </c>
      <c r="J43" s="35" t="n">
        <v>1265.45</v>
      </c>
      <c r="K43" s="35" t="n">
        <v>2046.01</v>
      </c>
      <c r="L43" s="35" t="n">
        <v>1891.51</v>
      </c>
      <c r="M43" s="35" t="n">
        <v>1691.85</v>
      </c>
      <c r="N43" s="36">
        <f>SUM(B43:M43)</f>
        <v/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8" t="n"/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8" t="n"/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0</v>
      </c>
      <c r="P45" s="37" t="n">
        <v>0</v>
      </c>
      <c r="Q45" s="37" t="n">
        <v>0</v>
      </c>
      <c r="R45" s="37" t="n">
        <v>0</v>
      </c>
      <c r="S45" s="37" t="n">
        <v>0</v>
      </c>
      <c r="T45" s="37" t="n">
        <v>0</v>
      </c>
      <c r="U45" s="38" t="n"/>
      <c r="V45" s="38" t="n"/>
      <c r="W45" s="38" t="n"/>
      <c r="X45" s="38" t="n"/>
      <c r="Y45" s="38" t="n"/>
      <c r="Z45" s="38" t="n"/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117" t="n">
        <v>0</v>
      </c>
      <c r="AJ45" s="118" t="n">
        <v>0</v>
      </c>
      <c r="AK45" s="118" t="n">
        <v>0</v>
      </c>
      <c r="AL45" s="118" t="n">
        <v>0</v>
      </c>
      <c r="AM45" s="119" t="n">
        <v>0</v>
      </c>
      <c r="AN45" s="117" t="n">
        <v>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8" t="n"/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5111.72</v>
      </c>
      <c r="C47" s="42" t="n">
        <v>841.64</v>
      </c>
      <c r="D47" s="42" t="n">
        <v>841.3099999999999</v>
      </c>
      <c r="E47" s="42" t="n">
        <v>5181.32</v>
      </c>
      <c r="F47" s="42" t="n">
        <v>4154.57</v>
      </c>
      <c r="G47" s="42" t="n">
        <v>438.26</v>
      </c>
      <c r="H47" s="42" t="n">
        <v>6166.49</v>
      </c>
      <c r="I47" s="42" t="n">
        <v>2774.56</v>
      </c>
      <c r="J47" s="42" t="n">
        <v>1333.94</v>
      </c>
      <c r="K47" s="42" t="n">
        <v>2486.98</v>
      </c>
      <c r="L47" s="42" t="n">
        <v>1891.51</v>
      </c>
      <c r="M47" s="42" t="n">
        <v>1691.85</v>
      </c>
      <c r="N47" s="52">
        <f>SUM(B47:M47)</f>
        <v/>
      </c>
      <c r="O47" s="44" t="n">
        <v>0</v>
      </c>
      <c r="P47" s="44" t="n">
        <v>0</v>
      </c>
      <c r="Q47" s="44" t="n">
        <v>0</v>
      </c>
      <c r="R47" s="44" t="n">
        <v>0</v>
      </c>
      <c r="S47" s="44" t="n">
        <v>0</v>
      </c>
      <c r="T47" s="44" t="n">
        <v>0</v>
      </c>
      <c r="U47" s="45" t="n">
        <v>0</v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134" t="n">
        <v>0</v>
      </c>
      <c r="AJ47" s="157" t="n">
        <v>0</v>
      </c>
      <c r="AK47" s="157" t="n">
        <v>0</v>
      </c>
      <c r="AL47" s="157" t="n">
        <v>0</v>
      </c>
      <c r="AM47" s="158" t="n">
        <v>0</v>
      </c>
      <c r="AN47" s="134" t="n">
        <v>0</v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5339.77</v>
      </c>
      <c r="C48" s="23" t="n">
        <v>841.64</v>
      </c>
      <c r="D48" s="23" t="n">
        <v>841.3099999999999</v>
      </c>
      <c r="E48" s="23" t="n">
        <v>5181.32</v>
      </c>
      <c r="F48" s="23" t="n">
        <v>6072.17</v>
      </c>
      <c r="G48" s="23" t="n">
        <v>1070.84</v>
      </c>
      <c r="H48" s="23" t="n">
        <v>6187.46</v>
      </c>
      <c r="I48" s="23" t="n">
        <v>2774.56</v>
      </c>
      <c r="J48" s="23" t="n">
        <v>1333.94</v>
      </c>
      <c r="K48" s="23" t="n">
        <v>2534.96</v>
      </c>
      <c r="L48" s="23" t="n">
        <v>1891.51</v>
      </c>
      <c r="M48" s="23" t="n">
        <v>1691.85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6" t="n">
        <v>0</v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134" t="n">
        <v>0</v>
      </c>
      <c r="AJ48" s="135" t="n">
        <v>0</v>
      </c>
      <c r="AK48" s="135" t="n">
        <v>0</v>
      </c>
      <c r="AL48" s="135" t="n">
        <v>0</v>
      </c>
      <c r="AM48" s="135" t="n">
        <v>0</v>
      </c>
      <c r="AN48" s="134" t="n">
        <v>0</v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20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-5339.77</v>
      </c>
      <c r="C50" s="55" t="n">
        <v>-841.64</v>
      </c>
      <c r="D50" s="55" t="n">
        <v>-841.3099999999999</v>
      </c>
      <c r="E50" s="55" t="n">
        <v>-5181.32</v>
      </c>
      <c r="F50" s="55" t="n">
        <v>-6072.17</v>
      </c>
      <c r="G50" s="55" t="n">
        <v>-1070.84</v>
      </c>
      <c r="H50" s="55" t="n">
        <v>-6187.46</v>
      </c>
      <c r="I50" s="55" t="n">
        <v>-2774.56</v>
      </c>
      <c r="J50" s="55" t="n">
        <v>-1333.94</v>
      </c>
      <c r="K50" s="55" t="n">
        <v>-2534.96</v>
      </c>
      <c r="L50" s="55" t="n">
        <v>-1891.51</v>
      </c>
      <c r="M50" s="55" t="n">
        <v>-1691.85</v>
      </c>
      <c r="N50" s="55">
        <f>SUM(B50:M50)</f>
        <v/>
      </c>
      <c r="O50" s="55" t="n">
        <v>0</v>
      </c>
      <c r="P50" s="55" t="n">
        <v>0</v>
      </c>
      <c r="Q50" s="55" t="n">
        <v>0</v>
      </c>
      <c r="R50" s="55" t="n">
        <v>0</v>
      </c>
      <c r="S50" s="55" t="n">
        <v>0</v>
      </c>
      <c r="T50" s="55" t="n">
        <v>0</v>
      </c>
      <c r="U50" s="55" t="n">
        <v>0</v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20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20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 t="n">
        <v>110561.6</v>
      </c>
      <c r="P53" s="37" t="n">
        <v>104194.85</v>
      </c>
      <c r="Q53" s="37" t="n">
        <v>122684.97</v>
      </c>
      <c r="R53" s="37" t="n">
        <v>172859.62</v>
      </c>
      <c r="S53" s="37" t="n">
        <v>117438.53</v>
      </c>
      <c r="T53" s="37" t="n">
        <v>116497.42</v>
      </c>
      <c r="U53" s="38" t="n"/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 t="n">
        <v>15829.25</v>
      </c>
      <c r="P54" s="37" t="n">
        <v>14890.45</v>
      </c>
      <c r="Q54" s="37" t="n">
        <v>17671.3</v>
      </c>
      <c r="R54" s="37" t="n">
        <v>25136.38</v>
      </c>
      <c r="S54" s="37" t="n">
        <v>16772.83</v>
      </c>
      <c r="T54" s="37" t="n">
        <v>16744.56</v>
      </c>
      <c r="U54" s="38" t="n"/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585.15</v>
      </c>
      <c r="U55" s="38" t="n"/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 t="n">
        <v>1185.13</v>
      </c>
      <c r="P56" s="37" t="n">
        <v>1099.1</v>
      </c>
      <c r="Q56" s="37" t="n">
        <v>1911.99</v>
      </c>
      <c r="R56" s="37" t="n">
        <v>1982.45</v>
      </c>
      <c r="S56" s="37" t="n">
        <v>1897.62</v>
      </c>
      <c r="T56" s="37" t="n">
        <v>1896.13</v>
      </c>
      <c r="U56" s="38" t="n"/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202.57</v>
      </c>
      <c r="N57" s="36">
        <f>SUM(B57:M57)</f>
        <v/>
      </c>
      <c r="O57" s="37" t="n">
        <v>0</v>
      </c>
      <c r="P57" s="37" t="n">
        <v>0</v>
      </c>
      <c r="Q57" s="37" t="n">
        <v>0</v>
      </c>
      <c r="R57" s="37" t="n">
        <v>0</v>
      </c>
      <c r="S57" s="37" t="n">
        <v>0</v>
      </c>
      <c r="T57" s="37" t="n">
        <v>0</v>
      </c>
      <c r="U57" s="38" t="n"/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117" t="n">
        <v>0</v>
      </c>
      <c r="AJ57" s="118" t="n">
        <v>0</v>
      </c>
      <c r="AK57" s="118" t="n">
        <v>0</v>
      </c>
      <c r="AL57" s="118" t="n">
        <v>0</v>
      </c>
      <c r="AM57" s="119" t="n">
        <v>0</v>
      </c>
      <c r="AN57" s="117" t="n">
        <v>0</v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 t="n">
        <v>0</v>
      </c>
      <c r="P58" s="37" t="n">
        <v>0</v>
      </c>
      <c r="Q58" s="37" t="n">
        <v>12212.4</v>
      </c>
      <c r="R58" s="37" t="n">
        <v>2756.4</v>
      </c>
      <c r="S58" s="37" t="n">
        <v>0</v>
      </c>
      <c r="T58" s="37" t="n">
        <v>0</v>
      </c>
      <c r="U58" s="38" t="n"/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5" t="n">
        <v>0</v>
      </c>
      <c r="J59" s="35" t="n">
        <v>0</v>
      </c>
      <c r="K59" s="35" t="n">
        <v>0</v>
      </c>
      <c r="L59" s="35" t="n">
        <v>0</v>
      </c>
      <c r="M59" s="35" t="n">
        <v>0</v>
      </c>
      <c r="N59" s="36">
        <f>SUM(B59:M59)</f>
        <v/>
      </c>
      <c r="O59" s="37" t="n">
        <v>2238.11</v>
      </c>
      <c r="P59" s="37" t="n">
        <v>1404.87</v>
      </c>
      <c r="Q59" s="37" t="n">
        <v>1404.87</v>
      </c>
      <c r="R59" s="37" t="n">
        <v>2893.39</v>
      </c>
      <c r="S59" s="37" t="n">
        <v>2933.33</v>
      </c>
      <c r="T59" s="37" t="n">
        <v>14489.47</v>
      </c>
      <c r="U59" s="38" t="n"/>
      <c r="V59" s="38" t="n"/>
      <c r="W59" s="38" t="n"/>
      <c r="X59" s="38" t="n"/>
      <c r="Y59" s="38" t="n"/>
      <c r="Z59" s="38" t="n"/>
      <c r="AA59" s="36">
        <f>SUM(O59:U59)</f>
        <v/>
      </c>
      <c r="AB59" s="36">
        <f>SUM(O59:Z59)</f>
        <v/>
      </c>
      <c r="AC59" s="38" t="n"/>
      <c r="AD59" s="38" t="n"/>
      <c r="AE59" s="38" t="n"/>
      <c r="AF59" s="38" t="n"/>
      <c r="AG59" s="38" t="n"/>
      <c r="AH59" s="38" t="n"/>
      <c r="AI59" s="117" t="n">
        <v>0</v>
      </c>
      <c r="AJ59" s="118" t="n">
        <v>0</v>
      </c>
      <c r="AK59" s="118" t="n">
        <v>0</v>
      </c>
      <c r="AL59" s="118" t="n">
        <v>0</v>
      </c>
      <c r="AM59" s="119" t="n">
        <v>0</v>
      </c>
      <c r="AN59" s="117" t="n">
        <v>0</v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0</v>
      </c>
      <c r="C60" s="35" t="n">
        <v>100</v>
      </c>
      <c r="D60" s="35" t="n">
        <v>0</v>
      </c>
      <c r="E60" s="35" t="n">
        <v>0</v>
      </c>
      <c r="F60" s="35" t="n">
        <v>-41.73999999999999</v>
      </c>
      <c r="G60" s="35" t="n">
        <v>-13.43</v>
      </c>
      <c r="H60" s="35" t="n">
        <v>0</v>
      </c>
      <c r="I60" s="35" t="n">
        <v>0</v>
      </c>
      <c r="J60" s="35" t="n">
        <v>0</v>
      </c>
      <c r="K60" s="35" t="n">
        <v>7.5</v>
      </c>
      <c r="L60" s="35" t="n">
        <v>109.99</v>
      </c>
      <c r="M60" s="35" t="n">
        <v>269.95</v>
      </c>
      <c r="N60" s="36">
        <f>SUM(B60:M60)</f>
        <v/>
      </c>
      <c r="O60" s="37" t="n">
        <v>1186.5</v>
      </c>
      <c r="P60" s="37" t="n">
        <v>1186.5</v>
      </c>
      <c r="Q60" s="37" t="n">
        <v>1186.5</v>
      </c>
      <c r="R60" s="37" t="n">
        <v>2593.73</v>
      </c>
      <c r="S60" s="37" t="n">
        <v>2593.73</v>
      </c>
      <c r="T60" s="37" t="n">
        <v>2593.73</v>
      </c>
      <c r="U60" s="38" t="n"/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9.23</v>
      </c>
      <c r="C61" s="35" t="n">
        <v>140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0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0</v>
      </c>
      <c r="N61" s="36">
        <f>SUM(B61:M61)</f>
        <v/>
      </c>
      <c r="O61" s="37" t="n">
        <v>5384.61</v>
      </c>
      <c r="P61" s="37" t="n">
        <v>7655.49</v>
      </c>
      <c r="Q61" s="37" t="n">
        <v>7967.039999999999</v>
      </c>
      <c r="R61" s="37" t="n">
        <v>9289.66</v>
      </c>
      <c r="S61" s="37" t="n">
        <v>9122.59</v>
      </c>
      <c r="T61" s="37" t="n">
        <v>16372.61</v>
      </c>
      <c r="U61" s="38" t="n"/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 t="n">
        <v>1610.78</v>
      </c>
      <c r="P62" s="37" t="n">
        <v>345.22</v>
      </c>
      <c r="Q62" s="37" t="n">
        <v>0</v>
      </c>
      <c r="R62" s="37" t="n">
        <v>43.47000000000003</v>
      </c>
      <c r="S62" s="37" t="n">
        <v>88.89</v>
      </c>
      <c r="T62" s="37" t="n">
        <v>1710.61</v>
      </c>
      <c r="U62" s="38" t="n"/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 t="n">
        <v>0</v>
      </c>
      <c r="P63" s="37" t="n">
        <v>0</v>
      </c>
      <c r="Q63" s="37" t="n">
        <v>0</v>
      </c>
      <c r="R63" s="37" t="n">
        <v>0</v>
      </c>
      <c r="S63" s="37" t="n">
        <v>0</v>
      </c>
      <c r="T63" s="37" t="n">
        <v>0</v>
      </c>
      <c r="U63" s="38" t="n"/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8" t="n"/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7485.6</v>
      </c>
      <c r="C65" s="35" t="n">
        <v>30</v>
      </c>
      <c r="D65" s="35" t="n">
        <v>11062.8</v>
      </c>
      <c r="E65" s="35" t="n">
        <v>3073.2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3112.8</v>
      </c>
      <c r="N65" s="36">
        <f>SUM(B65:M65)</f>
        <v/>
      </c>
      <c r="O65" s="37" t="n">
        <v>13797.88</v>
      </c>
      <c r="P65" s="37" t="n">
        <v>5720.969999999999</v>
      </c>
      <c r="Q65" s="37" t="n">
        <v>5427.91</v>
      </c>
      <c r="R65" s="37" t="n">
        <v>4311.21</v>
      </c>
      <c r="S65" s="37" t="n">
        <v>4359.15</v>
      </c>
      <c r="T65" s="37" t="n">
        <v>4667.76</v>
      </c>
      <c r="U65" s="38" t="n"/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 t="n">
        <v>0</v>
      </c>
      <c r="P66" s="37" t="n">
        <v>0</v>
      </c>
      <c r="Q66" s="37" t="n">
        <v>0</v>
      </c>
      <c r="R66" s="37" t="n">
        <v>0</v>
      </c>
      <c r="S66" s="37" t="n">
        <v>0</v>
      </c>
      <c r="T66" s="37" t="n">
        <v>0</v>
      </c>
      <c r="U66" s="38" t="n"/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1068</v>
      </c>
      <c r="D67" s="35" t="n">
        <v>0</v>
      </c>
      <c r="E67" s="35" t="n">
        <v>1220.4</v>
      </c>
      <c r="F67" s="35" t="n">
        <v>0</v>
      </c>
      <c r="G67" s="35" t="n">
        <v>750.6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939.6</v>
      </c>
      <c r="N67" s="36">
        <f>SUM(B67:M67)</f>
        <v/>
      </c>
      <c r="O67" s="37" t="n">
        <v>0</v>
      </c>
      <c r="P67" s="37" t="n">
        <v>0</v>
      </c>
      <c r="Q67" s="37" t="n">
        <v>0</v>
      </c>
      <c r="R67" s="37" t="n">
        <v>0</v>
      </c>
      <c r="S67" s="37" t="n">
        <v>0</v>
      </c>
      <c r="T67" s="37" t="n">
        <v>0</v>
      </c>
      <c r="U67" s="38" t="n"/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159</v>
      </c>
      <c r="C68" s="35" t="n">
        <v>154.4</v>
      </c>
      <c r="D68" s="35" t="n">
        <v>242.15</v>
      </c>
      <c r="E68" s="35" t="n">
        <v>157.57</v>
      </c>
      <c r="F68" s="35" t="n">
        <v>227.35</v>
      </c>
      <c r="G68" s="35" t="n">
        <v>354.85</v>
      </c>
      <c r="H68" s="35" t="n">
        <v>247.7</v>
      </c>
      <c r="I68" s="35" t="n">
        <v>124.9</v>
      </c>
      <c r="J68" s="35" t="n">
        <v>117.15</v>
      </c>
      <c r="K68" s="35" t="n">
        <v>159.9</v>
      </c>
      <c r="L68" s="35" t="n">
        <v>125.75</v>
      </c>
      <c r="M68" s="35" t="n">
        <v>116.05</v>
      </c>
      <c r="N68" s="36">
        <f>SUM(B68:M68)</f>
        <v/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8" t="n"/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7653.83</v>
      </c>
      <c r="C69" s="42" t="n">
        <v>1492.4</v>
      </c>
      <c r="D69" s="42" t="n">
        <v>11304.95</v>
      </c>
      <c r="E69" s="42" t="n">
        <v>4451.17</v>
      </c>
      <c r="F69" s="42" t="n">
        <v>185.61</v>
      </c>
      <c r="G69" s="42" t="n">
        <v>1092.02</v>
      </c>
      <c r="H69" s="42" t="n">
        <v>247.7</v>
      </c>
      <c r="I69" s="42" t="n">
        <v>124.9</v>
      </c>
      <c r="J69" s="42" t="n">
        <v>117.15</v>
      </c>
      <c r="K69" s="42" t="n">
        <v>167.4</v>
      </c>
      <c r="L69" s="42" t="n">
        <v>235.74</v>
      </c>
      <c r="M69" s="42" t="n">
        <v>4640.97</v>
      </c>
      <c r="N69" s="43">
        <f>SUM(B69:M69)</f>
        <v/>
      </c>
      <c r="O69" s="44" t="n">
        <v>0</v>
      </c>
      <c r="P69" s="44" t="n">
        <v>0</v>
      </c>
      <c r="Q69" s="44" t="n">
        <v>0</v>
      </c>
      <c r="R69" s="44" t="n">
        <v>0</v>
      </c>
      <c r="S69" s="44" t="n">
        <v>0</v>
      </c>
      <c r="T69" s="44" t="n">
        <v>0</v>
      </c>
      <c r="U69" s="45" t="n">
        <v>0</v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134" t="n">
        <v>0</v>
      </c>
      <c r="AJ69" s="157" t="n">
        <v>0</v>
      </c>
      <c r="AK69" s="157" t="n">
        <v>0</v>
      </c>
      <c r="AL69" s="157" t="n">
        <v>0</v>
      </c>
      <c r="AM69" s="157" t="n">
        <v>0</v>
      </c>
      <c r="AN69" s="134" t="n">
        <v>0</v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-12993.6</v>
      </c>
      <c r="C70" s="55" t="n">
        <v>-2334.04</v>
      </c>
      <c r="D70" s="55" t="n">
        <v>-12146.26</v>
      </c>
      <c r="E70" s="55" t="n">
        <v>-9632.49</v>
      </c>
      <c r="F70" s="55" t="n">
        <v>-6257.78</v>
      </c>
      <c r="G70" s="55" t="n">
        <v>-2162.86</v>
      </c>
      <c r="H70" s="55" t="n">
        <v>-6435.16</v>
      </c>
      <c r="I70" s="55" t="n">
        <v>-2899.46</v>
      </c>
      <c r="J70" s="55" t="n">
        <v>-1451.09</v>
      </c>
      <c r="K70" s="55" t="n">
        <v>-2702.36</v>
      </c>
      <c r="L70" s="55" t="n">
        <v>-2127.25</v>
      </c>
      <c r="M70" s="55" t="n">
        <v>-6332.82</v>
      </c>
      <c r="N70" s="55">
        <f>SUM(B70:M70)</f>
        <v/>
      </c>
      <c r="O70" s="55" t="n">
        <v>0</v>
      </c>
      <c r="P70" s="55" t="n">
        <v>0</v>
      </c>
      <c r="Q70" s="55" t="n">
        <v>0</v>
      </c>
      <c r="R70" s="55" t="n">
        <v>0</v>
      </c>
      <c r="S70" s="55" t="n">
        <v>0</v>
      </c>
      <c r="T70" s="55" t="n">
        <v>0</v>
      </c>
      <c r="U70" s="55" t="n">
        <v>0</v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20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20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7">
        <f>SUM(AC72:AH72)+SUM(AI72:AN72)</f>
        <v/>
      </c>
      <c r="AP72" s="145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8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7" t="n">
        <v>0</v>
      </c>
      <c r="AJ73" s="117" t="n">
        <v>0</v>
      </c>
      <c r="AK73" s="117" t="n">
        <v>0</v>
      </c>
      <c r="AL73" s="117" t="n">
        <v>0</v>
      </c>
      <c r="AM73" s="117" t="n">
        <v>0</v>
      </c>
      <c r="AN73" s="117" t="n">
        <v>0</v>
      </c>
      <c r="AO73" s="156">
        <f>SUM(AC73:AH73)+SUM(AI73:AN73)</f>
        <v/>
      </c>
      <c r="AP73" s="145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8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7" t="n">
        <v>0</v>
      </c>
      <c r="AJ74" s="117" t="n">
        <v>0</v>
      </c>
      <c r="AK74" s="117" t="n">
        <v>0</v>
      </c>
      <c r="AL74" s="117" t="n">
        <v>0</v>
      </c>
      <c r="AM74" s="117" t="n">
        <v>0</v>
      </c>
      <c r="AN74" s="117" t="n">
        <v>0</v>
      </c>
      <c r="AO74" s="156">
        <f>SUM(AC74:AH74)+SUM(AI74:AN74)</f>
        <v/>
      </c>
      <c r="AP74" s="145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8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7" t="n">
        <v>0</v>
      </c>
      <c r="AJ75" s="117" t="n">
        <v>0</v>
      </c>
      <c r="AK75" s="117" t="n">
        <v>0</v>
      </c>
      <c r="AL75" s="117" t="n">
        <v>0</v>
      </c>
      <c r="AM75" s="117" t="n">
        <v>0</v>
      </c>
      <c r="AN75" s="117" t="n">
        <v>0</v>
      </c>
      <c r="AO75" s="156">
        <f>SUM(AC75:AH75)+SUM(AI75:AN75)</f>
        <v/>
      </c>
      <c r="AP75" s="145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8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7" t="n">
        <v>0</v>
      </c>
      <c r="AJ76" s="117" t="n">
        <v>0</v>
      </c>
      <c r="AK76" s="117" t="n">
        <v>0</v>
      </c>
      <c r="AL76" s="117" t="n">
        <v>0</v>
      </c>
      <c r="AM76" s="117" t="n">
        <v>0</v>
      </c>
      <c r="AN76" s="117" t="n">
        <v>0</v>
      </c>
      <c r="AO76" s="156">
        <f>SUM(AC76:AH76)+SUM(AI76:AN76)</f>
        <v/>
      </c>
      <c r="AP76" s="145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8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7" t="n">
        <v>0</v>
      </c>
      <c r="AJ77" s="117" t="n">
        <v>0</v>
      </c>
      <c r="AK77" s="117" t="n">
        <v>0</v>
      </c>
      <c r="AL77" s="117" t="n">
        <v>0</v>
      </c>
      <c r="AM77" s="117" t="n">
        <v>0</v>
      </c>
      <c r="AN77" s="117" t="n">
        <v>0</v>
      </c>
      <c r="AO77" s="156">
        <f>SUM(AC77:AH77)+SUM(AI77:AN77)</f>
        <v/>
      </c>
      <c r="AP77" s="145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7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117" t="n">
        <v>0</v>
      </c>
      <c r="AJ78" s="117" t="n">
        <v>0</v>
      </c>
      <c r="AK78" s="117" t="n">
        <v>0</v>
      </c>
      <c r="AL78" s="117" t="n">
        <v>0</v>
      </c>
      <c r="AM78" s="117" t="n">
        <v>0</v>
      </c>
      <c r="AN78" s="117" t="n">
        <v>0</v>
      </c>
      <c r="AO78" s="156">
        <f>SUM(AC78:AH78)+SUM(AI78:AN78)</f>
        <v/>
      </c>
      <c r="AP78" s="145">
        <f>IF(AB78&lt;&gt;0,(AO78-AB78)/ABS(AB78),0)</f>
        <v/>
      </c>
    </row>
    <row r="79">
      <c r="A79" s="54" t="n"/>
      <c r="B79" s="57" t="n">
        <v>-12993.6</v>
      </c>
      <c r="C79" s="57" t="n">
        <v>-2334.04</v>
      </c>
      <c r="D79" s="57" t="n">
        <v>-12146.26</v>
      </c>
      <c r="E79" s="57" t="n">
        <v>-9632.49</v>
      </c>
      <c r="F79" s="57" t="n">
        <v>-6257.78</v>
      </c>
      <c r="G79" s="57" t="n">
        <v>-2162.86</v>
      </c>
      <c r="H79" s="57" t="n">
        <v>-6435.16</v>
      </c>
      <c r="I79" s="57" t="n">
        <v>-2899.46</v>
      </c>
      <c r="J79" s="57" t="n">
        <v>-1451.09</v>
      </c>
      <c r="K79" s="57" t="n">
        <v>-2702.36</v>
      </c>
      <c r="L79" s="57" t="n">
        <v>-2127.25</v>
      </c>
      <c r="M79" s="57" t="n">
        <v>-6332.82</v>
      </c>
      <c r="N79" s="78">
        <f>SUM(B79:M79)</f>
        <v/>
      </c>
      <c r="O79" s="55" t="n">
        <v>0</v>
      </c>
      <c r="P79" s="55" t="n">
        <v>0</v>
      </c>
      <c r="Q79" s="55" t="n">
        <v>0</v>
      </c>
      <c r="R79" s="55" t="n">
        <v>0</v>
      </c>
      <c r="S79" s="55" t="n">
        <v>0</v>
      </c>
      <c r="T79" s="55" t="n">
        <v>0</v>
      </c>
      <c r="U79" s="58" t="n"/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7">
        <f>SUM(AC79:AH79)+SUM(AI79:AN79)</f>
        <v/>
      </c>
      <c r="AP79" s="145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20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7">
        <f>SUM(AC80:AH80)+SUM(AI80:AN80)</f>
        <v/>
      </c>
      <c r="AP80" s="145">
        <f>IF(AB80&lt;&gt;0,(AO80-AB80)/ABS(AB80),0)</f>
        <v/>
      </c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34" t="inlineStr">
        <is>
          <t>Direct - Sales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60" t="n">
        <v>0</v>
      </c>
      <c r="P82" s="60" t="n">
        <v>0</v>
      </c>
      <c r="Q82" s="60" t="n">
        <v>0</v>
      </c>
      <c r="R82" s="60" t="n">
        <v>0</v>
      </c>
      <c r="S82" s="60" t="n">
        <v>0</v>
      </c>
      <c r="T82" s="60" t="n">
        <v>0</v>
      </c>
      <c r="U82" s="60" t="n">
        <v>0</v>
      </c>
      <c r="V82" s="60">
        <f>-SUMIF('XCCL Blank TB'!$T:$T,'CCL HO P&amp;L'!$A82,'XCCL Blank TB'!J:J)-SUMIF('XCCL HO TB'!$T:$T,'CCL HO P&amp;L'!$A82,'XCCL HO TB'!J:J)</f>
        <v/>
      </c>
      <c r="W82" s="60">
        <f>-SUMIF('XCCL Blank TB'!$T:$T,'CCL HO P&amp;L'!$A82,'XCCL Blank TB'!K:K)-SUMIF('XCCL HO TB'!$T:$T,'CCL HO P&amp;L'!$A82,'XCCL HO TB'!K:K)</f>
        <v/>
      </c>
      <c r="X82" s="60">
        <f>-SUMIF('XCCL Blank TB'!$T:$T,'CCL HO P&amp;L'!$A82,'XCCL Blank TB'!L:L)-SUMIF('XCCL HO TB'!$T:$T,'CCL HO P&amp;L'!$A82,'XCCL HO TB'!L:L)</f>
        <v/>
      </c>
      <c r="Y82" s="60">
        <f>-SUMIF('XCCL Blank TB'!$T:$T,'CCL HO P&amp;L'!$A82,'XCCL Blank TB'!M:M)-SUMIF('XCCL HO TB'!$T:$T,'CCL HO P&amp;L'!$A82,'XCCL HO TB'!M:M)</f>
        <v/>
      </c>
      <c r="Z82" s="60">
        <f>-SUMIF('XCCL Blank TB'!$T:$T,'CCL HO P&amp;L'!$A82,'XCCL Blank TB'!N:N)-SUMIF('XCCL HO TB'!$T:$T,'CCL HO P&amp;L'!$A82,'XCCL HO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148" t="n">
        <v>0</v>
      </c>
      <c r="AJ82" s="148" t="n">
        <v>0</v>
      </c>
      <c r="AK82" s="148" t="n">
        <v>0</v>
      </c>
      <c r="AL82" s="148" t="n">
        <v>0</v>
      </c>
      <c r="AM82" s="148" t="n">
        <v>0</v>
      </c>
      <c r="AN82" s="148" t="n">
        <v>0</v>
      </c>
      <c r="AO82" s="149">
        <f>SUM(AC82:AH82)+SUM(AI82:AN82)</f>
        <v/>
      </c>
      <c r="AP82" s="145">
        <f>IF(AB82&lt;&gt;0,(AO82-AB82)/ABS(AB82),0)</f>
        <v/>
      </c>
    </row>
    <row r="83">
      <c r="A83" s="60" t="inlineStr">
        <is>
          <t>Direct - Staff Cost</t>
        </is>
      </c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-1917.6</v>
      </c>
      <c r="G83" s="60" t="n">
        <v>-632.5799999999999</v>
      </c>
      <c r="H83" s="60" t="n">
        <v>0</v>
      </c>
      <c r="I83" s="60" t="n">
        <v>0</v>
      </c>
      <c r="J83" s="60" t="n">
        <v>0</v>
      </c>
      <c r="K83" s="60" t="n">
        <v>0</v>
      </c>
      <c r="L83" s="60" t="n">
        <v>0</v>
      </c>
      <c r="M83" s="8" t="n"/>
      <c r="N83" s="8" t="n"/>
      <c r="O83" s="60" t="n">
        <v>0</v>
      </c>
      <c r="P83" s="60" t="n">
        <v>0</v>
      </c>
      <c r="Q83" s="60" t="n">
        <v>0</v>
      </c>
      <c r="R83" s="60" t="n">
        <v>0</v>
      </c>
      <c r="S83" s="60" t="n">
        <v>0</v>
      </c>
      <c r="T83" s="60" t="n">
        <v>0</v>
      </c>
      <c r="U83" s="60" t="n">
        <v>0</v>
      </c>
      <c r="V83" s="60">
        <f>-SUMIF('XCCL Blank TB'!$T:$T,'CCL HO P&amp;L'!$A83,'XCCL Blank TB'!J:J)-SUMIF('XCCL HO TB'!$T:$T,'CCL HO P&amp;L'!$A83,'XCCL HO TB'!J:J)</f>
        <v/>
      </c>
      <c r="W83" s="60">
        <f>-SUMIF('XCCL Blank TB'!$T:$T,'CCL HO P&amp;L'!$A83,'XCCL Blank TB'!K:K)-SUMIF('XCCL HO TB'!$T:$T,'CCL HO P&amp;L'!$A83,'XCCL HO TB'!K:K)</f>
        <v/>
      </c>
      <c r="X83" s="60">
        <f>-SUMIF('XCCL Blank TB'!$T:$T,'CCL HO P&amp;L'!$A83,'XCCL Blank TB'!L:L)-SUMIF('XCCL HO TB'!$T:$T,'CCL HO P&amp;L'!$A83,'XCCL HO TB'!L:L)</f>
        <v/>
      </c>
      <c r="Y83" s="60">
        <f>-SUMIF('XCCL Blank TB'!$T:$T,'CCL HO P&amp;L'!$A83,'XCCL Blank TB'!M:M)-SUMIF('XCCL HO TB'!$T:$T,'CCL HO P&amp;L'!$A83,'XCCL HO TB'!M:M)</f>
        <v/>
      </c>
      <c r="Z83" s="60">
        <f>-SUMIF('XCCL Blank TB'!$T:$T,'CCL HO P&amp;L'!$A83,'XCCL Blank TB'!N:N)-SUMIF('XCCL HO TB'!$T:$T,'CCL HO P&amp;L'!$A83,'XCCL HO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48" t="n">
        <v>0</v>
      </c>
      <c r="AJ83" s="148" t="n">
        <v>0</v>
      </c>
      <c r="AK83" s="148" t="n">
        <v>0</v>
      </c>
      <c r="AL83" s="148" t="n">
        <v>0</v>
      </c>
      <c r="AM83" s="148" t="n">
        <v>0</v>
      </c>
      <c r="AN83" s="148" t="n">
        <v>0</v>
      </c>
      <c r="AO83" s="149">
        <f>SUM(AC83:AH83)+SUM(AI83:AN83)</f>
        <v/>
      </c>
      <c r="AP83" s="145">
        <f>IF(AB83&lt;&gt;0,(AO83-AB83)/ABS(AB83),0)</f>
        <v/>
      </c>
    </row>
    <row r="84">
      <c r="A84" s="60" t="inlineStr">
        <is>
          <t>Direct - Childcare Cost</t>
        </is>
      </c>
      <c r="B84" s="60" t="n">
        <v>-228.05</v>
      </c>
      <c r="C84" s="60" t="n">
        <v>0</v>
      </c>
      <c r="D84" s="60" t="n">
        <v>0</v>
      </c>
      <c r="E84" s="60" t="n">
        <v>0</v>
      </c>
      <c r="F84" s="60" t="n">
        <v>0</v>
      </c>
      <c r="G84" s="60" t="n">
        <v>0</v>
      </c>
      <c r="H84" s="60" t="n">
        <v>-20.97</v>
      </c>
      <c r="I84" s="60" t="n">
        <v>0</v>
      </c>
      <c r="J84" s="60" t="n">
        <v>0</v>
      </c>
      <c r="K84" s="60" t="n">
        <v>-47.98</v>
      </c>
      <c r="L84" s="60" t="n">
        <v>0</v>
      </c>
      <c r="M84" s="8" t="n"/>
      <c r="N84" s="8" t="n"/>
      <c r="O84" s="60" t="n">
        <v>0</v>
      </c>
      <c r="P84" s="60" t="n">
        <v>0</v>
      </c>
      <c r="Q84" s="60" t="n">
        <v>0</v>
      </c>
      <c r="R84" s="60" t="n">
        <v>0</v>
      </c>
      <c r="S84" s="60" t="n">
        <v>0</v>
      </c>
      <c r="T84" s="60" t="n">
        <v>0</v>
      </c>
      <c r="U84" s="60" t="n">
        <v>0</v>
      </c>
      <c r="V84" s="60">
        <f>-SUMIF('XCCL Blank TB'!$T:$T,'CCL HO P&amp;L'!$A84,'XCCL Blank TB'!J:J)-SUMIF('XCCL HO TB'!$T:$T,'CCL HO P&amp;L'!$A84,'XCCL HO TB'!J:J)</f>
        <v/>
      </c>
      <c r="W84" s="60">
        <f>-SUMIF('XCCL Blank TB'!$T:$T,'CCL HO P&amp;L'!$A84,'XCCL Blank TB'!K:K)-SUMIF('XCCL HO TB'!$T:$T,'CCL HO P&amp;L'!$A84,'XCCL HO TB'!K:K)</f>
        <v/>
      </c>
      <c r="X84" s="60">
        <f>-SUMIF('XCCL Blank TB'!$T:$T,'CCL HO P&amp;L'!$A84,'XCCL Blank TB'!L:L)-SUMIF('XCCL HO TB'!$T:$T,'CCL HO P&amp;L'!$A84,'XCCL HO TB'!L:L)</f>
        <v/>
      </c>
      <c r="Y84" s="60">
        <f>-SUMIF('XCCL Blank TB'!$T:$T,'CCL HO P&amp;L'!$A84,'XCCL Blank TB'!M:M)-SUMIF('XCCL HO TB'!$T:$T,'CCL HO P&amp;L'!$A84,'XCCL HO TB'!M:M)</f>
        <v/>
      </c>
      <c r="Z84" s="60">
        <f>-SUMIF('XCCL Blank TB'!$T:$T,'CCL HO P&amp;L'!$A84,'XCCL Blank TB'!N:N)-SUMIF('XCCL HO TB'!$T:$T,'CCL HO P&amp;L'!$A84,'XCCL HO TB'!N:N)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48" t="n">
        <v>0</v>
      </c>
      <c r="AJ84" s="148" t="n">
        <v>0</v>
      </c>
      <c r="AK84" s="148" t="n">
        <v>0</v>
      </c>
      <c r="AL84" s="148" t="n">
        <v>0</v>
      </c>
      <c r="AM84" s="148" t="n">
        <v>0</v>
      </c>
      <c r="AN84" s="148" t="n">
        <v>0</v>
      </c>
      <c r="AO84" s="149">
        <f>SUM(AC84:AH84)+SUM(AI84:AN84)</f>
        <v/>
      </c>
      <c r="AP84" s="145">
        <f>IF(AB84&lt;&gt;0,(AO84-AB84)/ABS(AB84),0)</f>
        <v/>
      </c>
    </row>
    <row r="85">
      <c r="A85" s="60" t="inlineStr">
        <is>
          <t>Direct - Premises &amp; Admin</t>
        </is>
      </c>
      <c r="B85" s="18" t="n">
        <v>-5111.72</v>
      </c>
      <c r="C85" s="18" t="n">
        <v>-841.64</v>
      </c>
      <c r="D85" s="18" t="n">
        <v>-841.3099999999999</v>
      </c>
      <c r="E85" s="18" t="n">
        <v>-5181.32</v>
      </c>
      <c r="F85" s="18" t="n">
        <v>-4154.57</v>
      </c>
      <c r="G85" s="18" t="n">
        <v>-438.26</v>
      </c>
      <c r="H85" s="18" t="n">
        <v>-6166.49</v>
      </c>
      <c r="I85" s="18" t="n">
        <v>-2774.56</v>
      </c>
      <c r="J85" s="18" t="n">
        <v>-1333.94</v>
      </c>
      <c r="K85" s="18" t="n">
        <v>-2486.98</v>
      </c>
      <c r="L85" s="18" t="n">
        <v>-1891.51</v>
      </c>
      <c r="M85" s="18" t="n"/>
      <c r="N85" s="8" t="n"/>
      <c r="O85" s="60" t="n">
        <v>0</v>
      </c>
      <c r="P85" s="60" t="n">
        <v>0</v>
      </c>
      <c r="Q85" s="60" t="n">
        <v>0</v>
      </c>
      <c r="R85" s="60" t="n">
        <v>0</v>
      </c>
      <c r="S85" s="60" t="n">
        <v>0</v>
      </c>
      <c r="T85" s="60" t="n">
        <v>0</v>
      </c>
      <c r="U85" s="60" t="n">
        <v>0</v>
      </c>
      <c r="V85" s="60">
        <f>-SUMIF('XCCL Blank TB'!$T:$T,'CCL HO P&amp;L'!$A85,'XCCL Blank TB'!J:J)-SUMIF('XCCL HO TB'!$T:$T,'CCL HO P&amp;L'!$A85,'XCCL HO TB'!J:J)</f>
        <v/>
      </c>
      <c r="W85" s="60">
        <f>-SUMIF('XCCL Blank TB'!$T:$T,'CCL HO P&amp;L'!$A85,'XCCL Blank TB'!K:K)-SUMIF('XCCL HO TB'!$T:$T,'CCL HO P&amp;L'!$A85,'XCCL HO TB'!K:K)</f>
        <v/>
      </c>
      <c r="X85" s="60">
        <f>-SUMIF('XCCL Blank TB'!$T:$T,'CCL HO P&amp;L'!$A85,'XCCL Blank TB'!L:L)-SUMIF('XCCL HO TB'!$T:$T,'CCL HO P&amp;L'!$A85,'XCCL HO TB'!L:L)</f>
        <v/>
      </c>
      <c r="Y85" s="60">
        <f>-SUMIF('XCCL Blank TB'!$T:$T,'CCL HO P&amp;L'!$A85,'XCCL Blank TB'!M:M)-SUMIF('XCCL HO TB'!$T:$T,'CCL HO P&amp;L'!$A85,'XCCL HO TB'!M:M)</f>
        <v/>
      </c>
      <c r="Z85" s="60">
        <f>-SUMIF('XCCL Blank TB'!$T:$T,'CCL HO P&amp;L'!$A85,'XCCL Blank TB'!N:N)-SUMIF('XCCL HO TB'!$T:$T,'CCL HO P&amp;L'!$A85,'XCCL HO TB'!N:N)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148" t="n">
        <v>0</v>
      </c>
      <c r="AJ85" s="148" t="n">
        <v>0</v>
      </c>
      <c r="AK85" s="148" t="n">
        <v>0</v>
      </c>
      <c r="AL85" s="148" t="n">
        <v>0</v>
      </c>
      <c r="AM85" s="148" t="n">
        <v>0</v>
      </c>
      <c r="AN85" s="148" t="n">
        <v>0</v>
      </c>
      <c r="AO85" s="149">
        <f>SUM(AC85:AH85)+SUM(AI85:AN85)</f>
        <v/>
      </c>
      <c r="AP85" s="145">
        <f>IF(AB85&lt;&gt;0,(AO85-AB85)/ABS(AB85),0)</f>
        <v/>
      </c>
    </row>
    <row r="86">
      <c r="A86" s="60" t="inlineStr">
        <is>
          <t>In-Direct - Staff Cost</t>
        </is>
      </c>
      <c r="B86" s="60" t="n">
        <v>0</v>
      </c>
      <c r="C86" s="60" t="n">
        <v>0</v>
      </c>
      <c r="D86" s="60" t="n">
        <v>0</v>
      </c>
      <c r="E86" s="60" t="n">
        <v>0</v>
      </c>
      <c r="F86" s="60" t="n">
        <v>0</v>
      </c>
      <c r="G86" s="60" t="n">
        <v>0</v>
      </c>
      <c r="H86" s="60" t="n">
        <v>0</v>
      </c>
      <c r="I86" s="60" t="n">
        <v>0</v>
      </c>
      <c r="J86" s="60" t="n">
        <v>0</v>
      </c>
      <c r="K86" s="60" t="n">
        <v>0</v>
      </c>
      <c r="L86" s="60" t="n">
        <v>0</v>
      </c>
      <c r="M86" s="8" t="n"/>
      <c r="N86" s="8" t="n"/>
      <c r="O86" s="60" t="n">
        <v>0</v>
      </c>
      <c r="P86" s="60" t="n">
        <v>0</v>
      </c>
      <c r="Q86" s="60" t="n">
        <v>0</v>
      </c>
      <c r="R86" s="60" t="n">
        <v>0</v>
      </c>
      <c r="S86" s="60" t="n">
        <v>0</v>
      </c>
      <c r="T86" s="60" t="n">
        <v>0</v>
      </c>
      <c r="U86" s="60" t="n">
        <v>0</v>
      </c>
      <c r="V86" s="60">
        <f>-SUMIF('XCCL Blank TB'!$T:$T,'CCL HO P&amp;L'!$A86,'XCCL Blank TB'!J:J)-SUMIF('XCCL HO TB'!$T:$T,'CCL HO P&amp;L'!$A86,'XCCL HO TB'!J:J)</f>
        <v/>
      </c>
      <c r="W86" s="60">
        <f>-SUMIF('XCCL Blank TB'!$T:$T,'CCL HO P&amp;L'!$A86,'XCCL Blank TB'!K:K)-SUMIF('XCCL HO TB'!$T:$T,'CCL HO P&amp;L'!$A86,'XCCL HO TB'!K:K)</f>
        <v/>
      </c>
      <c r="X86" s="60">
        <f>-SUMIF('XCCL Blank TB'!$T:$T,'CCL HO P&amp;L'!$A86,'XCCL Blank TB'!L:L)-SUMIF('XCCL HO TB'!$T:$T,'CCL HO P&amp;L'!$A86,'XCCL HO TB'!L:L)</f>
        <v/>
      </c>
      <c r="Y86" s="60">
        <f>-SUMIF('XCCL Blank TB'!$T:$T,'CCL HO P&amp;L'!$A86,'XCCL Blank TB'!M:M)-SUMIF('XCCL HO TB'!$T:$T,'CCL HO P&amp;L'!$A86,'XCCL HO TB'!M:M)</f>
        <v/>
      </c>
      <c r="Z86" s="60">
        <f>-SUMIF('XCCL Blank TB'!$T:$T,'CCL HO P&amp;L'!$A86,'XCCL Blank TB'!N:N)-SUMIF('XCCL HO TB'!$T:$T,'CCL HO P&amp;L'!$A86,'XCCL HO TB'!N:N)</f>
        <v/>
      </c>
      <c r="AA86" s="8" t="n"/>
      <c r="AB86" s="8" t="n"/>
      <c r="AC86" s="8" t="n"/>
      <c r="AD86" s="8" t="n"/>
      <c r="AE86" s="8" t="n"/>
      <c r="AF86" s="8" t="n"/>
      <c r="AG86" s="8" t="n"/>
      <c r="AH86" s="8" t="n"/>
      <c r="AI86" s="148" t="n">
        <v>0</v>
      </c>
      <c r="AJ86" s="148" t="n">
        <v>0</v>
      </c>
      <c r="AK86" s="148" t="n">
        <v>0</v>
      </c>
      <c r="AL86" s="148" t="n">
        <v>0</v>
      </c>
      <c r="AM86" s="148" t="n">
        <v>0</v>
      </c>
      <c r="AN86" s="148" t="n">
        <v>0</v>
      </c>
      <c r="AO86" s="149">
        <f>SUM(AC86:AH86)+SUM(AI86:AN86)</f>
        <v/>
      </c>
      <c r="AP86" s="145">
        <f>IF(AB86&lt;&gt;0,(AO86-AB86)/ABS(AB86),0)</f>
        <v/>
      </c>
    </row>
    <row r="87">
      <c r="A87" s="60" t="inlineStr">
        <is>
          <t>In-Direct - Overheads</t>
        </is>
      </c>
      <c r="B87" s="60" t="n">
        <v>-7653.83</v>
      </c>
      <c r="C87" s="60" t="n">
        <v>-1492.4</v>
      </c>
      <c r="D87" s="60" t="n">
        <v>-11304.95</v>
      </c>
      <c r="E87" s="60" t="n">
        <v>-4451.17</v>
      </c>
      <c r="F87" s="60" t="n">
        <v>-185.61</v>
      </c>
      <c r="G87" s="60" t="n">
        <v>-1092.02</v>
      </c>
      <c r="H87" s="60" t="n">
        <v>-247.7</v>
      </c>
      <c r="I87" s="60" t="n">
        <v>-124.9</v>
      </c>
      <c r="J87" s="60" t="n">
        <v>-117.15</v>
      </c>
      <c r="K87" s="60" t="n">
        <v>-167.4</v>
      </c>
      <c r="L87" s="60" t="n">
        <v>-235.74</v>
      </c>
      <c r="M87" s="8" t="n"/>
      <c r="N87" s="8" t="n"/>
      <c r="O87" s="60" t="n">
        <v>0</v>
      </c>
      <c r="P87" s="60" t="n">
        <v>0</v>
      </c>
      <c r="Q87" s="60" t="n">
        <v>0</v>
      </c>
      <c r="R87" s="60" t="n">
        <v>0</v>
      </c>
      <c r="S87" s="60" t="n">
        <v>0</v>
      </c>
      <c r="T87" s="60" t="n">
        <v>0</v>
      </c>
      <c r="U87" s="60" t="n">
        <v>0</v>
      </c>
      <c r="V87" s="60">
        <f>-SUMIF('XCCL Blank TB'!$T:$T,'CCL HO P&amp;L'!$A87,'XCCL Blank TB'!J:J)-SUMIF('XCCL HO TB'!$T:$T,'CCL HO P&amp;L'!$A87,'XCCL HO TB'!J:J)</f>
        <v/>
      </c>
      <c r="W87" s="60">
        <f>-SUMIF('XCCL Blank TB'!$T:$T,'CCL HO P&amp;L'!$A87,'XCCL Blank TB'!K:K)-SUMIF('XCCL HO TB'!$T:$T,'CCL HO P&amp;L'!$A87,'XCCL HO TB'!K:K)</f>
        <v/>
      </c>
      <c r="X87" s="60">
        <f>-SUMIF('XCCL Blank TB'!$T:$T,'CCL HO P&amp;L'!$A87,'XCCL Blank TB'!L:L)-SUMIF('XCCL HO TB'!$T:$T,'CCL HO P&amp;L'!$A87,'XCCL HO TB'!L:L)</f>
        <v/>
      </c>
      <c r="Y87" s="60">
        <f>-SUMIF('XCCL Blank TB'!$T:$T,'CCL HO P&amp;L'!$A87,'XCCL Blank TB'!M:M)-SUMIF('XCCL HO TB'!$T:$T,'CCL HO P&amp;L'!$A87,'XCCL HO TB'!M:M)</f>
        <v/>
      </c>
      <c r="Z87" s="60">
        <f>-SUMIF('XCCL Blank TB'!$T:$T,'CCL HO P&amp;L'!$A87,'XCCL Blank TB'!N:N)-SUMIF('XCCL HO TB'!$T:$T,'CCL HO P&amp;L'!$A87,'XCCL HO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48" t="n">
        <v>0</v>
      </c>
      <c r="AJ87" s="148" t="n">
        <v>0</v>
      </c>
      <c r="AK87" s="148" t="n">
        <v>0</v>
      </c>
      <c r="AL87" s="148" t="n">
        <v>0</v>
      </c>
      <c r="AM87" s="148" t="n">
        <v>0</v>
      </c>
      <c r="AN87" s="148" t="n">
        <v>0</v>
      </c>
      <c r="AO87" s="149">
        <f>SUM(AC87:AH87)+SUM(AI87:AN87)</f>
        <v/>
      </c>
      <c r="AP87" s="145">
        <f>IF(AB87&lt;&gt;0,(AO87-AB87)/ABS(AB87),0)</f>
        <v/>
      </c>
    </row>
    <row r="88" ht="15.75" customHeight="1">
      <c r="A88" s="8" t="n"/>
      <c r="B88" s="67" t="n">
        <v>-12993.6</v>
      </c>
      <c r="C88" s="67" t="n">
        <v>-2334.04</v>
      </c>
      <c r="D88" s="67" t="n">
        <v>-12146.26</v>
      </c>
      <c r="E88" s="67" t="n">
        <v>-9632.49</v>
      </c>
      <c r="F88" s="67" t="n">
        <v>-6257.78</v>
      </c>
      <c r="G88" s="67" t="n">
        <v>-2162.86</v>
      </c>
      <c r="H88" s="67" t="n">
        <v>-6435.16</v>
      </c>
      <c r="I88" s="67" t="n">
        <v>-2899.46</v>
      </c>
      <c r="J88" s="67" t="n">
        <v>-1451.09</v>
      </c>
      <c r="K88" s="67" t="n">
        <v>-2702.36</v>
      </c>
      <c r="L88" s="67" t="n">
        <v>-2127.25</v>
      </c>
      <c r="M88" s="67" t="n"/>
      <c r="N88" s="64" t="n"/>
      <c r="O88" s="64" t="n">
        <v>0</v>
      </c>
      <c r="P88" s="64" t="n">
        <v>0</v>
      </c>
      <c r="Q88" s="64" t="n">
        <v>0</v>
      </c>
      <c r="R88" s="64" t="n">
        <v>0</v>
      </c>
      <c r="S88" s="64" t="n">
        <v>0</v>
      </c>
      <c r="T88" s="64" t="n">
        <v>0</v>
      </c>
      <c r="U88" s="64" t="n">
        <v>0</v>
      </c>
      <c r="V88" s="64">
        <f>SUM(V82:V87)</f>
        <v/>
      </c>
      <c r="W88" s="64">
        <f>SUM(W82:W87)</f>
        <v/>
      </c>
      <c r="X88" s="64">
        <f>SUM(X82:X87)</f>
        <v/>
      </c>
      <c r="Y88" s="64">
        <f>SUM(Y82:Y87)</f>
        <v/>
      </c>
      <c r="Z88" s="64">
        <f>SUM(Z82:Z87)</f>
        <v/>
      </c>
      <c r="AA88" s="64">
        <f>SUM(AA82:AA87)</f>
        <v/>
      </c>
      <c r="AB88" s="8" t="n"/>
      <c r="AC88" s="64" t="n"/>
      <c r="AD88" s="64" t="n"/>
      <c r="AE88" s="64" t="n"/>
      <c r="AF88" s="64" t="n"/>
      <c r="AG88" s="64" t="n"/>
      <c r="AH88" s="64" t="n"/>
      <c r="AI88" s="134" t="n">
        <v>0</v>
      </c>
      <c r="AJ88" s="153" t="n">
        <v>0</v>
      </c>
      <c r="AK88" s="153" t="n">
        <v>0</v>
      </c>
      <c r="AL88" s="153" t="n">
        <v>0</v>
      </c>
      <c r="AM88" s="153" t="n">
        <v>0</v>
      </c>
      <c r="AN88" s="153" t="n">
        <v>0</v>
      </c>
      <c r="AO88" s="154">
        <f>SUM(AC88:AH88)+SUM(AI88:AN88)</f>
        <v/>
      </c>
      <c r="AP88" s="155">
        <f>IF(AB88&lt;&gt;0,(AO88-AB88)/ABS(AB88),0)</f>
        <v/>
      </c>
    </row>
    <row r="89" ht="15.75" customHeight="1">
      <c r="A89" s="8" t="n"/>
      <c r="B89" s="18" t="n">
        <v>0</v>
      </c>
      <c r="C89" s="18" t="n">
        <v>0</v>
      </c>
      <c r="D89" s="18" t="n">
        <v>0</v>
      </c>
      <c r="E89" s="18" t="n">
        <v>0</v>
      </c>
      <c r="F89" s="18" t="n">
        <v>0</v>
      </c>
      <c r="G89" s="18" t="n">
        <v>0</v>
      </c>
      <c r="H89" s="18" t="n">
        <v>0</v>
      </c>
      <c r="I89" s="18" t="n">
        <v>0</v>
      </c>
      <c r="J89" s="18" t="n">
        <v>0</v>
      </c>
      <c r="K89" s="18" t="n">
        <v>0</v>
      </c>
      <c r="L89" s="18" t="n">
        <v>0</v>
      </c>
      <c r="M89" s="18" t="n">
        <v>-6332.82</v>
      </c>
      <c r="N89" s="8" t="n"/>
      <c r="O89" s="60" t="n">
        <v>0</v>
      </c>
      <c r="P89" s="60" t="n">
        <v>0</v>
      </c>
      <c r="Q89" s="60" t="n">
        <v>0</v>
      </c>
      <c r="R89" s="60" t="n">
        <v>0</v>
      </c>
      <c r="S89" s="60" t="n">
        <v>0</v>
      </c>
      <c r="T89" s="60" t="n">
        <v>0</v>
      </c>
      <c r="U89" s="60" t="n">
        <v>0</v>
      </c>
      <c r="V89" s="60">
        <f>+V70-V88</f>
        <v/>
      </c>
      <c r="W89" s="60">
        <f>+W70-W88</f>
        <v/>
      </c>
      <c r="X89" s="60">
        <f>+X70-X88</f>
        <v/>
      </c>
      <c r="Y89" s="60">
        <f>+Y70-Y88</f>
        <v/>
      </c>
      <c r="Z89" s="60">
        <f>+Z70-Z88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48" t="n">
        <v>0</v>
      </c>
      <c r="AJ89" s="148" t="n">
        <v>0</v>
      </c>
      <c r="AK89" s="148" t="n">
        <v>0</v>
      </c>
      <c r="AL89" s="148" t="n">
        <v>0</v>
      </c>
      <c r="AM89" s="148" t="n">
        <v>0</v>
      </c>
      <c r="AN89" s="148" t="n">
        <v>0</v>
      </c>
      <c r="AO89" s="149">
        <f>SUM(AC89:AH89)+SUM(AI89:AN89)</f>
        <v/>
      </c>
      <c r="AP89" s="145">
        <f>IF(AB89&lt;&gt;0,(AO89-AB89)/ABS(AB89),0)</f>
        <v/>
      </c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6332.82</v>
      </c>
      <c r="N91" s="8" t="n"/>
      <c r="O91" s="60" t="n">
        <v>0</v>
      </c>
      <c r="P91" s="60" t="n">
        <v>0</v>
      </c>
      <c r="Q91" s="60" t="n">
        <v>0</v>
      </c>
      <c r="R91" s="60" t="n">
        <v>0</v>
      </c>
      <c r="S91" s="60" t="n">
        <v>0</v>
      </c>
      <c r="T91" s="60" t="n">
        <v>0</v>
      </c>
      <c r="U91" s="60" t="n">
        <v>0</v>
      </c>
      <c r="V91" s="60">
        <f>V88+V92</f>
        <v/>
      </c>
      <c r="W91" s="60">
        <f>W88+W92</f>
        <v/>
      </c>
      <c r="X91" s="60">
        <f>X88+X92</f>
        <v/>
      </c>
      <c r="Y91" s="60">
        <f>Y88+Y92</f>
        <v/>
      </c>
      <c r="Z91" s="60">
        <f>Z88+Z92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48" t="n">
        <v>0</v>
      </c>
      <c r="AJ91" s="148" t="n">
        <v>0</v>
      </c>
      <c r="AK91" s="148" t="n">
        <v>0</v>
      </c>
      <c r="AL91" s="148" t="n">
        <v>0</v>
      </c>
      <c r="AM91" s="148" t="n">
        <v>0</v>
      </c>
      <c r="AN91" s="148" t="n">
        <v>0</v>
      </c>
      <c r="AO91" s="149">
        <f>SUM(AC91:AH91)+SUM(AI91:AN91)</f>
        <v/>
      </c>
      <c r="AP91" s="145">
        <f>IF(AB91&lt;&gt;0,(AO91-AB91)/ABS(AB91),0)</f>
        <v/>
      </c>
    </row>
    <row r="92">
      <c r="A92" s="8" t="n"/>
      <c r="B92" s="18" t="n">
        <v>12993.6</v>
      </c>
      <c r="C92" s="18" t="n">
        <v>2334.04</v>
      </c>
      <c r="D92" s="18" t="n">
        <v>12146.26</v>
      </c>
      <c r="E92" s="18" t="n">
        <v>9632.49</v>
      </c>
      <c r="F92" s="18" t="n">
        <v>6257.780000000001</v>
      </c>
      <c r="G92" s="18" t="n">
        <v>2162.86</v>
      </c>
      <c r="H92" s="18" t="n">
        <v>6435.16</v>
      </c>
      <c r="I92" s="18" t="n">
        <v>2899.46</v>
      </c>
      <c r="J92" s="18" t="n">
        <v>1451.09</v>
      </c>
      <c r="K92" s="18" t="n">
        <v>2702.36</v>
      </c>
      <c r="L92" s="18" t="n">
        <v>2127.25</v>
      </c>
      <c r="M92" s="18" t="n">
        <v>6332.82</v>
      </c>
      <c r="N92" s="8" t="n"/>
      <c r="O92" s="60" t="n">
        <v>0</v>
      </c>
      <c r="P92" s="60" t="n">
        <v>0</v>
      </c>
      <c r="Q92" s="60" t="n">
        <v>0</v>
      </c>
      <c r="R92" s="60" t="n">
        <v>0</v>
      </c>
      <c r="S92" s="60" t="n">
        <v>0</v>
      </c>
      <c r="T92" s="60" t="n">
        <v>0</v>
      </c>
      <c r="U92" s="60" t="n">
        <v>0</v>
      </c>
      <c r="V92" s="60">
        <f>SUM('XCCL Blank TB'!J2:J37)+SUM('XCCL HO TB'!J2:J44)</f>
        <v/>
      </c>
      <c r="W92" s="60">
        <f>SUM('XCCL Blank TB'!K2:K37)+SUM('XCCL HO TB'!K2:K44)</f>
        <v/>
      </c>
      <c r="X92" s="60">
        <f>SUM('XCCL Blank TB'!L2:L37)+SUM('XCCL HO TB'!L2:L44)</f>
        <v/>
      </c>
      <c r="Y92" s="60">
        <f>SUM('XCCL Blank TB'!M2:M37)+SUM('XCCL HO TB'!M2:M44)</f>
        <v/>
      </c>
      <c r="Z92" s="60">
        <f>SUM('XCCL Blank TB'!N2:N37)+SUM('XCCL HO TB'!N2:N44)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48" t="n">
        <v>0</v>
      </c>
      <c r="AJ92" s="148" t="n">
        <v>0</v>
      </c>
      <c r="AK92" s="148" t="n">
        <v>0</v>
      </c>
      <c r="AL92" s="148" t="n">
        <v>0</v>
      </c>
      <c r="AM92" s="148" t="n">
        <v>0</v>
      </c>
      <c r="AN92" s="148" t="n">
        <v>0</v>
      </c>
      <c r="AO92" s="149">
        <f>SUM(AC92:AH92)+SUM(AI92:AN92)</f>
        <v/>
      </c>
      <c r="AP92" s="145">
        <f>IF(AB92&lt;&gt;0,(AO92-AB92)/ABS(AB92),0)</f>
        <v/>
      </c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Q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57031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YBHN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37" t="n">
        <v>0</v>
      </c>
      <c r="U8" s="37" t="n">
        <v>0</v>
      </c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117" t="n">
        <v>0</v>
      </c>
      <c r="AJ8" s="118" t="n">
        <v>0</v>
      </c>
      <c r="AK8" s="118" t="n">
        <v>0</v>
      </c>
      <c r="AL8" s="118" t="n">
        <v>0</v>
      </c>
      <c r="AM8" s="119" t="n">
        <v>0</v>
      </c>
      <c r="AN8" s="117" t="n">
        <v>0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 t="n">
        <v>0</v>
      </c>
      <c r="P9" s="37" t="n">
        <v>0</v>
      </c>
      <c r="Q9" s="37" t="n">
        <v>0</v>
      </c>
      <c r="R9" s="37" t="n">
        <v>0</v>
      </c>
      <c r="S9" s="37" t="n">
        <v>0</v>
      </c>
      <c r="T9" s="37" t="n">
        <v>0</v>
      </c>
      <c r="U9" s="37" t="n">
        <v>0</v>
      </c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 t="n">
        <v>0</v>
      </c>
      <c r="P10" s="37" t="n">
        <v>0</v>
      </c>
      <c r="Q10" s="37" t="n">
        <v>0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3">
        <f>SUM(B11:M11)</f>
        <v/>
      </c>
      <c r="O11" s="44" t="n">
        <v>0</v>
      </c>
      <c r="P11" s="44" t="n">
        <v>0</v>
      </c>
      <c r="Q11" s="44" t="n">
        <v>0</v>
      </c>
      <c r="R11" s="44" t="n">
        <v>0</v>
      </c>
      <c r="S11" s="44" t="n">
        <v>0</v>
      </c>
      <c r="T11" s="44" t="n">
        <v>0</v>
      </c>
      <c r="U11" s="44" t="n">
        <v>0</v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134" t="n">
        <v>0</v>
      </c>
      <c r="AJ11" s="157" t="n">
        <v>0</v>
      </c>
      <c r="AK11" s="157" t="n">
        <v>0</v>
      </c>
      <c r="AL11" s="157" t="n">
        <v>0</v>
      </c>
      <c r="AM11" s="157" t="n">
        <v>0</v>
      </c>
      <c r="AN11" s="134" t="n">
        <v>0</v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 t="n">
        <v>0</v>
      </c>
      <c r="P13" s="47" t="n">
        <v>0</v>
      </c>
      <c r="Q13" s="47" t="n">
        <v>0</v>
      </c>
      <c r="R13" s="47" t="n">
        <v>0</v>
      </c>
      <c r="S13" s="47" t="n">
        <v>0</v>
      </c>
      <c r="T13" s="47" t="n">
        <v>0</v>
      </c>
      <c r="U13" s="47" t="n">
        <v>0</v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 t="n"/>
      <c r="AD13" s="47" t="n"/>
      <c r="AE13" s="47" t="n"/>
      <c r="AF13" s="47" t="n"/>
      <c r="AG13" s="47" t="n"/>
      <c r="AH13" s="47" t="n"/>
      <c r="AI13" s="159" t="n">
        <v>0</v>
      </c>
      <c r="AJ13" s="160" t="n">
        <v>0</v>
      </c>
      <c r="AK13" s="160" t="n">
        <v>0</v>
      </c>
      <c r="AL13" s="160" t="n">
        <v>0</v>
      </c>
      <c r="AM13" s="161" t="n">
        <v>0</v>
      </c>
      <c r="AN13" s="159" t="n">
        <v>0</v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117" t="n">
        <v>0</v>
      </c>
      <c r="AJ16" s="118" t="n">
        <v>0</v>
      </c>
      <c r="AK16" s="118" t="n">
        <v>0</v>
      </c>
      <c r="AL16" s="118" t="n">
        <v>0</v>
      </c>
      <c r="AM16" s="119" t="n">
        <v>0</v>
      </c>
      <c r="AN16" s="117" t="n">
        <v>0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37" t="n">
        <v>0</v>
      </c>
      <c r="U17" s="37" t="n">
        <v>0</v>
      </c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117" t="n">
        <v>0</v>
      </c>
      <c r="AJ17" s="118" t="n">
        <v>0</v>
      </c>
      <c r="AK17" s="118" t="n">
        <v>0</v>
      </c>
      <c r="AL17" s="118" t="n">
        <v>0</v>
      </c>
      <c r="AM17" s="119" t="n">
        <v>0</v>
      </c>
      <c r="AN17" s="117" t="n">
        <v>0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37" t="n">
        <v>0</v>
      </c>
      <c r="U18" s="37" t="n">
        <v>0</v>
      </c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117" t="n">
        <v>0</v>
      </c>
      <c r="AJ18" s="118" t="n">
        <v>0</v>
      </c>
      <c r="AK18" s="118" t="n">
        <v>0</v>
      </c>
      <c r="AL18" s="118" t="n">
        <v>0</v>
      </c>
      <c r="AM18" s="119" t="n">
        <v>0</v>
      </c>
      <c r="AN18" s="117" t="n">
        <v>0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0</v>
      </c>
      <c r="U19" s="37" t="n">
        <v>0</v>
      </c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117" t="n">
        <v>0</v>
      </c>
      <c r="AJ19" s="118" t="n">
        <v>0</v>
      </c>
      <c r="AK19" s="118" t="n">
        <v>0</v>
      </c>
      <c r="AL19" s="118" t="n">
        <v>0</v>
      </c>
      <c r="AM19" s="119" t="n">
        <v>0</v>
      </c>
      <c r="AN19" s="117" t="n">
        <v>0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72</v>
      </c>
      <c r="D20" s="35" t="n">
        <v>0</v>
      </c>
      <c r="E20" s="35" t="n">
        <v>31.2</v>
      </c>
      <c r="F20" s="35" t="n">
        <v>72</v>
      </c>
      <c r="G20" s="35" t="n">
        <v>0</v>
      </c>
      <c r="H20" s="35" t="n">
        <v>0</v>
      </c>
      <c r="I20" s="35" t="n">
        <v>0</v>
      </c>
      <c r="J20" s="35" t="n">
        <v>52</v>
      </c>
      <c r="K20" s="35" t="n">
        <v>117.19</v>
      </c>
      <c r="L20" s="35" t="n">
        <v>0</v>
      </c>
      <c r="M20" s="35" t="n">
        <v>0</v>
      </c>
      <c r="N20" s="36">
        <f>SUM(B20:M20)</f>
        <v/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7" t="n">
        <v>0</v>
      </c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117" t="n">
        <v>0</v>
      </c>
      <c r="AJ20" s="118" t="n">
        <v>0</v>
      </c>
      <c r="AK20" s="118" t="n">
        <v>0</v>
      </c>
      <c r="AL20" s="118" t="n">
        <v>0</v>
      </c>
      <c r="AM20" s="119" t="n">
        <v>0</v>
      </c>
      <c r="AN20" s="117" t="n">
        <v>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98.3</v>
      </c>
      <c r="F21" s="35" t="n">
        <v>125.09</v>
      </c>
      <c r="G21" s="35" t="n">
        <v>0</v>
      </c>
      <c r="H21" s="35" t="n">
        <v>20.24</v>
      </c>
      <c r="I21" s="35" t="n">
        <v>0</v>
      </c>
      <c r="J21" s="35" t="n">
        <v>226.03</v>
      </c>
      <c r="K21" s="35" t="n">
        <v>0</v>
      </c>
      <c r="L21" s="35" t="n">
        <v>19.2</v>
      </c>
      <c r="M21" s="35" t="n">
        <v>10.85</v>
      </c>
      <c r="N21" s="36">
        <f>SUM(B21:M21)</f>
        <v/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37" t="n">
        <v>0</v>
      </c>
      <c r="U21" s="37" t="n">
        <v>0</v>
      </c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117" t="n">
        <v>0</v>
      </c>
      <c r="AJ21" s="118" t="n">
        <v>0</v>
      </c>
      <c r="AK21" s="118" t="n">
        <v>0</v>
      </c>
      <c r="AL21" s="118" t="n">
        <v>0</v>
      </c>
      <c r="AM21" s="119" t="n">
        <v>0</v>
      </c>
      <c r="AN21" s="117" t="n">
        <v>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7085.94</v>
      </c>
      <c r="C22" s="35" t="n">
        <v>2050</v>
      </c>
      <c r="D22" s="35" t="n">
        <v>1589.67</v>
      </c>
      <c r="E22" s="35" t="n">
        <v>667.9400000000001</v>
      </c>
      <c r="F22" s="35" t="n">
        <v>1928.6</v>
      </c>
      <c r="G22" s="35" t="n">
        <v>3710.27</v>
      </c>
      <c r="H22" s="35" t="n">
        <v>7220.33</v>
      </c>
      <c r="I22" s="35" t="n">
        <v>3434</v>
      </c>
      <c r="J22" s="35" t="n">
        <v>2623</v>
      </c>
      <c r="K22" s="35" t="n">
        <v>4004.61</v>
      </c>
      <c r="L22" s="35" t="n">
        <v>2527.46</v>
      </c>
      <c r="M22" s="35" t="n">
        <v>4279.71</v>
      </c>
      <c r="N22" s="36">
        <f>SUM(B22:M22)</f>
        <v/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8" t="n">
        <v>3600</v>
      </c>
      <c r="W22" s="38" t="n">
        <v>3600</v>
      </c>
      <c r="X22" s="38" t="n">
        <v>3600</v>
      </c>
      <c r="Y22" s="38" t="n">
        <v>3600</v>
      </c>
      <c r="Z22" s="38" t="n">
        <v>3600</v>
      </c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1300</v>
      </c>
      <c r="M23" s="35" t="n">
        <v>0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117" t="n">
        <v>0</v>
      </c>
      <c r="AJ23" s="118" t="n">
        <v>0</v>
      </c>
      <c r="AK23" s="118" t="n">
        <v>0</v>
      </c>
      <c r="AL23" s="118" t="n">
        <v>0</v>
      </c>
      <c r="AM23" s="119" t="n">
        <v>0</v>
      </c>
      <c r="AN23" s="117" t="n">
        <v>0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 t="n">
        <v>0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7" t="n">
        <v>0</v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7085.94</v>
      </c>
      <c r="C25" s="42" t="n">
        <v>2122</v>
      </c>
      <c r="D25" s="42" t="n">
        <v>1589.67</v>
      </c>
      <c r="E25" s="42" t="n">
        <v>797.4400000000001</v>
      </c>
      <c r="F25" s="42" t="n">
        <v>2125.69</v>
      </c>
      <c r="G25" s="42" t="n">
        <v>3710.27</v>
      </c>
      <c r="H25" s="42" t="n">
        <v>7240.57</v>
      </c>
      <c r="I25" s="42" t="n">
        <v>3434</v>
      </c>
      <c r="J25" s="42" t="n">
        <v>2901.03</v>
      </c>
      <c r="K25" s="42" t="n">
        <v>4121.8</v>
      </c>
      <c r="L25" s="42" t="n">
        <v>3846.66</v>
      </c>
      <c r="M25" s="42" t="n">
        <v>4290.56</v>
      </c>
      <c r="N25" s="43">
        <f>SUM(B25:M25)</f>
        <v/>
      </c>
      <c r="O25" s="44" t="n">
        <v>0</v>
      </c>
      <c r="P25" s="44" t="n">
        <v>0</v>
      </c>
      <c r="Q25" s="44" t="n">
        <v>0</v>
      </c>
      <c r="R25" s="44" t="n">
        <v>0</v>
      </c>
      <c r="S25" s="44" t="n">
        <v>0</v>
      </c>
      <c r="T25" s="44" t="n">
        <v>0</v>
      </c>
      <c r="U25" s="44" t="n">
        <v>0</v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134" t="n">
        <v>0</v>
      </c>
      <c r="AJ25" s="157" t="n">
        <v>0</v>
      </c>
      <c r="AK25" s="157" t="n">
        <v>0</v>
      </c>
      <c r="AL25" s="157" t="n">
        <v>0</v>
      </c>
      <c r="AM25" s="157" t="n">
        <v>0</v>
      </c>
      <c r="AN25" s="134" t="n">
        <v>0</v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104.48</v>
      </c>
      <c r="F27" s="35" t="n">
        <v>0</v>
      </c>
      <c r="G27" s="35" t="n">
        <v>0</v>
      </c>
      <c r="H27" s="35" t="n">
        <v>16.44</v>
      </c>
      <c r="I27" s="35" t="n">
        <v>0</v>
      </c>
      <c r="J27" s="35" t="n">
        <v>0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 t="n">
        <v>0</v>
      </c>
      <c r="P27" s="37" t="n">
        <v>0</v>
      </c>
      <c r="Q27" s="37" t="n">
        <v>0</v>
      </c>
      <c r="R27" s="37" t="n">
        <v>0</v>
      </c>
      <c r="S27" s="37" t="n">
        <v>0</v>
      </c>
      <c r="T27" s="37" t="n">
        <v>0</v>
      </c>
      <c r="U27" s="37" t="n">
        <v>0</v>
      </c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117" t="n">
        <v>0</v>
      </c>
      <c r="AJ27" s="118" t="n">
        <v>0</v>
      </c>
      <c r="AK27" s="118" t="n">
        <v>0</v>
      </c>
      <c r="AL27" s="118" t="n">
        <v>0</v>
      </c>
      <c r="AM27" s="119" t="n">
        <v>0</v>
      </c>
      <c r="AN27" s="117" t="n">
        <v>0</v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0</v>
      </c>
      <c r="K28" s="35" t="n">
        <v>0</v>
      </c>
      <c r="L28" s="35" t="n">
        <v>0</v>
      </c>
      <c r="M28" s="35" t="n">
        <v>0</v>
      </c>
      <c r="N28" s="36">
        <f>SUM(B28:M28)</f>
        <v/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117" t="n">
        <v>0</v>
      </c>
      <c r="AJ28" s="118" t="n">
        <v>0</v>
      </c>
      <c r="AK28" s="118" t="n">
        <v>0</v>
      </c>
      <c r="AL28" s="118" t="n">
        <v>0</v>
      </c>
      <c r="AM28" s="119" t="n">
        <v>0</v>
      </c>
      <c r="AN28" s="117" t="n">
        <v>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0</v>
      </c>
      <c r="L29" s="35" t="n">
        <v>0</v>
      </c>
      <c r="M29" s="35" t="n">
        <v>0</v>
      </c>
      <c r="N29" s="36">
        <f>SUM(B29:M29)</f>
        <v/>
      </c>
      <c r="O29" s="37" t="n">
        <v>0</v>
      </c>
      <c r="P29" s="37" t="n">
        <v>0</v>
      </c>
      <c r="Q29" s="37" t="n">
        <v>0</v>
      </c>
      <c r="R29" s="37" t="n">
        <v>0</v>
      </c>
      <c r="S29" s="37" t="n">
        <v>0</v>
      </c>
      <c r="T29" s="37" t="n">
        <v>0</v>
      </c>
      <c r="U29" s="37" t="n">
        <v>0</v>
      </c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117" t="n">
        <v>0</v>
      </c>
      <c r="AJ29" s="118" t="n">
        <v>0</v>
      </c>
      <c r="AK29" s="118" t="n">
        <v>0</v>
      </c>
      <c r="AL29" s="118" t="n">
        <v>0</v>
      </c>
      <c r="AM29" s="119" t="n">
        <v>0</v>
      </c>
      <c r="AN29" s="117" t="n">
        <v>0</v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 t="n">
        <v>0</v>
      </c>
      <c r="P30" s="37" t="n">
        <v>0</v>
      </c>
      <c r="Q30" s="37" t="n">
        <v>0</v>
      </c>
      <c r="R30" s="37" t="n">
        <v>0</v>
      </c>
      <c r="S30" s="37" t="n">
        <v>0</v>
      </c>
      <c r="T30" s="37" t="n">
        <v>0</v>
      </c>
      <c r="U30" s="37" t="n">
        <v>0</v>
      </c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117" t="n">
        <v>0</v>
      </c>
      <c r="AJ30" s="118" t="n">
        <v>0</v>
      </c>
      <c r="AK30" s="118" t="n">
        <v>0</v>
      </c>
      <c r="AL30" s="118" t="n">
        <v>0</v>
      </c>
      <c r="AM30" s="119" t="n">
        <v>0</v>
      </c>
      <c r="AN30" s="117" t="n">
        <v>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0</v>
      </c>
      <c r="L31" s="35" t="n">
        <v>0</v>
      </c>
      <c r="M31" s="35" t="n">
        <v>0</v>
      </c>
      <c r="N31" s="36">
        <f>SUM(B31:M31)</f>
        <v/>
      </c>
      <c r="O31" s="37" t="n">
        <v>0</v>
      </c>
      <c r="P31" s="37" t="n">
        <v>0</v>
      </c>
      <c r="Q31" s="37" t="n">
        <v>0</v>
      </c>
      <c r="R31" s="37" t="n">
        <v>0</v>
      </c>
      <c r="S31" s="37" t="n">
        <v>0</v>
      </c>
      <c r="T31" s="37" t="n">
        <v>0</v>
      </c>
      <c r="U31" s="37" t="n">
        <v>0</v>
      </c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117" t="n">
        <v>0</v>
      </c>
      <c r="AJ31" s="118" t="n">
        <v>0</v>
      </c>
      <c r="AK31" s="118" t="n">
        <v>0</v>
      </c>
      <c r="AL31" s="118" t="n">
        <v>0</v>
      </c>
      <c r="AM31" s="119" t="n">
        <v>0</v>
      </c>
      <c r="AN31" s="117" t="n">
        <v>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 t="n">
        <v>0</v>
      </c>
      <c r="P32" s="37" t="n">
        <v>0</v>
      </c>
      <c r="Q32" s="37" t="n">
        <v>0</v>
      </c>
      <c r="R32" s="37" t="n">
        <v>0</v>
      </c>
      <c r="S32" s="37" t="n">
        <v>0</v>
      </c>
      <c r="T32" s="37" t="n">
        <v>0</v>
      </c>
      <c r="U32" s="37" t="n">
        <v>0</v>
      </c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117" t="n">
        <v>0</v>
      </c>
      <c r="AJ32" s="118" t="n">
        <v>0</v>
      </c>
      <c r="AK32" s="118" t="n">
        <v>0</v>
      </c>
      <c r="AL32" s="118" t="n">
        <v>0</v>
      </c>
      <c r="AM32" s="119" t="n">
        <v>0</v>
      </c>
      <c r="AN32" s="117" t="n">
        <v>0</v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 t="n">
        <v>0</v>
      </c>
      <c r="P33" s="37" t="n">
        <v>0</v>
      </c>
      <c r="Q33" s="37" t="n">
        <v>0</v>
      </c>
      <c r="R33" s="37" t="n">
        <v>0</v>
      </c>
      <c r="S33" s="37" t="n">
        <v>0</v>
      </c>
      <c r="T33" s="37" t="n">
        <v>0</v>
      </c>
      <c r="U33" s="37" t="n">
        <v>0</v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0</v>
      </c>
      <c r="C34" s="42" t="n">
        <v>0</v>
      </c>
      <c r="D34" s="42" t="n">
        <v>0</v>
      </c>
      <c r="E34" s="42" t="n">
        <v>104.48</v>
      </c>
      <c r="F34" s="42" t="n">
        <v>0</v>
      </c>
      <c r="G34" s="42" t="n">
        <v>0</v>
      </c>
      <c r="H34" s="42" t="n">
        <v>16.44</v>
      </c>
      <c r="I34" s="42" t="n">
        <v>0</v>
      </c>
      <c r="J34" s="42" t="n">
        <v>0</v>
      </c>
      <c r="K34" s="42" t="n">
        <v>0</v>
      </c>
      <c r="L34" s="42" t="n">
        <v>0</v>
      </c>
      <c r="M34" s="42" t="n">
        <v>0</v>
      </c>
      <c r="N34" s="43">
        <f>SUM(B34:M34)</f>
        <v/>
      </c>
      <c r="O34" s="44" t="n">
        <v>0</v>
      </c>
      <c r="P34" s="44" t="n">
        <v>0</v>
      </c>
      <c r="Q34" s="44" t="n">
        <v>0</v>
      </c>
      <c r="R34" s="44" t="n">
        <v>0</v>
      </c>
      <c r="S34" s="44" t="n">
        <v>0</v>
      </c>
      <c r="T34" s="44" t="n">
        <v>0</v>
      </c>
      <c r="U34" s="44" t="n">
        <v>0</v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134" t="n">
        <v>0</v>
      </c>
      <c r="AJ34" s="157" t="n">
        <v>0</v>
      </c>
      <c r="AK34" s="157" t="n">
        <v>0</v>
      </c>
      <c r="AL34" s="157" t="n">
        <v>0</v>
      </c>
      <c r="AM34" s="157" t="n">
        <v>0</v>
      </c>
      <c r="AN34" s="134" t="n">
        <v>0</v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0</v>
      </c>
      <c r="C37" s="35" t="n">
        <v>0</v>
      </c>
      <c r="D37" s="35" t="n">
        <v>0</v>
      </c>
      <c r="E37" s="35" t="n">
        <v>0</v>
      </c>
      <c r="F37" s="35" t="n">
        <v>0</v>
      </c>
      <c r="G37" s="35" t="n">
        <v>0</v>
      </c>
      <c r="H37" s="35" t="n">
        <v>0</v>
      </c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  <c r="N37" s="36">
        <f>SUM(B37:M37)</f>
        <v/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117" t="n">
        <v>0</v>
      </c>
      <c r="AJ37" s="118" t="n">
        <v>0</v>
      </c>
      <c r="AK37" s="118" t="n">
        <v>0</v>
      </c>
      <c r="AL37" s="118" t="n">
        <v>0</v>
      </c>
      <c r="AM37" s="119" t="n">
        <v>0</v>
      </c>
      <c r="AN37" s="117" t="n">
        <v>0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0</v>
      </c>
      <c r="C38" s="35" t="n">
        <v>0</v>
      </c>
      <c r="D38" s="35" t="n">
        <v>0</v>
      </c>
      <c r="E38" s="35" t="n">
        <v>0</v>
      </c>
      <c r="F38" s="35" t="n">
        <v>0</v>
      </c>
      <c r="G38" s="35" t="n">
        <v>0</v>
      </c>
      <c r="H38" s="35" t="n">
        <v>0</v>
      </c>
      <c r="I38" s="35" t="n">
        <v>0</v>
      </c>
      <c r="J38" s="35" t="n">
        <v>0</v>
      </c>
      <c r="K38" s="35" t="n">
        <v>0</v>
      </c>
      <c r="L38" s="35" t="n">
        <v>0</v>
      </c>
      <c r="M38" s="35" t="n">
        <v>-1212.84</v>
      </c>
      <c r="N38" s="36">
        <f>SUM(B38:M38)</f>
        <v/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117" t="n">
        <v>0</v>
      </c>
      <c r="AJ38" s="118" t="n">
        <v>0</v>
      </c>
      <c r="AK38" s="118" t="n">
        <v>0</v>
      </c>
      <c r="AL38" s="118" t="n">
        <v>0</v>
      </c>
      <c r="AM38" s="119" t="n">
        <v>0</v>
      </c>
      <c r="AN38" s="117" t="n">
        <v>0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0</v>
      </c>
      <c r="C39" s="35" t="n">
        <v>0</v>
      </c>
      <c r="D39" s="35" t="n">
        <v>0</v>
      </c>
      <c r="E39" s="35" t="n">
        <v>0</v>
      </c>
      <c r="F39" s="35" t="n">
        <v>0</v>
      </c>
      <c r="G39" s="35" t="n">
        <v>331.03</v>
      </c>
      <c r="H39" s="35" t="n">
        <v>0</v>
      </c>
      <c r="I39" s="35" t="n">
        <v>0</v>
      </c>
      <c r="J39" s="35" t="n">
        <v>0</v>
      </c>
      <c r="K39" s="35" t="n">
        <v>0</v>
      </c>
      <c r="L39" s="35" t="n">
        <v>0</v>
      </c>
      <c r="M39" s="35" t="n">
        <v>0</v>
      </c>
      <c r="N39" s="36">
        <f>SUM(B39:M39)</f>
        <v/>
      </c>
      <c r="O39" s="37" t="n">
        <v>0</v>
      </c>
      <c r="P39" s="37" t="n">
        <v>0</v>
      </c>
      <c r="Q39" s="37" t="n">
        <v>0</v>
      </c>
      <c r="R39" s="37" t="n">
        <v>0</v>
      </c>
      <c r="S39" s="37" t="n">
        <v>0</v>
      </c>
      <c r="T39" s="37" t="n">
        <v>0</v>
      </c>
      <c r="U39" s="37" t="n">
        <v>0</v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8" t="n"/>
      <c r="W40" s="38" t="n"/>
      <c r="X40" s="38" t="n"/>
      <c r="Y40" s="38" t="n"/>
      <c r="Z40" s="38" t="n"/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117" t="n">
        <v>0</v>
      </c>
      <c r="AJ40" s="118" t="n">
        <v>0</v>
      </c>
      <c r="AK40" s="118" t="n">
        <v>0</v>
      </c>
      <c r="AL40" s="118" t="n">
        <v>0</v>
      </c>
      <c r="AM40" s="119" t="n">
        <v>0</v>
      </c>
      <c r="AN40" s="117" t="n">
        <v>0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102.02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  <c r="N41" s="36">
        <f>SUM(B41:M41)</f>
        <v/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8" t="n"/>
      <c r="W41" s="38" t="n"/>
      <c r="X41" s="38" t="n"/>
      <c r="Y41" s="38" t="n"/>
      <c r="Z41" s="38" t="n"/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117" t="n">
        <v>0</v>
      </c>
      <c r="AJ41" s="118" t="n">
        <v>0</v>
      </c>
      <c r="AK41" s="118" t="n">
        <v>0</v>
      </c>
      <c r="AL41" s="118" t="n">
        <v>0</v>
      </c>
      <c r="AM41" s="119" t="n">
        <v>0</v>
      </c>
      <c r="AN41" s="117" t="n">
        <v>0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0</v>
      </c>
      <c r="D42" s="35" t="n">
        <v>0</v>
      </c>
      <c r="E42" s="35" t="n">
        <v>0</v>
      </c>
      <c r="F42" s="35" t="n">
        <v>0</v>
      </c>
      <c r="G42" s="35" t="n">
        <v>0</v>
      </c>
      <c r="H42" s="35" t="n">
        <v>0</v>
      </c>
      <c r="I42" s="35" t="n">
        <v>0</v>
      </c>
      <c r="J42" s="35" t="n">
        <v>0</v>
      </c>
      <c r="K42" s="35" t="n">
        <v>0</v>
      </c>
      <c r="L42" s="35" t="n">
        <v>0</v>
      </c>
      <c r="M42" s="35" t="n">
        <v>3.27</v>
      </c>
      <c r="N42" s="36">
        <f>SUM(B42:M42)</f>
        <v/>
      </c>
      <c r="O42" s="37" t="n">
        <v>0</v>
      </c>
      <c r="P42" s="37" t="n">
        <v>0</v>
      </c>
      <c r="Q42" s="37" t="n">
        <v>0</v>
      </c>
      <c r="R42" s="37" t="n">
        <v>0</v>
      </c>
      <c r="S42" s="37" t="n">
        <v>0</v>
      </c>
      <c r="T42" s="37" t="n">
        <v>0</v>
      </c>
      <c r="U42" s="37" t="n">
        <v>0</v>
      </c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2555.59</v>
      </c>
      <c r="C45" s="35" t="n">
        <v>2594.31</v>
      </c>
      <c r="D45" s="35" t="n">
        <v>2549.76</v>
      </c>
      <c r="E45" s="35" t="n">
        <v>2555.52</v>
      </c>
      <c r="F45" s="35" t="n">
        <v>2555.85</v>
      </c>
      <c r="G45" s="35" t="n">
        <v>2592.7</v>
      </c>
      <c r="H45" s="35" t="n">
        <v>2549.98</v>
      </c>
      <c r="I45" s="35" t="n">
        <v>2549.94</v>
      </c>
      <c r="J45" s="35" t="n">
        <v>2549.95</v>
      </c>
      <c r="K45" s="35" t="n">
        <v>549.84</v>
      </c>
      <c r="L45" s="35" t="n">
        <v>0</v>
      </c>
      <c r="M45" s="35" t="n">
        <v>1.99</v>
      </c>
      <c r="N45" s="36">
        <f>SUM(B45:M45)</f>
        <v/>
      </c>
      <c r="O45" s="37" t="n">
        <v>0</v>
      </c>
      <c r="P45" s="37" t="n">
        <v>0</v>
      </c>
      <c r="Q45" s="37" t="n">
        <v>0</v>
      </c>
      <c r="R45" s="37" t="n">
        <v>0</v>
      </c>
      <c r="S45" s="37" t="n">
        <v>0</v>
      </c>
      <c r="T45" s="37" t="n">
        <v>0</v>
      </c>
      <c r="U45" s="37" t="n">
        <v>0</v>
      </c>
      <c r="V45" s="38" t="n"/>
      <c r="W45" s="38" t="n"/>
      <c r="X45" s="38" t="n"/>
      <c r="Y45" s="38" t="n"/>
      <c r="Z45" s="38" t="n"/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117" t="n">
        <v>0</v>
      </c>
      <c r="AJ45" s="118" t="n">
        <v>0</v>
      </c>
      <c r="AK45" s="118" t="n">
        <v>0</v>
      </c>
      <c r="AL45" s="118" t="n">
        <v>0</v>
      </c>
      <c r="AM45" s="119" t="n">
        <v>0</v>
      </c>
      <c r="AN45" s="117" t="n">
        <v>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2555.59</v>
      </c>
      <c r="C47" s="42" t="n">
        <v>2594.31</v>
      </c>
      <c r="D47" s="42" t="n">
        <v>2651.78</v>
      </c>
      <c r="E47" s="42" t="n">
        <v>2555.52</v>
      </c>
      <c r="F47" s="42" t="n">
        <v>2555.85</v>
      </c>
      <c r="G47" s="42" t="n">
        <v>2923.73</v>
      </c>
      <c r="H47" s="42" t="n">
        <v>2549.98</v>
      </c>
      <c r="I47" s="42" t="n">
        <v>2549.94</v>
      </c>
      <c r="J47" s="42" t="n">
        <v>2549.95</v>
      </c>
      <c r="K47" s="42" t="n">
        <v>549.84</v>
      </c>
      <c r="L47" s="42" t="n">
        <v>0</v>
      </c>
      <c r="M47" s="42" t="n">
        <v>-1207.58</v>
      </c>
      <c r="N47" s="52">
        <f>SUM(B47:M47)</f>
        <v/>
      </c>
      <c r="O47" s="44" t="n">
        <v>0</v>
      </c>
      <c r="P47" s="44" t="n">
        <v>0</v>
      </c>
      <c r="Q47" s="44" t="n">
        <v>0</v>
      </c>
      <c r="R47" s="44" t="n">
        <v>0</v>
      </c>
      <c r="S47" s="44" t="n">
        <v>0</v>
      </c>
      <c r="T47" s="44" t="n">
        <v>0</v>
      </c>
      <c r="U47" s="44" t="n">
        <v>0</v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134" t="n">
        <v>0</v>
      </c>
      <c r="AJ47" s="157" t="n">
        <v>0</v>
      </c>
      <c r="AK47" s="157" t="n">
        <v>0</v>
      </c>
      <c r="AL47" s="157" t="n">
        <v>0</v>
      </c>
      <c r="AM47" s="158" t="n">
        <v>0</v>
      </c>
      <c r="AN47" s="134" t="n">
        <v>0</v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9641.529999999999</v>
      </c>
      <c r="C48" s="23" t="n">
        <v>4716.309999999999</v>
      </c>
      <c r="D48" s="23" t="n">
        <v>4241.450000000001</v>
      </c>
      <c r="E48" s="23" t="n">
        <v>3457.44</v>
      </c>
      <c r="F48" s="23" t="n">
        <v>4681.54</v>
      </c>
      <c r="G48" s="23" t="n">
        <v>6634</v>
      </c>
      <c r="H48" s="23" t="n">
        <v>9806.99</v>
      </c>
      <c r="I48" s="23" t="n">
        <v>5983.940000000001</v>
      </c>
      <c r="J48" s="23" t="n">
        <v>5450.98</v>
      </c>
      <c r="K48" s="23" t="n">
        <v>4671.64</v>
      </c>
      <c r="L48" s="23" t="n">
        <v>3846.66</v>
      </c>
      <c r="M48" s="23" t="n">
        <v>3082.98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134" t="n">
        <v>0</v>
      </c>
      <c r="AJ48" s="135" t="n">
        <v>0</v>
      </c>
      <c r="AK48" s="135" t="n">
        <v>0</v>
      </c>
      <c r="AL48" s="135" t="n">
        <v>0</v>
      </c>
      <c r="AM48" s="135" t="n">
        <v>0</v>
      </c>
      <c r="AN48" s="134" t="n">
        <v>0</v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-9641.529999999999</v>
      </c>
      <c r="C50" s="55" t="n">
        <v>-4671.809999999999</v>
      </c>
      <c r="D50" s="55" t="n">
        <v>-4241.450000000001</v>
      </c>
      <c r="E50" s="55" t="n">
        <v>-3457.44</v>
      </c>
      <c r="F50" s="55" t="n">
        <v>-4681.54</v>
      </c>
      <c r="G50" s="55" t="n">
        <v>-6634</v>
      </c>
      <c r="H50" s="55" t="n">
        <v>-9806.99</v>
      </c>
      <c r="I50" s="55" t="n">
        <v>-5983.940000000001</v>
      </c>
      <c r="J50" s="55" t="n">
        <v>-5450.98</v>
      </c>
      <c r="K50" s="55" t="n">
        <v>-4671.64</v>
      </c>
      <c r="L50" s="55" t="n">
        <v>-3846.66</v>
      </c>
      <c r="M50" s="55" t="n">
        <v>-3082.98</v>
      </c>
      <c r="N50" s="55">
        <f>SUM(B50:M50)</f>
        <v/>
      </c>
      <c r="O50" s="55" t="n">
        <v>0</v>
      </c>
      <c r="P50" s="55" t="n">
        <v>0</v>
      </c>
      <c r="Q50" s="55" t="n">
        <v>0</v>
      </c>
      <c r="R50" s="55" t="n">
        <v>0</v>
      </c>
      <c r="S50" s="55" t="n">
        <v>0</v>
      </c>
      <c r="T50" s="55" t="n">
        <v>0</v>
      </c>
      <c r="U50" s="55" t="n">
        <v>0</v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 t="n">
        <v>110561.6</v>
      </c>
      <c r="P53" s="37" t="n">
        <v>104194.85</v>
      </c>
      <c r="Q53" s="37" t="n">
        <v>122684.97</v>
      </c>
      <c r="R53" s="37" t="n">
        <v>172859.62</v>
      </c>
      <c r="S53" s="37" t="n">
        <v>117438.53</v>
      </c>
      <c r="T53" s="37" t="n">
        <v>116497.42</v>
      </c>
      <c r="U53" s="37" t="n">
        <v>117057.9</v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 t="n">
        <v>15829.25</v>
      </c>
      <c r="P54" s="37" t="n">
        <v>14890.45</v>
      </c>
      <c r="Q54" s="37" t="n">
        <v>17671.3</v>
      </c>
      <c r="R54" s="37" t="n">
        <v>25136.38</v>
      </c>
      <c r="S54" s="37" t="n">
        <v>16772.83</v>
      </c>
      <c r="T54" s="37" t="n">
        <v>16744.56</v>
      </c>
      <c r="U54" s="37" t="n">
        <v>16640.7</v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585.15</v>
      </c>
      <c r="U55" s="37" t="n">
        <v>585.15</v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 t="n">
        <v>1185.13</v>
      </c>
      <c r="P56" s="37" t="n">
        <v>1099.1</v>
      </c>
      <c r="Q56" s="37" t="n">
        <v>1911.99</v>
      </c>
      <c r="R56" s="37" t="n">
        <v>1982.45</v>
      </c>
      <c r="S56" s="37" t="n">
        <v>1897.62</v>
      </c>
      <c r="T56" s="37" t="n">
        <v>1896.13</v>
      </c>
      <c r="U56" s="37" t="n">
        <v>1156.53</v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 t="n">
        <v>0</v>
      </c>
      <c r="P57" s="37" t="n">
        <v>0</v>
      </c>
      <c r="Q57" s="37" t="n">
        <v>0</v>
      </c>
      <c r="R57" s="37" t="n">
        <v>0</v>
      </c>
      <c r="S57" s="37" t="n">
        <v>0</v>
      </c>
      <c r="T57" s="37" t="n">
        <v>0</v>
      </c>
      <c r="U57" s="37" t="n">
        <v>0</v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117" t="n">
        <v>0</v>
      </c>
      <c r="AJ57" s="118" t="n">
        <v>0</v>
      </c>
      <c r="AK57" s="118" t="n">
        <v>0</v>
      </c>
      <c r="AL57" s="118" t="n">
        <v>0</v>
      </c>
      <c r="AM57" s="119" t="n">
        <v>0</v>
      </c>
      <c r="AN57" s="117" t="n">
        <v>0</v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 t="n">
        <v>0</v>
      </c>
      <c r="P58" s="37" t="n">
        <v>0</v>
      </c>
      <c r="Q58" s="37" t="n">
        <v>12212.4</v>
      </c>
      <c r="R58" s="37" t="n">
        <v>2756.4</v>
      </c>
      <c r="S58" s="37" t="n">
        <v>0</v>
      </c>
      <c r="T58" s="37" t="n">
        <v>0</v>
      </c>
      <c r="U58" s="37" t="n">
        <v>195.75</v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5" t="n">
        <v>0</v>
      </c>
      <c r="J59" s="35" t="n">
        <v>0</v>
      </c>
      <c r="K59" s="35" t="n">
        <v>0</v>
      </c>
      <c r="L59" s="35" t="n">
        <v>0</v>
      </c>
      <c r="M59" s="35" t="n">
        <v>0</v>
      </c>
      <c r="N59" s="36">
        <f>SUM(B59:M59)</f>
        <v/>
      </c>
      <c r="O59" s="37" t="n">
        <v>2238.11</v>
      </c>
      <c r="P59" s="37" t="n">
        <v>1404.87</v>
      </c>
      <c r="Q59" s="37" t="n">
        <v>1404.87</v>
      </c>
      <c r="R59" s="37" t="n">
        <v>2893.39</v>
      </c>
      <c r="S59" s="37" t="n">
        <v>2933.33</v>
      </c>
      <c r="T59" s="37" t="n">
        <v>14489.47</v>
      </c>
      <c r="U59" s="37" t="n">
        <v>3526.92</v>
      </c>
      <c r="V59" s="38" t="n"/>
      <c r="W59" s="38" t="n"/>
      <c r="X59" s="38" t="n"/>
      <c r="Y59" s="38" t="n"/>
      <c r="Z59" s="38" t="n"/>
      <c r="AA59" s="36">
        <f>SUM(O59:U59)</f>
        <v/>
      </c>
      <c r="AB59" s="36">
        <f>SUM(O59:Z59)</f>
        <v/>
      </c>
      <c r="AC59" s="38" t="n"/>
      <c r="AD59" s="38" t="n"/>
      <c r="AE59" s="38" t="n"/>
      <c r="AF59" s="38" t="n"/>
      <c r="AG59" s="38" t="n"/>
      <c r="AH59" s="38" t="n"/>
      <c r="AI59" s="117" t="n">
        <v>0</v>
      </c>
      <c r="AJ59" s="118" t="n">
        <v>0</v>
      </c>
      <c r="AK59" s="118" t="n">
        <v>0</v>
      </c>
      <c r="AL59" s="118" t="n">
        <v>0</v>
      </c>
      <c r="AM59" s="119" t="n">
        <v>0</v>
      </c>
      <c r="AN59" s="117" t="n">
        <v>0</v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1830.97</v>
      </c>
      <c r="C60" s="35" t="n">
        <v>458.41</v>
      </c>
      <c r="D60" s="35" t="n">
        <v>256.59</v>
      </c>
      <c r="E60" s="35" t="n">
        <v>385.3100000000001</v>
      </c>
      <c r="F60" s="35" t="n">
        <v>206.21</v>
      </c>
      <c r="G60" s="35" t="n">
        <v>108.78</v>
      </c>
      <c r="H60" s="35" t="n">
        <v>259.42</v>
      </c>
      <c r="I60" s="35" t="n">
        <v>188.7</v>
      </c>
      <c r="J60" s="35" t="n">
        <v>247.71</v>
      </c>
      <c r="K60" s="35" t="n">
        <v>308.29</v>
      </c>
      <c r="L60" s="35" t="n">
        <v>237.44</v>
      </c>
      <c r="M60" s="35" t="n">
        <v>53.14</v>
      </c>
      <c r="N60" s="36">
        <f>SUM(B60:M60)</f>
        <v/>
      </c>
      <c r="O60" s="37" t="n">
        <v>1186.5</v>
      </c>
      <c r="P60" s="37" t="n">
        <v>1186.5</v>
      </c>
      <c r="Q60" s="37" t="n">
        <v>1186.5</v>
      </c>
      <c r="R60" s="37" t="n">
        <v>2593.73</v>
      </c>
      <c r="S60" s="37" t="n">
        <v>2593.73</v>
      </c>
      <c r="T60" s="37" t="n">
        <v>2593.73</v>
      </c>
      <c r="U60" s="37" t="n">
        <v>2593.71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-1.71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0</v>
      </c>
      <c r="N61" s="36">
        <f>SUM(B61:M61)</f>
        <v/>
      </c>
      <c r="O61" s="37" t="n">
        <v>5384.61</v>
      </c>
      <c r="P61" s="37" t="n">
        <v>7655.49</v>
      </c>
      <c r="Q61" s="37" t="n">
        <v>7967.039999999999</v>
      </c>
      <c r="R61" s="37" t="n">
        <v>9289.66</v>
      </c>
      <c r="S61" s="37" t="n">
        <v>9122.59</v>
      </c>
      <c r="T61" s="37" t="n">
        <v>16372.61</v>
      </c>
      <c r="U61" s="37" t="n">
        <v>8138.370000000001</v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697.5</v>
      </c>
      <c r="K62" s="35" t="n">
        <v>0</v>
      </c>
      <c r="L62" s="35" t="n">
        <v>0</v>
      </c>
      <c r="M62" s="35" t="n">
        <v>20</v>
      </c>
      <c r="N62" s="36">
        <f>SUM(B62:M62)</f>
        <v/>
      </c>
      <c r="O62" s="37" t="n">
        <v>1610.78</v>
      </c>
      <c r="P62" s="37" t="n">
        <v>345.22</v>
      </c>
      <c r="Q62" s="37" t="n">
        <v>0</v>
      </c>
      <c r="R62" s="37" t="n">
        <v>43.47000000000003</v>
      </c>
      <c r="S62" s="37" t="n">
        <v>88.89</v>
      </c>
      <c r="T62" s="37" t="n">
        <v>1710.61</v>
      </c>
      <c r="U62" s="37" t="n">
        <v>1093.44</v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 t="n">
        <v>0</v>
      </c>
      <c r="P63" s="37" t="n">
        <v>0</v>
      </c>
      <c r="Q63" s="37" t="n">
        <v>0</v>
      </c>
      <c r="R63" s="37" t="n">
        <v>0</v>
      </c>
      <c r="S63" s="37" t="n">
        <v>0</v>
      </c>
      <c r="T63" s="37" t="n">
        <v>0</v>
      </c>
      <c r="U63" s="37" t="n">
        <v>0</v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30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 t="n">
        <v>13797.88</v>
      </c>
      <c r="P65" s="37" t="n">
        <v>5720.969999999999</v>
      </c>
      <c r="Q65" s="37" t="n">
        <v>5427.91</v>
      </c>
      <c r="R65" s="37" t="n">
        <v>4311.21</v>
      </c>
      <c r="S65" s="37" t="n">
        <v>4359.15</v>
      </c>
      <c r="T65" s="37" t="n">
        <v>4667.76</v>
      </c>
      <c r="U65" s="37" t="n">
        <v>27831.66</v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 t="n">
        <v>0</v>
      </c>
      <c r="P66" s="37" t="n">
        <v>0</v>
      </c>
      <c r="Q66" s="37" t="n">
        <v>0</v>
      </c>
      <c r="R66" s="37" t="n">
        <v>0</v>
      </c>
      <c r="S66" s="37" t="n">
        <v>0</v>
      </c>
      <c r="T66" s="37" t="n">
        <v>0</v>
      </c>
      <c r="U66" s="37" t="n">
        <v>0</v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1220.4</v>
      </c>
      <c r="F67" s="35" t="n">
        <v>0</v>
      </c>
      <c r="G67" s="35" t="n">
        <v>0</v>
      </c>
      <c r="H67" s="35" t="n">
        <v>62.55</v>
      </c>
      <c r="I67" s="35" t="n">
        <v>62.55</v>
      </c>
      <c r="J67" s="35" t="n">
        <v>62.55</v>
      </c>
      <c r="K67" s="35" t="n">
        <v>62.55</v>
      </c>
      <c r="L67" s="35" t="n">
        <v>62.55</v>
      </c>
      <c r="M67" s="35" t="n">
        <v>1002.15</v>
      </c>
      <c r="N67" s="36">
        <f>SUM(B67:M67)</f>
        <v/>
      </c>
      <c r="O67" s="37" t="n">
        <v>0</v>
      </c>
      <c r="P67" s="37" t="n">
        <v>0</v>
      </c>
      <c r="Q67" s="37" t="n">
        <v>0</v>
      </c>
      <c r="R67" s="37" t="n">
        <v>0</v>
      </c>
      <c r="S67" s="37" t="n">
        <v>0</v>
      </c>
      <c r="T67" s="37" t="n">
        <v>0</v>
      </c>
      <c r="U67" s="37" t="n">
        <v>162.4</v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26.95</v>
      </c>
      <c r="C68" s="35" t="n">
        <v>29.75</v>
      </c>
      <c r="D68" s="35" t="n">
        <v>23.45</v>
      </c>
      <c r="E68" s="35" t="n">
        <v>28.7</v>
      </c>
      <c r="F68" s="35" t="n">
        <v>25.2</v>
      </c>
      <c r="G68" s="35" t="n">
        <v>24.15</v>
      </c>
      <c r="H68" s="35" t="n">
        <v>24.85</v>
      </c>
      <c r="I68" s="35" t="n">
        <v>23.8</v>
      </c>
      <c r="J68" s="35" t="n">
        <v>17.85</v>
      </c>
      <c r="K68" s="35" t="n">
        <v>20.3</v>
      </c>
      <c r="L68" s="35" t="n">
        <v>21</v>
      </c>
      <c r="M68" s="35" t="n">
        <v>19.95</v>
      </c>
      <c r="N68" s="36">
        <f>SUM(B68:M68)</f>
        <v/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1857.92</v>
      </c>
      <c r="C69" s="42" t="n">
        <v>518.1600000000001</v>
      </c>
      <c r="D69" s="42" t="n">
        <v>280.04</v>
      </c>
      <c r="E69" s="42" t="n">
        <v>1634.41</v>
      </c>
      <c r="F69" s="42" t="n">
        <v>231.41</v>
      </c>
      <c r="G69" s="42" t="n">
        <v>132.93</v>
      </c>
      <c r="H69" s="42" t="n">
        <v>345.1100000000001</v>
      </c>
      <c r="I69" s="42" t="n">
        <v>275.05</v>
      </c>
      <c r="J69" s="42" t="n">
        <v>1025.61</v>
      </c>
      <c r="K69" s="42" t="n">
        <v>391.14</v>
      </c>
      <c r="L69" s="42" t="n">
        <v>320.99</v>
      </c>
      <c r="M69" s="42" t="n">
        <v>1095.24</v>
      </c>
      <c r="N69" s="43">
        <f>SUM(B69:M69)</f>
        <v/>
      </c>
      <c r="O69" s="44" t="n">
        <v>0</v>
      </c>
      <c r="P69" s="44" t="n">
        <v>0</v>
      </c>
      <c r="Q69" s="44" t="n">
        <v>0</v>
      </c>
      <c r="R69" s="44" t="n">
        <v>0</v>
      </c>
      <c r="S69" s="44" t="n">
        <v>0</v>
      </c>
      <c r="T69" s="44" t="n">
        <v>0</v>
      </c>
      <c r="U69" s="44" t="n">
        <v>0</v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134" t="n">
        <v>0</v>
      </c>
      <c r="AJ69" s="157" t="n">
        <v>0</v>
      </c>
      <c r="AK69" s="157" t="n">
        <v>0</v>
      </c>
      <c r="AL69" s="157" t="n">
        <v>0</v>
      </c>
      <c r="AM69" s="157" t="n">
        <v>0</v>
      </c>
      <c r="AN69" s="134" t="n">
        <v>0</v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-11499.45</v>
      </c>
      <c r="C70" s="55" t="n">
        <v>-5189.969999999999</v>
      </c>
      <c r="D70" s="55" t="n">
        <v>-4521.490000000001</v>
      </c>
      <c r="E70" s="55" t="n">
        <v>-5091.85</v>
      </c>
      <c r="F70" s="55" t="n">
        <v>-4912.95</v>
      </c>
      <c r="G70" s="55" t="n">
        <v>-6766.93</v>
      </c>
      <c r="H70" s="55" t="n">
        <v>-10152.1</v>
      </c>
      <c r="I70" s="55" t="n">
        <v>-6258.990000000001</v>
      </c>
      <c r="J70" s="55" t="n">
        <v>-6476.589999999999</v>
      </c>
      <c r="K70" s="55" t="n">
        <v>-5062.780000000001</v>
      </c>
      <c r="L70" s="55" t="n">
        <v>-4167.65</v>
      </c>
      <c r="M70" s="55" t="n">
        <v>-4178.22</v>
      </c>
      <c r="N70" s="55">
        <f>SUM(B70:M70)</f>
        <v/>
      </c>
      <c r="O70" s="55" t="n">
        <v>0</v>
      </c>
      <c r="P70" s="55" t="n">
        <v>0</v>
      </c>
      <c r="Q70" s="55" t="n">
        <v>0</v>
      </c>
      <c r="R70" s="55" t="n">
        <v>0</v>
      </c>
      <c r="S70" s="55" t="n">
        <v>0</v>
      </c>
      <c r="T70" s="55" t="n">
        <v>0</v>
      </c>
      <c r="U70" s="55" t="n">
        <v>0</v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54" t="n"/>
      <c r="B71" s="55" t="n"/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5" t="n"/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  <c r="Z71" s="55" t="n"/>
      <c r="AA71" s="55" t="n"/>
      <c r="AB71" s="55" t="n"/>
      <c r="AC71" s="55" t="n"/>
      <c r="AD71" s="55" t="n"/>
      <c r="AE71" s="55" t="n"/>
      <c r="AF71" s="55" t="n"/>
      <c r="AG71" s="55" t="n"/>
      <c r="AH71" s="55" t="n"/>
      <c r="AI71" s="8" t="n"/>
      <c r="AJ71" s="55" t="n"/>
      <c r="AK71" s="55" t="n"/>
      <c r="AL71" s="55" t="n"/>
      <c r="AM71" s="55" t="n"/>
      <c r="AN71" s="55" t="n"/>
      <c r="AO71" s="55" t="n"/>
      <c r="AP71" s="55" t="n"/>
    </row>
    <row r="72">
      <c r="A72" s="28" t="n"/>
      <c r="B72" s="56" t="n"/>
      <c r="C72" s="56" t="n"/>
      <c r="D72" s="56" t="n"/>
      <c r="E72" s="56" t="n"/>
      <c r="F72" s="56" t="n"/>
      <c r="G72" s="56" t="n"/>
      <c r="H72" s="56" t="n"/>
      <c r="I72" s="56" t="n"/>
      <c r="J72" s="56" t="n"/>
      <c r="K72" s="56" t="n"/>
      <c r="L72" s="56" t="n"/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  <c r="Y72" s="56" t="n"/>
      <c r="Z72" s="56" t="n"/>
      <c r="AA72" s="56">
        <f>SUM(O72:T72)</f>
        <v/>
      </c>
      <c r="AB72" s="56" t="n"/>
      <c r="AC72" s="56" t="n"/>
      <c r="AD72" s="56" t="n"/>
      <c r="AE72" s="56" t="n"/>
      <c r="AF72" s="56" t="n"/>
      <c r="AG72" s="56" t="n"/>
      <c r="AH72" s="56" t="n"/>
      <c r="AI72" s="126" t="n">
        <v>0</v>
      </c>
      <c r="AJ72" s="126" t="n">
        <v>0</v>
      </c>
      <c r="AK72" s="126" t="n">
        <v>0</v>
      </c>
      <c r="AL72" s="126" t="n">
        <v>0</v>
      </c>
      <c r="AM72" s="126" t="n">
        <v>0</v>
      </c>
      <c r="AN72" s="126" t="n">
        <v>0</v>
      </c>
      <c r="AO72" s="150">
        <f>SUM(AC72:AH72)+SUM(AI72:AN72)</f>
        <v/>
      </c>
      <c r="AP72" s="145">
        <f>IF(AB72&lt;&gt;0,(AO72-AB72)/ABS(AB72),0)</f>
        <v/>
      </c>
    </row>
    <row r="73">
      <c r="A73" s="28" t="inlineStr">
        <is>
          <t>Borrowing Costs</t>
        </is>
      </c>
      <c r="B73" s="56" t="n"/>
      <c r="C73" s="56" t="n"/>
      <c r="D73" s="56" t="n"/>
      <c r="E73" s="56" t="n"/>
      <c r="F73" s="56" t="n"/>
      <c r="G73" s="56" t="n"/>
      <c r="H73" s="56" t="n"/>
      <c r="I73" s="56" t="n"/>
      <c r="J73" s="56" t="n"/>
      <c r="K73" s="56" t="n"/>
      <c r="L73" s="56" t="n"/>
      <c r="M73" s="56" t="n"/>
      <c r="N73" s="56" t="n"/>
      <c r="O73" s="56" t="n">
        <v>0</v>
      </c>
      <c r="P73" s="56" t="n">
        <v>0</v>
      </c>
      <c r="Q73" s="56" t="n">
        <v>0</v>
      </c>
      <c r="R73" s="56" t="n">
        <v>0</v>
      </c>
      <c r="S73" s="56" t="n">
        <v>0</v>
      </c>
      <c r="T73" s="56" t="n">
        <v>0</v>
      </c>
      <c r="U73" s="56" t="n">
        <v>1</v>
      </c>
      <c r="V73" s="56" t="n">
        <v>0</v>
      </c>
      <c r="W73" s="56" t="n">
        <v>0</v>
      </c>
      <c r="X73" s="56" t="n">
        <v>0</v>
      </c>
      <c r="Y73" s="56" t="n">
        <v>0</v>
      </c>
      <c r="Z73" s="56" t="n">
        <v>0</v>
      </c>
      <c r="AA73" s="56" t="n"/>
      <c r="AB73" s="60" t="n">
        <v>0</v>
      </c>
      <c r="AC73" s="56" t="n"/>
      <c r="AD73" s="56" t="n"/>
      <c r="AE73" s="56" t="n"/>
      <c r="AF73" s="56" t="n"/>
      <c r="AG73" s="56" t="n"/>
      <c r="AH73" s="56" t="n"/>
      <c r="AI73" s="126" t="n">
        <v>0</v>
      </c>
      <c r="AJ73" s="126" t="n">
        <v>0</v>
      </c>
      <c r="AK73" s="126" t="n">
        <v>0</v>
      </c>
      <c r="AL73" s="126" t="n">
        <v>0</v>
      </c>
      <c r="AM73" s="126" t="n">
        <v>0</v>
      </c>
      <c r="AN73" s="126" t="n">
        <v>0</v>
      </c>
      <c r="AO73" s="150">
        <f>SUM(AC73:AH73)+SUM(AI73:AN73)</f>
        <v/>
      </c>
      <c r="AP73" s="145">
        <f>IF(AB73&lt;&gt;0,(AO73-AB73)/ABS(AB73),0)</f>
        <v/>
      </c>
    </row>
    <row r="74">
      <c r="A74" s="28" t="inlineStr">
        <is>
          <t>Depreciation</t>
        </is>
      </c>
      <c r="B74" s="56" t="n"/>
      <c r="C74" s="56" t="n"/>
      <c r="D74" s="56" t="n"/>
      <c r="E74" s="56" t="n"/>
      <c r="F74" s="56" t="n"/>
      <c r="G74" s="56" t="n"/>
      <c r="H74" s="56" t="n"/>
      <c r="I74" s="56" t="n"/>
      <c r="J74" s="56" t="n"/>
      <c r="K74" s="56" t="n"/>
      <c r="L74" s="56" t="n"/>
      <c r="M74" s="56" t="n"/>
      <c r="N74" s="56" t="n"/>
      <c r="O74" s="56" t="n">
        <v>579.4525</v>
      </c>
      <c r="P74" s="56" t="n">
        <v>579.4525</v>
      </c>
      <c r="Q74" s="56" t="n">
        <v>579.4525</v>
      </c>
      <c r="R74" s="56" t="n">
        <v>579.4525</v>
      </c>
      <c r="S74" s="56" t="n">
        <v>579.4525</v>
      </c>
      <c r="T74" s="56" t="n">
        <v>579.4525</v>
      </c>
      <c r="U74" s="56" t="n">
        <v>580.4525</v>
      </c>
      <c r="V74" s="56" t="n">
        <v>547.8125</v>
      </c>
      <c r="W74" s="56" t="n">
        <v>547.8125</v>
      </c>
      <c r="X74" s="56" t="n">
        <v>547.8125</v>
      </c>
      <c r="Y74" s="56" t="n">
        <v>547.8125</v>
      </c>
      <c r="Z74" s="56" t="n">
        <v>542.1725</v>
      </c>
      <c r="AA74" s="56" t="n"/>
      <c r="AB74" s="60" t="n">
        <v>102606.8643965906</v>
      </c>
      <c r="AC74" s="56" t="n"/>
      <c r="AD74" s="56" t="n"/>
      <c r="AE74" s="56" t="n"/>
      <c r="AF74" s="56" t="n"/>
      <c r="AG74" s="56" t="n"/>
      <c r="AH74" s="56" t="n"/>
      <c r="AI74" s="126" t="n">
        <v>0</v>
      </c>
      <c r="AJ74" s="126" t="n">
        <v>0</v>
      </c>
      <c r="AK74" s="126" t="n">
        <v>0</v>
      </c>
      <c r="AL74" s="126" t="n">
        <v>0</v>
      </c>
      <c r="AM74" s="126" t="n">
        <v>0</v>
      </c>
      <c r="AN74" s="126" t="n">
        <v>0</v>
      </c>
      <c r="AO74" s="150">
        <f>SUM(AC74:AH74)+SUM(AI74:AN74)</f>
        <v/>
      </c>
      <c r="AP74" s="145">
        <f>IF(AB74&lt;&gt;0,(AO74-AB74)/ABS(AB74),0)</f>
        <v/>
      </c>
    </row>
    <row r="75">
      <c r="A75" s="28" t="inlineStr">
        <is>
          <t>Amortisation</t>
        </is>
      </c>
      <c r="B75" s="56" t="n"/>
      <c r="C75" s="56" t="n"/>
      <c r="D75" s="56" t="n"/>
      <c r="E75" s="56" t="n"/>
      <c r="F75" s="56" t="n"/>
      <c r="G75" s="56" t="n"/>
      <c r="H75" s="56" t="n"/>
      <c r="I75" s="56" t="n"/>
      <c r="J75" s="56" t="n"/>
      <c r="K75" s="56" t="n"/>
      <c r="L75" s="56" t="n"/>
      <c r="M75" s="56" t="n"/>
      <c r="N75" s="56" t="n"/>
      <c r="O75" s="56" t="n">
        <v>0</v>
      </c>
      <c r="P75" s="56" t="n">
        <v>0</v>
      </c>
      <c r="Q75" s="56" t="n">
        <v>0</v>
      </c>
      <c r="R75" s="56" t="n">
        <v>0</v>
      </c>
      <c r="S75" s="56" t="n">
        <v>0</v>
      </c>
      <c r="T75" s="56" t="n">
        <v>0</v>
      </c>
      <c r="U75" s="56" t="n">
        <v>1</v>
      </c>
      <c r="V75" s="56" t="n">
        <v>0</v>
      </c>
      <c r="W75" s="56" t="n">
        <v>0</v>
      </c>
      <c r="X75" s="56" t="n">
        <v>0</v>
      </c>
      <c r="Y75" s="56" t="n">
        <v>0</v>
      </c>
      <c r="Z75" s="56" t="n">
        <v>0</v>
      </c>
      <c r="AA75" s="56" t="n"/>
      <c r="AB75" s="60" t="n">
        <v>0</v>
      </c>
      <c r="AC75" s="56" t="n"/>
      <c r="AD75" s="56" t="n"/>
      <c r="AE75" s="56" t="n"/>
      <c r="AF75" s="56" t="n"/>
      <c r="AG75" s="56" t="n"/>
      <c r="AH75" s="56" t="n"/>
      <c r="AI75" s="126" t="n">
        <v>0</v>
      </c>
      <c r="AJ75" s="126" t="n">
        <v>0</v>
      </c>
      <c r="AK75" s="126" t="n">
        <v>0</v>
      </c>
      <c r="AL75" s="126" t="n">
        <v>0</v>
      </c>
      <c r="AM75" s="126" t="n">
        <v>0</v>
      </c>
      <c r="AN75" s="126" t="n">
        <v>0</v>
      </c>
      <c r="AO75" s="150">
        <f>SUM(AC75:AH75)+SUM(AI75:AN75)</f>
        <v/>
      </c>
      <c r="AP75" s="145">
        <f>IF(AB75&lt;&gt;0,(AO75-AB75)/ABS(AB75),0)</f>
        <v/>
      </c>
    </row>
    <row r="76">
      <c r="A76" s="28" t="inlineStr">
        <is>
          <t>Profit Before Tax</t>
        </is>
      </c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>
        <v>0</v>
      </c>
      <c r="P76" s="56" t="n">
        <v>0</v>
      </c>
      <c r="Q76" s="56" t="n">
        <v>0</v>
      </c>
      <c r="R76" s="56" t="n">
        <v>0</v>
      </c>
      <c r="S76" s="56" t="n">
        <v>0</v>
      </c>
      <c r="T76" s="56" t="n">
        <v>0</v>
      </c>
      <c r="U76" s="56" t="n">
        <v>0</v>
      </c>
      <c r="V76" s="56">
        <f>V70-V74</f>
        <v/>
      </c>
      <c r="W76" s="56">
        <f>W70-W74</f>
        <v/>
      </c>
      <c r="X76" s="56">
        <f>X70-X74</f>
        <v/>
      </c>
      <c r="Y76" s="56">
        <f>Y70-Y74</f>
        <v/>
      </c>
      <c r="Z76" s="56">
        <f>Z70-Z74</f>
        <v/>
      </c>
      <c r="AA76" s="56" t="n"/>
      <c r="AB76" s="56">
        <f>AB60-AB74</f>
        <v/>
      </c>
      <c r="AC76" s="56" t="n"/>
      <c r="AD76" s="56" t="n"/>
      <c r="AE76" s="56" t="n"/>
      <c r="AF76" s="56" t="n"/>
      <c r="AG76" s="56" t="n"/>
      <c r="AH76" s="56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50">
        <f>SUM(AC76:AH76)+SUM(AI76:AN76)</f>
        <v/>
      </c>
      <c r="AP76" s="145">
        <f>IF(AB76&lt;&gt;0,(AO76-AB76)/ABS(AB76),0)</f>
        <v/>
      </c>
    </row>
    <row r="77" ht="15.75" customHeight="1">
      <c r="A77" s="82" t="inlineStr">
        <is>
          <t>Corp Tax Due</t>
        </is>
      </c>
      <c r="B77" s="72" t="n"/>
      <c r="C77" s="72" t="n"/>
      <c r="D77" s="72" t="n"/>
      <c r="E77" s="72" t="n"/>
      <c r="F77" s="72" t="n"/>
      <c r="G77" s="72" t="n"/>
      <c r="H77" s="72" t="n"/>
      <c r="I77" s="72" t="n"/>
      <c r="J77" s="72" t="n"/>
      <c r="K77" s="72" t="n"/>
      <c r="L77" s="72" t="n"/>
      <c r="M77" s="72" t="n"/>
      <c r="N77" s="72" t="n"/>
      <c r="O77" s="72" t="n">
        <v>0</v>
      </c>
      <c r="P77" s="72" t="n">
        <v>0</v>
      </c>
      <c r="Q77" s="72" t="n">
        <v>0</v>
      </c>
      <c r="R77" s="72" t="n">
        <v>0</v>
      </c>
      <c r="S77" s="72" t="n">
        <v>0</v>
      </c>
      <c r="T77" s="72" t="n">
        <v>0</v>
      </c>
      <c r="U77" s="72" t="n">
        <v>0</v>
      </c>
      <c r="V77" s="72">
        <f>V76*0.25</f>
        <v/>
      </c>
      <c r="W77" s="72">
        <f>W76*0.25</f>
        <v/>
      </c>
      <c r="X77" s="72">
        <f>X76*0.25</f>
        <v/>
      </c>
      <c r="Y77" s="72">
        <f>Y76*0.25</f>
        <v/>
      </c>
      <c r="Z77" s="72">
        <f>Z76*0.25</f>
        <v/>
      </c>
      <c r="AA77" s="72" t="n"/>
      <c r="AB77" s="72">
        <f>AB76*0.25</f>
        <v/>
      </c>
      <c r="AC77" s="72" t="n"/>
      <c r="AD77" s="72" t="n"/>
      <c r="AE77" s="72" t="n"/>
      <c r="AF77" s="72" t="n"/>
      <c r="AG77" s="72" t="n"/>
      <c r="AH77" s="72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50">
        <f>SUM(AC77:AH77)+SUM(AI77:AN77)</f>
        <v/>
      </c>
      <c r="AP77" s="145">
        <f>IF(AB77&lt;&gt;0,(AO77-AB77)/ABS(AB77),0)</f>
        <v/>
      </c>
    </row>
    <row r="78" ht="15.75" customHeight="1">
      <c r="A78" s="22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60">
        <f>SUM(B78:M78)</f>
        <v/>
      </c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60">
        <f>SUM(O78:T78)</f>
        <v/>
      </c>
      <c r="AB78" s="56" t="n"/>
      <c r="AC78" s="8" t="n"/>
      <c r="AD78" s="8" t="n"/>
      <c r="AE78" s="8" t="n"/>
      <c r="AF78" s="8" t="n"/>
      <c r="AG78" s="8" t="n"/>
      <c r="AH78" s="8" t="n"/>
      <c r="AI78" s="148" t="n">
        <v>0</v>
      </c>
      <c r="AJ78" s="148" t="n">
        <v>0</v>
      </c>
      <c r="AK78" s="148" t="n">
        <v>0</v>
      </c>
      <c r="AL78" s="148" t="n">
        <v>0</v>
      </c>
      <c r="AM78" s="148" t="n">
        <v>0</v>
      </c>
      <c r="AN78" s="148" t="n">
        <v>0</v>
      </c>
      <c r="AO78" s="149">
        <f>SUM(AC78:AH78)+SUM(AI78:AN78)</f>
        <v/>
      </c>
      <c r="AP78" s="145">
        <f>IF(AB78&lt;&gt;0,(AO78-AB78)/ABS(AB78),0)</f>
        <v/>
      </c>
    </row>
    <row r="79">
      <c r="A79" s="34" t="inlineStr">
        <is>
          <t>Direct - Sales</t>
        </is>
      </c>
      <c r="B79" s="18" t="n">
        <v>0</v>
      </c>
      <c r="C79" s="18" t="n">
        <v>44.5</v>
      </c>
      <c r="D79" s="18" t="n">
        <v>0</v>
      </c>
      <c r="E79" s="18" t="n">
        <v>0</v>
      </c>
      <c r="F79" s="18" t="n">
        <v>0</v>
      </c>
      <c r="G79" s="18" t="n">
        <v>0</v>
      </c>
      <c r="H79" s="18" t="n">
        <v>0</v>
      </c>
      <c r="I79" s="18" t="n">
        <v>0</v>
      </c>
      <c r="J79" s="18" t="n">
        <v>0</v>
      </c>
      <c r="K79" s="18" t="n">
        <v>0</v>
      </c>
      <c r="L79" s="18" t="n">
        <v>0</v>
      </c>
      <c r="M79" s="18" t="n"/>
      <c r="N79" s="8" t="n"/>
      <c r="O79" s="60" t="n">
        <v>0</v>
      </c>
      <c r="P79" s="60" t="n">
        <v>0</v>
      </c>
      <c r="Q79" s="60" t="n">
        <v>0</v>
      </c>
      <c r="R79" s="60" t="n">
        <v>0</v>
      </c>
      <c r="S79" s="60" t="n">
        <v>0</v>
      </c>
      <c r="T79" s="60" t="n">
        <v>0</v>
      </c>
      <c r="U79" s="60" t="n">
        <v>0</v>
      </c>
      <c r="V79" s="60">
        <f>-SUMIF('YBHN Blank TB'!$T:$T,'YBHN HO P&amp;L'!$A79,'YBHN Blank TB'!J:J)-SUMIF('YBHN HO TB'!$T:$T,'YBHN HO P&amp;L'!$A79,'YBHN HO TB'!J:J)</f>
        <v/>
      </c>
      <c r="W79" s="60">
        <f>-SUMIF('YBHN Blank TB'!$T:$T,'YBHN HO P&amp;L'!$A79,'YBHN Blank TB'!K:K)-SUMIF('YBHN HO TB'!$T:$T,'YBHN HO P&amp;L'!$A79,'YBHN HO TB'!K:K)</f>
        <v/>
      </c>
      <c r="X79" s="60">
        <f>-SUMIF('YBHN Blank TB'!$T:$T,'YBHN HO P&amp;L'!$A79,'YBHN Blank TB'!L:L)-SUMIF('YBHN HO TB'!$T:$T,'YBHN HO P&amp;L'!$A79,'YBHN HO TB'!L:L)</f>
        <v/>
      </c>
      <c r="Y79" s="60">
        <f>-SUMIF('YBHN Blank TB'!$T:$T,'YBHN HO P&amp;L'!$A79,'YBHN Blank TB'!M:M)-SUMIF('YBHN HO TB'!$T:$T,'YBHN HO P&amp;L'!$A79,'YBHN HO TB'!M:M)</f>
        <v/>
      </c>
      <c r="Z79" s="60">
        <f>-SUMIF('YBHN Blank TB'!$T:$T,'YBHN HO P&amp;L'!$A79,'YBHN Blank TB'!N:N)-SUMIF('YBHN HO TB'!$T:$T,'YBHN HO P&amp;L'!$A79,'YBHN HO TB'!N:N)</f>
        <v/>
      </c>
      <c r="AA79" s="60">
        <f>SUM(O79:T79)</f>
        <v/>
      </c>
      <c r="AB79" s="56" t="n"/>
      <c r="AC79" s="8" t="n"/>
      <c r="AD79" s="8" t="n"/>
      <c r="AE79" s="8" t="n"/>
      <c r="AF79" s="8" t="n"/>
      <c r="AG79" s="8" t="n"/>
      <c r="AH79" s="8" t="n"/>
      <c r="AI79" s="148" t="n">
        <v>0</v>
      </c>
      <c r="AJ79" s="148" t="n">
        <v>0</v>
      </c>
      <c r="AK79" s="148" t="n">
        <v>0</v>
      </c>
      <c r="AL79" s="148" t="n">
        <v>0</v>
      </c>
      <c r="AM79" s="148" t="n">
        <v>0</v>
      </c>
      <c r="AN79" s="148" t="n">
        <v>0</v>
      </c>
      <c r="AO79" s="149">
        <f>SUM(AC79:AH79)+SUM(AI79:AN79)</f>
        <v/>
      </c>
      <c r="AP79" s="145">
        <f>IF(AB79&lt;&gt;0,(AO79-AB79)/ABS(AB79),0)</f>
        <v/>
      </c>
    </row>
    <row r="80">
      <c r="A80" s="60" t="inlineStr">
        <is>
          <t>Direct - Staff Cost</t>
        </is>
      </c>
      <c r="B80" s="60" t="n">
        <v>-7085.94</v>
      </c>
      <c r="C80" s="60" t="n">
        <v>-2122</v>
      </c>
      <c r="D80" s="60" t="n">
        <v>-1589.67</v>
      </c>
      <c r="E80" s="60" t="n">
        <v>-797.4400000000001</v>
      </c>
      <c r="F80" s="60" t="n">
        <v>-2125.69</v>
      </c>
      <c r="G80" s="60" t="n">
        <v>-3710.27</v>
      </c>
      <c r="H80" s="60" t="n">
        <v>-7240.57</v>
      </c>
      <c r="I80" s="60" t="n">
        <v>-3434</v>
      </c>
      <c r="J80" s="60" t="n">
        <v>-2901.03</v>
      </c>
      <c r="K80" s="60" t="n">
        <v>-4121.8</v>
      </c>
      <c r="L80" s="60" t="n">
        <v>-3846.66</v>
      </c>
      <c r="M80" s="8" t="n"/>
      <c r="N80" s="8" t="n"/>
      <c r="O80" s="60" t="n">
        <v>0</v>
      </c>
      <c r="P80" s="60" t="n">
        <v>0</v>
      </c>
      <c r="Q80" s="60" t="n">
        <v>0</v>
      </c>
      <c r="R80" s="60" t="n">
        <v>0</v>
      </c>
      <c r="S80" s="60" t="n">
        <v>0</v>
      </c>
      <c r="T80" s="60" t="n">
        <v>0</v>
      </c>
      <c r="U80" s="60" t="n">
        <v>0</v>
      </c>
      <c r="V80" s="60">
        <f>-SUMIF('YBHN Blank TB'!$T:$T,'YBHN HO P&amp;L'!$A80,'YBHN Blank TB'!J:J)-SUMIF('YBHN HO TB'!$T:$T,'YBHN HO P&amp;L'!$A80,'YBHN HO TB'!J:J)</f>
        <v/>
      </c>
      <c r="W80" s="60">
        <f>-SUMIF('YBHN Blank TB'!$T:$T,'YBHN HO P&amp;L'!$A80,'YBHN Blank TB'!K:K)-SUMIF('YBHN HO TB'!$T:$T,'YBHN HO P&amp;L'!$A80,'YBHN HO TB'!K:K)</f>
        <v/>
      </c>
      <c r="X80" s="60">
        <f>-SUMIF('YBHN Blank TB'!$T:$T,'YBHN HO P&amp;L'!$A80,'YBHN Blank TB'!L:L)-SUMIF('YBHN HO TB'!$T:$T,'YBHN HO P&amp;L'!$A80,'YBHN HO TB'!L:L)</f>
        <v/>
      </c>
      <c r="Y80" s="60">
        <f>-SUMIF('YBHN Blank TB'!$T:$T,'YBHN HO P&amp;L'!$A80,'YBHN Blank TB'!M:M)-SUMIF('YBHN HO TB'!$T:$T,'YBHN HO P&amp;L'!$A80,'YBHN HO TB'!M:M)</f>
        <v/>
      </c>
      <c r="Z80" s="60">
        <f>-SUMIF('YBHN Blank TB'!$T:$T,'YBHN HO P&amp;L'!$A80,'YBHN Blank TB'!N:N)-SUMIF('YBHN HO TB'!$T:$T,'YBHN HO P&amp;L'!$A80,'YBHN HO TB'!N:N)</f>
        <v/>
      </c>
      <c r="AA80" s="60">
        <f>SUM(O80:T80)</f>
        <v/>
      </c>
      <c r="AB80" s="8" t="n"/>
      <c r="AC80" s="8" t="n"/>
      <c r="AD80" s="8" t="n"/>
      <c r="AE80" s="8" t="n"/>
      <c r="AF80" s="8" t="n"/>
      <c r="AG80" s="8" t="n"/>
      <c r="AH80" s="8" t="n"/>
      <c r="AI80" s="148" t="n">
        <v>0</v>
      </c>
      <c r="AJ80" s="148" t="n">
        <v>0</v>
      </c>
      <c r="AK80" s="148" t="n">
        <v>0</v>
      </c>
      <c r="AL80" s="148" t="n">
        <v>0</v>
      </c>
      <c r="AM80" s="148" t="n">
        <v>0</v>
      </c>
      <c r="AN80" s="148" t="n">
        <v>0</v>
      </c>
      <c r="AO80" s="149">
        <f>SUM(AC80:AH80)+SUM(AI80:AN80)</f>
        <v/>
      </c>
      <c r="AP80" s="145">
        <f>IF(AB80&lt;&gt;0,(AO80-AB80)/ABS(AB80),0)</f>
        <v/>
      </c>
    </row>
    <row r="81">
      <c r="A81" s="60" t="inlineStr">
        <is>
          <t>Direct - Childcare Cost</t>
        </is>
      </c>
      <c r="B81" s="60" t="n">
        <v>0</v>
      </c>
      <c r="C81" s="60" t="n">
        <v>0</v>
      </c>
      <c r="D81" s="60" t="n">
        <v>0</v>
      </c>
      <c r="E81" s="60" t="n">
        <v>-104.48</v>
      </c>
      <c r="F81" s="60" t="n">
        <v>0</v>
      </c>
      <c r="G81" s="60" t="n">
        <v>0</v>
      </c>
      <c r="H81" s="60" t="n">
        <v>-16.44</v>
      </c>
      <c r="I81" s="60" t="n">
        <v>0</v>
      </c>
      <c r="J81" s="60" t="n">
        <v>0</v>
      </c>
      <c r="K81" s="60" t="n">
        <v>0</v>
      </c>
      <c r="L81" s="60" t="n">
        <v>0</v>
      </c>
      <c r="M81" s="8" t="n"/>
      <c r="N81" s="8" t="n"/>
      <c r="O81" s="60" t="n">
        <v>0</v>
      </c>
      <c r="P81" s="60" t="n">
        <v>0</v>
      </c>
      <c r="Q81" s="60" t="n">
        <v>0</v>
      </c>
      <c r="R81" s="60" t="n">
        <v>0</v>
      </c>
      <c r="S81" s="60" t="n">
        <v>0</v>
      </c>
      <c r="T81" s="60" t="n">
        <v>0</v>
      </c>
      <c r="U81" s="60" t="n">
        <v>0</v>
      </c>
      <c r="V81" s="60">
        <f>-SUMIF('YBHN Blank TB'!$T:$T,'YBHN HO P&amp;L'!$A81,'YBHN Blank TB'!J:J)-SUMIF('YBHN HO TB'!$T:$T,'YBHN HO P&amp;L'!$A81,'YBHN HO TB'!J:J)</f>
        <v/>
      </c>
      <c r="W81" s="60">
        <f>-SUMIF('YBHN Blank TB'!$T:$T,'YBHN HO P&amp;L'!$A81,'YBHN Blank TB'!K:K)-SUMIF('YBHN HO TB'!$T:$T,'YBHN HO P&amp;L'!$A81,'YBHN HO TB'!K:K)</f>
        <v/>
      </c>
      <c r="X81" s="60">
        <f>-SUMIF('YBHN Blank TB'!$T:$T,'YBHN HO P&amp;L'!$A81,'YBHN Blank TB'!L:L)-SUMIF('YBHN HO TB'!$T:$T,'YBHN HO P&amp;L'!$A81,'YBHN HO TB'!L:L)</f>
        <v/>
      </c>
      <c r="Y81" s="60">
        <f>-SUMIF('YBHN Blank TB'!$T:$T,'YBHN HO P&amp;L'!$A81,'YBHN Blank TB'!M:M)-SUMIF('YBHN HO TB'!$T:$T,'YBHN HO P&amp;L'!$A81,'YBHN HO TB'!M:M)</f>
        <v/>
      </c>
      <c r="Z81" s="60">
        <f>-SUMIF('YBHN Blank TB'!$T:$T,'YBHN HO P&amp;L'!$A81,'YBHN Blank TB'!N:N)-SUMIF('YBHN HO TB'!$T:$T,'YBHN HO P&amp;L'!$A81,'YBHN HO TB'!N:N)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60" t="inlineStr">
        <is>
          <t>Direct - Premises &amp; Admin</t>
        </is>
      </c>
      <c r="B82" s="18" t="n">
        <v>-2555.59</v>
      </c>
      <c r="C82" s="18" t="n">
        <v>-2594.31</v>
      </c>
      <c r="D82" s="18" t="n">
        <v>-2651.78</v>
      </c>
      <c r="E82" s="18" t="n">
        <v>-2555.52</v>
      </c>
      <c r="F82" s="18" t="n">
        <v>-2555.85</v>
      </c>
      <c r="G82" s="18" t="n">
        <v>-2923.73</v>
      </c>
      <c r="H82" s="18" t="n">
        <v>-2549.98</v>
      </c>
      <c r="I82" s="18" t="n">
        <v>-2549.94</v>
      </c>
      <c r="J82" s="18" t="n">
        <v>-2549.95</v>
      </c>
      <c r="K82" s="18" t="n">
        <v>-549.84</v>
      </c>
      <c r="L82" s="18" t="n">
        <v>0</v>
      </c>
      <c r="M82" s="18" t="n"/>
      <c r="N82" s="8" t="n"/>
      <c r="O82" s="60" t="n">
        <v>0</v>
      </c>
      <c r="P82" s="60" t="n">
        <v>0</v>
      </c>
      <c r="Q82" s="60" t="n">
        <v>0</v>
      </c>
      <c r="R82" s="60" t="n">
        <v>0</v>
      </c>
      <c r="S82" s="60" t="n">
        <v>0</v>
      </c>
      <c r="T82" s="60" t="n">
        <v>0</v>
      </c>
      <c r="U82" s="60" t="n">
        <v>0</v>
      </c>
      <c r="V82" s="60">
        <f>-SUMIF('YBHN Blank TB'!$T:$T,'YBHN HO P&amp;L'!$A82,'YBHN Blank TB'!J:J)-SUMIF('YBHN HO TB'!$T:$T,'YBHN HO P&amp;L'!$A82,'YBHN HO TB'!J:J)</f>
        <v/>
      </c>
      <c r="W82" s="60">
        <f>-SUMIF('YBHN Blank TB'!$T:$T,'YBHN HO P&amp;L'!$A82,'YBHN Blank TB'!K:K)-SUMIF('YBHN HO TB'!$T:$T,'YBHN HO P&amp;L'!$A82,'YBHN HO TB'!K:K)</f>
        <v/>
      </c>
      <c r="X82" s="60">
        <f>-SUMIF('YBHN Blank TB'!$T:$T,'YBHN HO P&amp;L'!$A82,'YBHN Blank TB'!L:L)-SUMIF('YBHN HO TB'!$T:$T,'YBHN HO P&amp;L'!$A82,'YBHN HO TB'!L:L)</f>
        <v/>
      </c>
      <c r="Y82" s="60">
        <f>-SUMIF('YBHN Blank TB'!$T:$T,'YBHN HO P&amp;L'!$A82,'YBHN Blank TB'!M:M)-SUMIF('YBHN HO TB'!$T:$T,'YBHN HO P&amp;L'!$A82,'YBHN HO TB'!M:M)</f>
        <v/>
      </c>
      <c r="Z82" s="60">
        <f>-SUMIF('YBHN Blank TB'!$T:$T,'YBHN HO P&amp;L'!$A82,'YBHN Blank TB'!N:N)-SUMIF('YBHN HO TB'!$T:$T,'YBHN HO P&amp;L'!$A82,'YBHN HO TB'!N:N)</f>
        <v/>
      </c>
      <c r="AA82" s="60">
        <f>SUM(O82:T82)</f>
        <v/>
      </c>
      <c r="AB82" s="8" t="n"/>
      <c r="AC82" s="8" t="n"/>
      <c r="AD82" s="8" t="n"/>
      <c r="AE82" s="8" t="n"/>
      <c r="AF82" s="8" t="n"/>
      <c r="AG82" s="8" t="n"/>
      <c r="AH82" s="8" t="n"/>
      <c r="AI82" s="148" t="n">
        <v>0</v>
      </c>
      <c r="AJ82" s="148" t="n">
        <v>0</v>
      </c>
      <c r="AK82" s="148" t="n">
        <v>0</v>
      </c>
      <c r="AL82" s="148" t="n">
        <v>0</v>
      </c>
      <c r="AM82" s="148" t="n">
        <v>0</v>
      </c>
      <c r="AN82" s="148" t="n">
        <v>0</v>
      </c>
      <c r="AO82" s="149">
        <f>SUM(AC82:AH82)+SUM(AI82:AN82)</f>
        <v/>
      </c>
      <c r="AP82" s="145">
        <f>IF(AB82&lt;&gt;0,(AO82-AB82)/ABS(AB82),0)</f>
        <v/>
      </c>
    </row>
    <row r="83">
      <c r="A83" s="60" t="inlineStr">
        <is>
          <t>In-Direct - Staff Cost</t>
        </is>
      </c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0</v>
      </c>
      <c r="G83" s="60" t="n">
        <v>0</v>
      </c>
      <c r="H83" s="60" t="n">
        <v>0</v>
      </c>
      <c r="I83" s="60" t="n">
        <v>0</v>
      </c>
      <c r="J83" s="60" t="n">
        <v>0</v>
      </c>
      <c r="K83" s="60" t="n">
        <v>0</v>
      </c>
      <c r="L83" s="60" t="n">
        <v>0</v>
      </c>
      <c r="M83" s="8" t="n"/>
      <c r="N83" s="8" t="n"/>
      <c r="O83" s="60" t="n">
        <v>0</v>
      </c>
      <c r="P83" s="60" t="n">
        <v>0</v>
      </c>
      <c r="Q83" s="60" t="n">
        <v>0</v>
      </c>
      <c r="R83" s="60" t="n">
        <v>0</v>
      </c>
      <c r="S83" s="60" t="n">
        <v>0</v>
      </c>
      <c r="T83" s="60" t="n">
        <v>0</v>
      </c>
      <c r="U83" s="60" t="n">
        <v>0</v>
      </c>
      <c r="V83" s="60">
        <f>-SUMIF('YBHN Blank TB'!$T:$T,'YBHN HO P&amp;L'!$A83,'YBHN Blank TB'!J:J)-SUMIF('YBHN HO TB'!$T:$T,'YBHN HO P&amp;L'!$A83,'YBHN HO TB'!J:J)</f>
        <v/>
      </c>
      <c r="W83" s="60">
        <f>-SUMIF('YBHN Blank TB'!$T:$T,'YBHN HO P&amp;L'!$A83,'YBHN Blank TB'!K:K)-SUMIF('YBHN HO TB'!$T:$T,'YBHN HO P&amp;L'!$A83,'YBHN HO TB'!K:K)</f>
        <v/>
      </c>
      <c r="X83" s="60">
        <f>-SUMIF('YBHN Blank TB'!$T:$T,'YBHN HO P&amp;L'!$A83,'YBHN Blank TB'!L:L)-SUMIF('YBHN HO TB'!$T:$T,'YBHN HO P&amp;L'!$A83,'YBHN HO TB'!L:L)</f>
        <v/>
      </c>
      <c r="Y83" s="60">
        <f>-SUMIF('YBHN Blank TB'!$T:$T,'YBHN HO P&amp;L'!$A83,'YBHN Blank TB'!M:M)-SUMIF('YBHN HO TB'!$T:$T,'YBHN HO P&amp;L'!$A83,'YBHN HO TB'!M:M)</f>
        <v/>
      </c>
      <c r="Z83" s="60">
        <f>-SUMIF('YBHN Blank TB'!$T:$T,'YBHN HO P&amp;L'!$A83,'YBHN Blank TB'!N:N)-SUMIF('YBHN HO TB'!$T:$T,'YBHN HO P&amp;L'!$A83,'YBHN HO TB'!N:N)</f>
        <v/>
      </c>
      <c r="AA83" s="60">
        <f>SUM(O83:T83)</f>
        <v/>
      </c>
      <c r="AB83" s="8" t="n"/>
      <c r="AC83" s="8" t="n"/>
      <c r="AD83" s="8" t="n"/>
      <c r="AE83" s="8" t="n"/>
      <c r="AF83" s="8" t="n"/>
      <c r="AG83" s="8" t="n"/>
      <c r="AH83" s="8" t="n"/>
      <c r="AI83" s="148" t="n">
        <v>0</v>
      </c>
      <c r="AJ83" s="148" t="n">
        <v>0</v>
      </c>
      <c r="AK83" s="148" t="n">
        <v>0</v>
      </c>
      <c r="AL83" s="148" t="n">
        <v>0</v>
      </c>
      <c r="AM83" s="148" t="n">
        <v>0</v>
      </c>
      <c r="AN83" s="148" t="n">
        <v>0</v>
      </c>
      <c r="AO83" s="149">
        <f>SUM(AC83:AH83)+SUM(AI83:AN83)</f>
        <v/>
      </c>
      <c r="AP83" s="145">
        <f>IF(AB83&lt;&gt;0,(AO83-AB83)/ABS(AB83),0)</f>
        <v/>
      </c>
    </row>
    <row r="84">
      <c r="A84" s="60" t="inlineStr">
        <is>
          <t>In-Direct - Overheads</t>
        </is>
      </c>
      <c r="B84" s="60" t="n">
        <v>-1857.92</v>
      </c>
      <c r="C84" s="60" t="n">
        <v>-518.1600000000001</v>
      </c>
      <c r="D84" s="60" t="n">
        <v>-280.04</v>
      </c>
      <c r="E84" s="60" t="n">
        <v>-1634.41</v>
      </c>
      <c r="F84" s="60" t="n">
        <v>-231.41</v>
      </c>
      <c r="G84" s="60" t="n">
        <v>-132.93</v>
      </c>
      <c r="H84" s="60" t="n">
        <v>-345.11</v>
      </c>
      <c r="I84" s="60" t="n">
        <v>-275.05</v>
      </c>
      <c r="J84" s="60" t="n">
        <v>-1025.61</v>
      </c>
      <c r="K84" s="60" t="n">
        <v>-391.14</v>
      </c>
      <c r="L84" s="60" t="n">
        <v>-320.99</v>
      </c>
      <c r="M84" s="8" t="n"/>
      <c r="N84" s="8" t="n"/>
      <c r="O84" s="60" t="n">
        <v>0</v>
      </c>
      <c r="P84" s="60" t="n">
        <v>0</v>
      </c>
      <c r="Q84" s="60" t="n">
        <v>0</v>
      </c>
      <c r="R84" s="60" t="n">
        <v>0</v>
      </c>
      <c r="S84" s="60" t="n">
        <v>0</v>
      </c>
      <c r="T84" s="60" t="n">
        <v>0</v>
      </c>
      <c r="U84" s="60" t="n">
        <v>0</v>
      </c>
      <c r="V84" s="60">
        <f>-SUMIF('YBHN Blank TB'!$T:$T,'YBHN HO P&amp;L'!$A84,'YBHN Blank TB'!J:J)-SUMIF('YBHN HO TB'!$T:$T,'YBHN HO P&amp;L'!$A84,'YBHN HO TB'!J:J)</f>
        <v/>
      </c>
      <c r="W84" s="60">
        <f>-SUMIF('YBHN Blank TB'!$T:$T,'YBHN HO P&amp;L'!$A84,'YBHN Blank TB'!K:K)-SUMIF('YBHN HO TB'!$T:$T,'YBHN HO P&amp;L'!$A84,'YBHN HO TB'!K:K)</f>
        <v/>
      </c>
      <c r="X84" s="60">
        <f>-SUMIF('YBHN Blank TB'!$T:$T,'YBHN HO P&amp;L'!$A84,'YBHN Blank TB'!L:L)-SUMIF('YBHN HO TB'!$T:$T,'YBHN HO P&amp;L'!$A84,'YBHN HO TB'!L:L)</f>
        <v/>
      </c>
      <c r="Y84" s="60">
        <f>-SUMIF('YBHN Blank TB'!$T:$T,'YBHN HO P&amp;L'!$A84,'YBHN Blank TB'!M:M)-SUMIF('YBHN HO TB'!$T:$T,'YBHN HO P&amp;L'!$A84,'YBHN HO TB'!M:M)</f>
        <v/>
      </c>
      <c r="Z84" s="60">
        <f>-SUMIF('YBHN Blank TB'!$T:$T,'YBHN HO P&amp;L'!$A84,'YBHN Blank TB'!N:N)-SUMIF('YBHN HO TB'!$T:$T,'YBHN HO P&amp;L'!$A84,'YBHN HO TB'!N:N)</f>
        <v/>
      </c>
      <c r="AA84" s="60">
        <f>SUM(O84:T84)</f>
        <v/>
      </c>
      <c r="AB84" s="8" t="n"/>
      <c r="AC84" s="8" t="n"/>
      <c r="AD84" s="8" t="n"/>
      <c r="AE84" s="8" t="n"/>
      <c r="AF84" s="8" t="n"/>
      <c r="AG84" s="8" t="n"/>
      <c r="AH84" s="8" t="n"/>
      <c r="AI84" s="148" t="n">
        <v>0</v>
      </c>
      <c r="AJ84" s="148" t="n">
        <v>0</v>
      </c>
      <c r="AK84" s="148" t="n">
        <v>0</v>
      </c>
      <c r="AL84" s="148" t="n">
        <v>0</v>
      </c>
      <c r="AM84" s="148" t="n">
        <v>0</v>
      </c>
      <c r="AN84" s="148" t="n">
        <v>0</v>
      </c>
      <c r="AO84" s="149">
        <f>SUM(AC84:AH84)+SUM(AI84:AN84)</f>
        <v/>
      </c>
      <c r="AP84" s="145">
        <f>IF(AB84&lt;&gt;0,(AO84-AB84)/ABS(AB84),0)</f>
        <v/>
      </c>
    </row>
    <row r="85" ht="15.75" customHeight="1">
      <c r="A85" s="8" t="n"/>
      <c r="B85" s="67" t="n">
        <v>-11499.45</v>
      </c>
      <c r="C85" s="67" t="n">
        <v>-5189.969999999999</v>
      </c>
      <c r="D85" s="67" t="n">
        <v>-4521.490000000001</v>
      </c>
      <c r="E85" s="67" t="n">
        <v>-5091.85</v>
      </c>
      <c r="F85" s="67" t="n">
        <v>-4912.95</v>
      </c>
      <c r="G85" s="67" t="n">
        <v>-6766.93</v>
      </c>
      <c r="H85" s="67" t="n">
        <v>-10152.1</v>
      </c>
      <c r="I85" s="67" t="n">
        <v>-6258.990000000001</v>
      </c>
      <c r="J85" s="67" t="n">
        <v>-6476.59</v>
      </c>
      <c r="K85" s="67" t="n">
        <v>-5062.780000000001</v>
      </c>
      <c r="L85" s="67" t="n">
        <v>-4167.65</v>
      </c>
      <c r="M85" s="18" t="n"/>
      <c r="N85" s="8" t="n"/>
      <c r="O85" s="64" t="n">
        <v>0</v>
      </c>
      <c r="P85" s="64" t="n">
        <v>0</v>
      </c>
      <c r="Q85" s="64" t="n">
        <v>0</v>
      </c>
      <c r="R85" s="64" t="n">
        <v>0</v>
      </c>
      <c r="S85" s="64" t="n">
        <v>0</v>
      </c>
      <c r="T85" s="64" t="n">
        <v>0</v>
      </c>
      <c r="U85" s="64" t="n">
        <v>0</v>
      </c>
      <c r="V85" s="64">
        <f>SUM(V79:V84)</f>
        <v/>
      </c>
      <c r="W85" s="64">
        <f>SUM(W79:W84)</f>
        <v/>
      </c>
      <c r="X85" s="64">
        <f>SUM(X79:X84)</f>
        <v/>
      </c>
      <c r="Y85" s="64">
        <f>SUM(Y79:Y84)</f>
        <v/>
      </c>
      <c r="Z85" s="64">
        <f>SUM(Z79:Z84)</f>
        <v/>
      </c>
      <c r="AA85" s="60">
        <f>SUM(O85:T85)</f>
        <v/>
      </c>
      <c r="AB85" s="8" t="n"/>
      <c r="AC85" s="64" t="n"/>
      <c r="AD85" s="64" t="n"/>
      <c r="AE85" s="64" t="n"/>
      <c r="AF85" s="64" t="n"/>
      <c r="AG85" s="64" t="n"/>
      <c r="AH85" s="64" t="n"/>
      <c r="AI85" s="134" t="n">
        <v>0</v>
      </c>
      <c r="AJ85" s="134" t="n">
        <v>0</v>
      </c>
      <c r="AK85" s="134" t="n">
        <v>0</v>
      </c>
      <c r="AL85" s="134" t="n">
        <v>0</v>
      </c>
      <c r="AM85" s="134" t="n">
        <v>0</v>
      </c>
      <c r="AN85" s="134" t="n">
        <v>0</v>
      </c>
      <c r="AO85" s="150">
        <f>SUM(AC85:AH85)+SUM(AI85:AN85)</f>
        <v/>
      </c>
      <c r="AP85" s="145">
        <f>IF(AB85&lt;&gt;0,(AO85-AB85)/ABS(AB85),0)</f>
        <v/>
      </c>
    </row>
    <row r="86" ht="15.75" customHeight="1">
      <c r="A86" s="8" t="n"/>
      <c r="B86" s="18" t="n">
        <v>0</v>
      </c>
      <c r="C86" s="18" t="n">
        <v>0</v>
      </c>
      <c r="D86" s="18" t="n">
        <v>0</v>
      </c>
      <c r="E86" s="18" t="n">
        <v>0</v>
      </c>
      <c r="F86" s="18" t="n">
        <v>0</v>
      </c>
      <c r="G86" s="18" t="n">
        <v>0</v>
      </c>
      <c r="H86" s="18" t="n">
        <v>0</v>
      </c>
      <c r="I86" s="18" t="n">
        <v>0</v>
      </c>
      <c r="J86" s="18" t="n">
        <v>0</v>
      </c>
      <c r="K86" s="18" t="n">
        <v>0</v>
      </c>
      <c r="L86" s="18" t="n">
        <v>0</v>
      </c>
      <c r="M86" s="18" t="n">
        <v>-4178.22</v>
      </c>
      <c r="N86" s="8" t="n"/>
      <c r="O86" s="60" t="n">
        <v>0</v>
      </c>
      <c r="P86" s="60" t="n">
        <v>0</v>
      </c>
      <c r="Q86" s="60" t="n">
        <v>0</v>
      </c>
      <c r="R86" s="60" t="n">
        <v>0</v>
      </c>
      <c r="S86" s="60" t="n">
        <v>0</v>
      </c>
      <c r="T86" s="60" t="n">
        <v>0</v>
      </c>
      <c r="U86" s="60" t="n">
        <v>0</v>
      </c>
      <c r="V86" s="60">
        <f>+V70-V85</f>
        <v/>
      </c>
      <c r="W86" s="60">
        <f>+W70-W85</f>
        <v/>
      </c>
      <c r="X86" s="60">
        <f>+X70-X85</f>
        <v/>
      </c>
      <c r="Y86" s="60">
        <f>+Y70-Y85</f>
        <v/>
      </c>
      <c r="Z86" s="60">
        <f>+Z70-Z85</f>
        <v/>
      </c>
      <c r="AA86" s="60">
        <f>SUM(O86:T86)</f>
        <v/>
      </c>
      <c r="AB86" s="8" t="n"/>
      <c r="AC86" s="8" t="n"/>
      <c r="AD86" s="8" t="n"/>
      <c r="AE86" s="8" t="n"/>
      <c r="AF86" s="8" t="n"/>
      <c r="AG86" s="8" t="n"/>
      <c r="AH86" s="8" t="n"/>
      <c r="AI86" s="148" t="n">
        <v>0</v>
      </c>
      <c r="AJ86" s="148" t="n">
        <v>0</v>
      </c>
      <c r="AK86" s="148" t="n">
        <v>0</v>
      </c>
      <c r="AL86" s="148" t="n">
        <v>0</v>
      </c>
      <c r="AM86" s="148" t="n">
        <v>0</v>
      </c>
      <c r="AN86" s="148" t="n">
        <v>0</v>
      </c>
      <c r="AO86" s="149">
        <f>SUM(AC86:AH86)+SUM(AI86:AN86)</f>
        <v/>
      </c>
      <c r="AP86" s="145">
        <f>IF(AB86&lt;&gt;0,(AO86-AB86)/ABS(AB86),0)</f>
        <v/>
      </c>
    </row>
    <row r="87">
      <c r="A87" s="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60">
        <f>SUM(O87:T87)</f>
        <v/>
      </c>
      <c r="AB87" s="8" t="n"/>
      <c r="AC87" s="8" t="n"/>
      <c r="AD87" s="8" t="n"/>
      <c r="AE87" s="8" t="n"/>
      <c r="AF87" s="8" t="n"/>
      <c r="AG87" s="8" t="n"/>
      <c r="AH87" s="8" t="n"/>
      <c r="AI87" s="148" t="n">
        <v>0</v>
      </c>
      <c r="AJ87" s="148" t="n">
        <v>0</v>
      </c>
      <c r="AK87" s="148" t="n">
        <v>0</v>
      </c>
      <c r="AL87" s="148" t="n">
        <v>0</v>
      </c>
      <c r="AM87" s="148" t="n">
        <v>0</v>
      </c>
      <c r="AN87" s="148" t="n">
        <v>0</v>
      </c>
      <c r="AO87" s="149">
        <f>SUM(AC87:AH87)+SUM(AI87:AN87)</f>
        <v/>
      </c>
      <c r="AP87" s="145">
        <f>IF(AB87&lt;&gt;0,(AO87-AB87)/ABS(AB87),0)</f>
        <v/>
      </c>
    </row>
    <row r="88">
      <c r="A88" s="8" t="n"/>
      <c r="B88" s="18" t="n">
        <v>-26.95000000000073</v>
      </c>
      <c r="C88" s="18" t="n">
        <v>-29.75</v>
      </c>
      <c r="D88" s="18" t="n">
        <v>-23.44999999999982</v>
      </c>
      <c r="E88" s="18" t="n">
        <v>-28.70000000000073</v>
      </c>
      <c r="F88" s="18" t="n">
        <v>-25.19999999999982</v>
      </c>
      <c r="G88" s="18" t="n">
        <v>-24.15000000000146</v>
      </c>
      <c r="H88" s="18" t="n">
        <v>-24.85000000000036</v>
      </c>
      <c r="I88" s="18" t="n">
        <v>-23.80000000000018</v>
      </c>
      <c r="J88" s="18" t="n">
        <v>-17.85000000000036</v>
      </c>
      <c r="K88" s="18" t="n">
        <v>-20.30000000000109</v>
      </c>
      <c r="L88" s="18" t="n">
        <v>-20.99999999999909</v>
      </c>
      <c r="M88" s="18" t="n">
        <v>4158.27</v>
      </c>
      <c r="N88" s="8" t="n"/>
      <c r="O88" s="60" t="n">
        <v>0</v>
      </c>
      <c r="P88" s="60" t="n">
        <v>0</v>
      </c>
      <c r="Q88" s="60" t="n">
        <v>0</v>
      </c>
      <c r="R88" s="60" t="n">
        <v>0</v>
      </c>
      <c r="S88" s="60" t="n">
        <v>0</v>
      </c>
      <c r="T88" s="60" t="n">
        <v>0</v>
      </c>
      <c r="U88" s="60" t="n">
        <v>0</v>
      </c>
      <c r="V88" s="60">
        <f>V85+V89</f>
        <v/>
      </c>
      <c r="W88" s="60">
        <f>W85+W89</f>
        <v/>
      </c>
      <c r="X88" s="60">
        <f>X85+X89</f>
        <v/>
      </c>
      <c r="Y88" s="60">
        <f>Y85+Y89</f>
        <v/>
      </c>
      <c r="Z88" s="60">
        <f>Z85+Z89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48" t="n">
        <v>0</v>
      </c>
      <c r="AJ88" s="148" t="n">
        <v>0</v>
      </c>
      <c r="AK88" s="148" t="n">
        <v>0</v>
      </c>
      <c r="AL88" s="148" t="n">
        <v>0</v>
      </c>
      <c r="AM88" s="148" t="n">
        <v>0</v>
      </c>
      <c r="AN88" s="148" t="n">
        <v>0</v>
      </c>
      <c r="AO88" s="149">
        <f>SUM(AC88:AH88)+SUM(AI88:AN88)</f>
        <v/>
      </c>
      <c r="AP88" s="145">
        <f>IF(AB88&lt;&gt;0,(AO88-AB88)/ABS(AB88),0)</f>
        <v/>
      </c>
    </row>
    <row r="89">
      <c r="A89" s="8" t="n"/>
      <c r="B89" s="18" t="n">
        <v>11472.5</v>
      </c>
      <c r="C89" s="18" t="n">
        <v>5160.219999999999</v>
      </c>
      <c r="D89" s="18" t="n">
        <v>4498.040000000001</v>
      </c>
      <c r="E89" s="18" t="n">
        <v>5063.15</v>
      </c>
      <c r="F89" s="18" t="n">
        <v>4887.75</v>
      </c>
      <c r="G89" s="18" t="n">
        <v>6742.779999999999</v>
      </c>
      <c r="H89" s="18" t="n">
        <v>10127.25</v>
      </c>
      <c r="I89" s="18" t="n">
        <v>6235.190000000001</v>
      </c>
      <c r="J89" s="18" t="n">
        <v>6458.74</v>
      </c>
      <c r="K89" s="18" t="n">
        <v>5042.48</v>
      </c>
      <c r="L89" s="18" t="n">
        <v>4146.650000000001</v>
      </c>
      <c r="M89" s="18" t="n">
        <v>4158.27</v>
      </c>
      <c r="N89" s="8" t="n"/>
      <c r="O89" s="60" t="n">
        <v>0</v>
      </c>
      <c r="P89" s="60" t="n">
        <v>0</v>
      </c>
      <c r="Q89" s="60" t="n">
        <v>0</v>
      </c>
      <c r="R89" s="60" t="n">
        <v>0</v>
      </c>
      <c r="S89" s="60" t="n">
        <v>0</v>
      </c>
      <c r="T89" s="60" t="n">
        <v>0</v>
      </c>
      <c r="U89" s="60" t="n">
        <v>0</v>
      </c>
      <c r="V89" s="60">
        <f>SUM('YBHN Blank TB'!J2:J36)+SUM('YBHN HO TB'!J2:J43)</f>
        <v/>
      </c>
      <c r="W89" s="60">
        <f>SUM('YBHN Blank TB'!K2:K36)+SUM('YBHN HO TB'!K2:K43)</f>
        <v/>
      </c>
      <c r="X89" s="60">
        <f>SUM('YBHN Blank TB'!L2:L36)+SUM('YBHN HO TB'!L2:L43)</f>
        <v/>
      </c>
      <c r="Y89" s="60">
        <f>SUM('YBHN Blank TB'!M2:M36)+SUM('YBHN HO TB'!M2:M43)</f>
        <v/>
      </c>
      <c r="Z89" s="60">
        <f>SUM('YBHN Blank TB'!N2:N36)+SUM('YBHN HO TB'!N2:N43)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48" t="n">
        <v>0</v>
      </c>
      <c r="AJ89" s="148" t="n">
        <v>0</v>
      </c>
      <c r="AK89" s="148" t="n">
        <v>0</v>
      </c>
      <c r="AL89" s="148" t="n">
        <v>0</v>
      </c>
      <c r="AM89" s="148" t="n">
        <v>0</v>
      </c>
      <c r="AN89" s="148" t="n">
        <v>0</v>
      </c>
      <c r="AO89" s="149">
        <f>SUM(AC89:AH89)+SUM(AI89:AN89)</f>
        <v/>
      </c>
      <c r="AP89" s="145">
        <f>IF(AB89&lt;&gt;0,(AO89-AB89)/ABS(AB89),0)</f>
        <v/>
      </c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</sheetData>
  <mergeCells count="1">
    <mergeCell ref="AI1:AQ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140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YBN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(yellow = 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37" t="n">
        <v>0</v>
      </c>
      <c r="U8" s="37" t="n">
        <v>0</v>
      </c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117" t="n">
        <v>0</v>
      </c>
      <c r="AJ8" s="118" t="n">
        <v>0</v>
      </c>
      <c r="AK8" s="118" t="n">
        <v>0</v>
      </c>
      <c r="AL8" s="118" t="n">
        <v>0</v>
      </c>
      <c r="AM8" s="119" t="n">
        <v>0</v>
      </c>
      <c r="AN8" s="117" t="n">
        <v>0</v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 t="n">
        <v>0</v>
      </c>
      <c r="P9" s="37" t="n">
        <v>0</v>
      </c>
      <c r="Q9" s="37" t="n">
        <v>0</v>
      </c>
      <c r="R9" s="37" t="n">
        <v>0</v>
      </c>
      <c r="S9" s="37" t="n">
        <v>0</v>
      </c>
      <c r="T9" s="37" t="n">
        <v>0</v>
      </c>
      <c r="U9" s="37" t="n">
        <v>0</v>
      </c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7" t="n">
        <v>0</v>
      </c>
      <c r="AJ9" s="118" t="n">
        <v>0</v>
      </c>
      <c r="AK9" s="118" t="n">
        <v>0</v>
      </c>
      <c r="AL9" s="118" t="n">
        <v>0</v>
      </c>
      <c r="AM9" s="119" t="n">
        <v>0</v>
      </c>
      <c r="AN9" s="117" t="n">
        <v>0</v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 t="n">
        <v>0</v>
      </c>
      <c r="P10" s="37" t="n">
        <v>0</v>
      </c>
      <c r="Q10" s="37" t="n">
        <v>0</v>
      </c>
      <c r="R10" s="37" t="n">
        <v>0</v>
      </c>
      <c r="S10" s="37" t="n">
        <v>0</v>
      </c>
      <c r="T10" s="37" t="n">
        <v>0</v>
      </c>
      <c r="U10" s="37" t="n">
        <v>0</v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7" t="n">
        <v>0</v>
      </c>
      <c r="AJ10" s="118" t="n">
        <v>0</v>
      </c>
      <c r="AK10" s="118" t="n">
        <v>0</v>
      </c>
      <c r="AL10" s="118" t="n">
        <v>0</v>
      </c>
      <c r="AM10" s="119" t="n">
        <v>0</v>
      </c>
      <c r="AN10" s="117" t="n">
        <v>0</v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3">
        <f>SUM(B11:M11)</f>
        <v/>
      </c>
      <c r="O11" s="44" t="n">
        <v>0</v>
      </c>
      <c r="P11" s="44" t="n">
        <v>0</v>
      </c>
      <c r="Q11" s="44" t="n">
        <v>0</v>
      </c>
      <c r="R11" s="44" t="n">
        <v>0</v>
      </c>
      <c r="S11" s="44" t="n">
        <v>0</v>
      </c>
      <c r="T11" s="44" t="n">
        <v>0</v>
      </c>
      <c r="U11" s="44" t="n">
        <v>0</v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134" t="n">
        <v>0</v>
      </c>
      <c r="AJ11" s="157" t="n">
        <v>0</v>
      </c>
      <c r="AK11" s="157" t="n">
        <v>0</v>
      </c>
      <c r="AL11" s="157" t="n">
        <v>0</v>
      </c>
      <c r="AM11" s="157" t="n">
        <v>0</v>
      </c>
      <c r="AN11" s="134" t="n">
        <v>0</v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 t="n">
        <v>0</v>
      </c>
      <c r="P13" s="47" t="n">
        <v>0</v>
      </c>
      <c r="Q13" s="47" t="n">
        <v>0</v>
      </c>
      <c r="R13" s="47" t="n">
        <v>0</v>
      </c>
      <c r="S13" s="47" t="n">
        <v>0</v>
      </c>
      <c r="T13" s="47" t="n">
        <v>0</v>
      </c>
      <c r="U13" s="47" t="n">
        <v>0</v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 t="n"/>
      <c r="AD13" s="47" t="n"/>
      <c r="AE13" s="47" t="n"/>
      <c r="AF13" s="47" t="n"/>
      <c r="AG13" s="47" t="n"/>
      <c r="AH13" s="47" t="n"/>
      <c r="AI13" s="159" t="n">
        <v>0</v>
      </c>
      <c r="AJ13" s="160" t="n">
        <v>0</v>
      </c>
      <c r="AK13" s="160" t="n">
        <v>0</v>
      </c>
      <c r="AL13" s="160" t="n">
        <v>0</v>
      </c>
      <c r="AM13" s="161" t="n">
        <v>0</v>
      </c>
      <c r="AN13" s="159" t="n">
        <v>0</v>
      </c>
      <c r="AO13" s="133">
        <f>SUM(AC13:AH13)+SUM(AI13:AN13)</f>
        <v/>
      </c>
      <c r="AP13" s="121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117" t="n">
        <v>0</v>
      </c>
      <c r="AJ16" s="118" t="n">
        <v>0</v>
      </c>
      <c r="AK16" s="118" t="n">
        <v>0</v>
      </c>
      <c r="AL16" s="118" t="n">
        <v>0</v>
      </c>
      <c r="AM16" s="119" t="n">
        <v>0</v>
      </c>
      <c r="AN16" s="117" t="n">
        <v>0</v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37" t="n">
        <v>0</v>
      </c>
      <c r="U17" s="37" t="n">
        <v>0</v>
      </c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117" t="n">
        <v>0</v>
      </c>
      <c r="AJ17" s="118" t="n">
        <v>0</v>
      </c>
      <c r="AK17" s="118" t="n">
        <v>0</v>
      </c>
      <c r="AL17" s="118" t="n">
        <v>0</v>
      </c>
      <c r="AM17" s="119" t="n">
        <v>0</v>
      </c>
      <c r="AN17" s="117" t="n">
        <v>0</v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37" t="n">
        <v>0</v>
      </c>
      <c r="U18" s="37" t="n">
        <v>0</v>
      </c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117" t="n">
        <v>0</v>
      </c>
      <c r="AJ18" s="118" t="n">
        <v>0</v>
      </c>
      <c r="AK18" s="118" t="n">
        <v>0</v>
      </c>
      <c r="AL18" s="118" t="n">
        <v>0</v>
      </c>
      <c r="AM18" s="119" t="n">
        <v>0</v>
      </c>
      <c r="AN18" s="117" t="n">
        <v>0</v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37" t="n">
        <v>0</v>
      </c>
      <c r="U19" s="37" t="n">
        <v>0</v>
      </c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117" t="n">
        <v>0</v>
      </c>
      <c r="AJ19" s="118" t="n">
        <v>0</v>
      </c>
      <c r="AK19" s="118" t="n">
        <v>0</v>
      </c>
      <c r="AL19" s="118" t="n">
        <v>0</v>
      </c>
      <c r="AM19" s="119" t="n">
        <v>0</v>
      </c>
      <c r="AN19" s="117" t="n">
        <v>0</v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0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0</v>
      </c>
      <c r="M20" s="35" t="n">
        <v>0</v>
      </c>
      <c r="N20" s="36">
        <f>SUM(B20:M20)</f>
        <v/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37" t="n">
        <v>0</v>
      </c>
      <c r="U20" s="37" t="n">
        <v>0</v>
      </c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117" t="n">
        <v>0</v>
      </c>
      <c r="AJ20" s="118" t="n">
        <v>0</v>
      </c>
      <c r="AK20" s="118" t="n">
        <v>0</v>
      </c>
      <c r="AL20" s="118" t="n">
        <v>0</v>
      </c>
      <c r="AM20" s="119" t="n">
        <v>0</v>
      </c>
      <c r="AN20" s="117" t="n">
        <v>0</v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0</v>
      </c>
      <c r="K21" s="35" t="n">
        <v>0</v>
      </c>
      <c r="L21" s="35" t="n">
        <v>0</v>
      </c>
      <c r="M21" s="35" t="n">
        <v>0</v>
      </c>
      <c r="N21" s="36">
        <f>SUM(B21:M21)</f>
        <v/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37" t="n">
        <v>0</v>
      </c>
      <c r="U21" s="37" t="n">
        <v>0</v>
      </c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117" t="n">
        <v>0</v>
      </c>
      <c r="AJ21" s="118" t="n">
        <v>0</v>
      </c>
      <c r="AK21" s="118" t="n">
        <v>0</v>
      </c>
      <c r="AL21" s="118" t="n">
        <v>0</v>
      </c>
      <c r="AM21" s="119" t="n">
        <v>0</v>
      </c>
      <c r="AN21" s="117" t="n">
        <v>0</v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 t="n">
        <v>0</v>
      </c>
      <c r="P22" s="37" t="n">
        <v>0</v>
      </c>
      <c r="Q22" s="37" t="n">
        <v>0</v>
      </c>
      <c r="R22" s="37" t="n">
        <v>0</v>
      </c>
      <c r="S22" s="37" t="n">
        <v>0</v>
      </c>
      <c r="T22" s="37" t="n">
        <v>0</v>
      </c>
      <c r="U22" s="37" t="n">
        <v>0</v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7" t="n">
        <v>0</v>
      </c>
      <c r="AJ22" s="118" t="n">
        <v>0</v>
      </c>
      <c r="AK22" s="118" t="n">
        <v>0</v>
      </c>
      <c r="AL22" s="118" t="n">
        <v>0</v>
      </c>
      <c r="AM22" s="119" t="n">
        <v>0</v>
      </c>
      <c r="AN22" s="117" t="n">
        <v>0</v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117" t="n">
        <v>0</v>
      </c>
      <c r="AJ23" s="118" t="n">
        <v>0</v>
      </c>
      <c r="AK23" s="118" t="n">
        <v>0</v>
      </c>
      <c r="AL23" s="118" t="n">
        <v>0</v>
      </c>
      <c r="AM23" s="119" t="n">
        <v>0</v>
      </c>
      <c r="AN23" s="117" t="n">
        <v>0</v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 t="n">
        <v>0</v>
      </c>
      <c r="P24" s="37" t="n">
        <v>0</v>
      </c>
      <c r="Q24" s="37" t="n">
        <v>0</v>
      </c>
      <c r="R24" s="37" t="n">
        <v>0</v>
      </c>
      <c r="S24" s="37" t="n">
        <v>0</v>
      </c>
      <c r="T24" s="37" t="n">
        <v>0</v>
      </c>
      <c r="U24" s="37" t="n">
        <v>0</v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7" t="n">
        <v>0</v>
      </c>
      <c r="AJ24" s="118" t="n">
        <v>0</v>
      </c>
      <c r="AK24" s="118" t="n">
        <v>0</v>
      </c>
      <c r="AL24" s="118" t="n">
        <v>0</v>
      </c>
      <c r="AM24" s="119" t="n">
        <v>0</v>
      </c>
      <c r="AN24" s="117" t="n">
        <v>0</v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0</v>
      </c>
      <c r="C25" s="42" t="n">
        <v>0</v>
      </c>
      <c r="D25" s="42" t="n">
        <v>0</v>
      </c>
      <c r="E25" s="42" t="n">
        <v>0</v>
      </c>
      <c r="F25" s="42" t="n">
        <v>0</v>
      </c>
      <c r="G25" s="42" t="n">
        <v>0</v>
      </c>
      <c r="H25" s="42" t="n">
        <v>0</v>
      </c>
      <c r="I25" s="42" t="n">
        <v>0</v>
      </c>
      <c r="J25" s="42" t="n">
        <v>0</v>
      </c>
      <c r="K25" s="42" t="n">
        <v>0</v>
      </c>
      <c r="L25" s="42" t="n">
        <v>0</v>
      </c>
      <c r="M25" s="42" t="n">
        <v>0</v>
      </c>
      <c r="N25" s="43">
        <f>SUM(B25:M25)</f>
        <v/>
      </c>
      <c r="O25" s="44" t="n">
        <v>0</v>
      </c>
      <c r="P25" s="44" t="n">
        <v>0</v>
      </c>
      <c r="Q25" s="44" t="n">
        <v>0</v>
      </c>
      <c r="R25" s="44" t="n">
        <v>0</v>
      </c>
      <c r="S25" s="44" t="n">
        <v>0</v>
      </c>
      <c r="T25" s="44" t="n">
        <v>0</v>
      </c>
      <c r="U25" s="44" t="n">
        <v>0</v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134" t="n">
        <v>0</v>
      </c>
      <c r="AJ25" s="157" t="n">
        <v>0</v>
      </c>
      <c r="AK25" s="157" t="n">
        <v>0</v>
      </c>
      <c r="AL25" s="157" t="n">
        <v>0</v>
      </c>
      <c r="AM25" s="157" t="n">
        <v>0</v>
      </c>
      <c r="AN25" s="134" t="n">
        <v>0</v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5" t="n">
        <v>0</v>
      </c>
      <c r="I27" s="35" t="n">
        <v>0</v>
      </c>
      <c r="J27" s="35" t="n">
        <v>0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 t="n">
        <v>0</v>
      </c>
      <c r="P27" s="37" t="n">
        <v>0</v>
      </c>
      <c r="Q27" s="37" t="n">
        <v>0</v>
      </c>
      <c r="R27" s="37" t="n">
        <v>0</v>
      </c>
      <c r="S27" s="37" t="n">
        <v>0</v>
      </c>
      <c r="T27" s="37" t="n">
        <v>0</v>
      </c>
      <c r="U27" s="37" t="n">
        <v>0</v>
      </c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117" t="n">
        <v>0</v>
      </c>
      <c r="AJ27" s="118" t="n">
        <v>0</v>
      </c>
      <c r="AK27" s="118" t="n">
        <v>0</v>
      </c>
      <c r="AL27" s="118" t="n">
        <v>0</v>
      </c>
      <c r="AM27" s="119" t="n">
        <v>0</v>
      </c>
      <c r="AN27" s="117" t="n">
        <v>0</v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0</v>
      </c>
      <c r="K28" s="35" t="n">
        <v>0</v>
      </c>
      <c r="L28" s="35" t="n">
        <v>0</v>
      </c>
      <c r="M28" s="35" t="n">
        <v>0</v>
      </c>
      <c r="N28" s="36">
        <f>SUM(B28:M28)</f>
        <v/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117" t="n">
        <v>0</v>
      </c>
      <c r="AJ28" s="118" t="n">
        <v>0</v>
      </c>
      <c r="AK28" s="118" t="n">
        <v>0</v>
      </c>
      <c r="AL28" s="118" t="n">
        <v>0</v>
      </c>
      <c r="AM28" s="119" t="n">
        <v>0</v>
      </c>
      <c r="AN28" s="117" t="n">
        <v>0</v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0</v>
      </c>
      <c r="L29" s="35" t="n">
        <v>45</v>
      </c>
      <c r="M29" s="35" t="n">
        <v>0</v>
      </c>
      <c r="N29" s="36">
        <f>SUM(B29:M29)</f>
        <v/>
      </c>
      <c r="O29" s="37" t="n">
        <v>0</v>
      </c>
      <c r="P29" s="37" t="n">
        <v>0</v>
      </c>
      <c r="Q29" s="37" t="n">
        <v>0</v>
      </c>
      <c r="R29" s="37" t="n">
        <v>0</v>
      </c>
      <c r="S29" s="37" t="n">
        <v>0</v>
      </c>
      <c r="T29" s="37" t="n">
        <v>0</v>
      </c>
      <c r="U29" s="37" t="n">
        <v>0</v>
      </c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117" t="n">
        <v>0</v>
      </c>
      <c r="AJ29" s="118" t="n">
        <v>0</v>
      </c>
      <c r="AK29" s="118" t="n">
        <v>0</v>
      </c>
      <c r="AL29" s="118" t="n">
        <v>0</v>
      </c>
      <c r="AM29" s="119" t="n">
        <v>0</v>
      </c>
      <c r="AN29" s="117" t="n">
        <v>0</v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 t="n">
        <v>0</v>
      </c>
      <c r="P30" s="37" t="n">
        <v>0</v>
      </c>
      <c r="Q30" s="37" t="n">
        <v>0</v>
      </c>
      <c r="R30" s="37" t="n">
        <v>0</v>
      </c>
      <c r="S30" s="37" t="n">
        <v>0</v>
      </c>
      <c r="T30" s="37" t="n">
        <v>0</v>
      </c>
      <c r="U30" s="37" t="n">
        <v>0</v>
      </c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117" t="n">
        <v>0</v>
      </c>
      <c r="AJ30" s="118" t="n">
        <v>0</v>
      </c>
      <c r="AK30" s="118" t="n">
        <v>0</v>
      </c>
      <c r="AL30" s="118" t="n">
        <v>0</v>
      </c>
      <c r="AM30" s="119" t="n">
        <v>0</v>
      </c>
      <c r="AN30" s="117" t="n">
        <v>0</v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0</v>
      </c>
      <c r="L31" s="35" t="n">
        <v>0</v>
      </c>
      <c r="M31" s="35" t="n">
        <v>0</v>
      </c>
      <c r="N31" s="36">
        <f>SUM(B31:M31)</f>
        <v/>
      </c>
      <c r="O31" s="37" t="n">
        <v>0</v>
      </c>
      <c r="P31" s="37" t="n">
        <v>0</v>
      </c>
      <c r="Q31" s="37" t="n">
        <v>0</v>
      </c>
      <c r="R31" s="37" t="n">
        <v>0</v>
      </c>
      <c r="S31" s="37" t="n">
        <v>0</v>
      </c>
      <c r="T31" s="37" t="n">
        <v>0</v>
      </c>
      <c r="U31" s="37" t="n">
        <v>0</v>
      </c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117" t="n">
        <v>0</v>
      </c>
      <c r="AJ31" s="118" t="n">
        <v>0</v>
      </c>
      <c r="AK31" s="118" t="n">
        <v>0</v>
      </c>
      <c r="AL31" s="118" t="n">
        <v>0</v>
      </c>
      <c r="AM31" s="119" t="n">
        <v>0</v>
      </c>
      <c r="AN31" s="117" t="n">
        <v>0</v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 t="n">
        <v>0</v>
      </c>
      <c r="P32" s="37" t="n">
        <v>0</v>
      </c>
      <c r="Q32" s="37" t="n">
        <v>0</v>
      </c>
      <c r="R32" s="37" t="n">
        <v>0</v>
      </c>
      <c r="S32" s="37" t="n">
        <v>0</v>
      </c>
      <c r="T32" s="37" t="n">
        <v>0</v>
      </c>
      <c r="U32" s="37" t="n">
        <v>0</v>
      </c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117" t="n">
        <v>0</v>
      </c>
      <c r="AJ32" s="118" t="n">
        <v>0</v>
      </c>
      <c r="AK32" s="118" t="n">
        <v>0</v>
      </c>
      <c r="AL32" s="118" t="n">
        <v>0</v>
      </c>
      <c r="AM32" s="119" t="n">
        <v>0</v>
      </c>
      <c r="AN32" s="117" t="n">
        <v>0</v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 t="n">
        <v>0</v>
      </c>
      <c r="P33" s="37" t="n">
        <v>0</v>
      </c>
      <c r="Q33" s="37" t="n">
        <v>0</v>
      </c>
      <c r="R33" s="37" t="n">
        <v>0</v>
      </c>
      <c r="S33" s="37" t="n">
        <v>0</v>
      </c>
      <c r="T33" s="37" t="n">
        <v>0</v>
      </c>
      <c r="U33" s="37" t="n">
        <v>0</v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7" t="n">
        <v>0</v>
      </c>
      <c r="AJ33" s="118" t="n">
        <v>0</v>
      </c>
      <c r="AK33" s="118" t="n">
        <v>0</v>
      </c>
      <c r="AL33" s="118" t="n">
        <v>0</v>
      </c>
      <c r="AM33" s="119" t="n">
        <v>0</v>
      </c>
      <c r="AN33" s="117" t="n">
        <v>0</v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0</v>
      </c>
      <c r="C34" s="42" t="n">
        <v>0</v>
      </c>
      <c r="D34" s="42" t="n">
        <v>0</v>
      </c>
      <c r="E34" s="42" t="n">
        <v>0</v>
      </c>
      <c r="F34" s="42" t="n">
        <v>0</v>
      </c>
      <c r="G34" s="42" t="n">
        <v>0</v>
      </c>
      <c r="H34" s="42" t="n">
        <v>0</v>
      </c>
      <c r="I34" s="42" t="n">
        <v>0</v>
      </c>
      <c r="J34" s="42" t="n">
        <v>0</v>
      </c>
      <c r="K34" s="42" t="n">
        <v>0</v>
      </c>
      <c r="L34" s="42" t="n">
        <v>45</v>
      </c>
      <c r="M34" s="42" t="n">
        <v>0</v>
      </c>
      <c r="N34" s="43">
        <f>SUM(B34:M34)</f>
        <v/>
      </c>
      <c r="O34" s="44" t="n">
        <v>0</v>
      </c>
      <c r="P34" s="44" t="n">
        <v>0</v>
      </c>
      <c r="Q34" s="44" t="n">
        <v>0</v>
      </c>
      <c r="R34" s="44" t="n">
        <v>0</v>
      </c>
      <c r="S34" s="44" t="n">
        <v>0</v>
      </c>
      <c r="T34" s="44" t="n">
        <v>0</v>
      </c>
      <c r="U34" s="44" t="n">
        <v>0</v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134" t="n">
        <v>0</v>
      </c>
      <c r="AJ34" s="157" t="n">
        <v>0</v>
      </c>
      <c r="AK34" s="157" t="n">
        <v>0</v>
      </c>
      <c r="AL34" s="157" t="n">
        <v>0</v>
      </c>
      <c r="AM34" s="157" t="n">
        <v>0</v>
      </c>
      <c r="AN34" s="134" t="n">
        <v>0</v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 t="n">
        <v>0</v>
      </c>
      <c r="P36" s="37" t="n">
        <v>0</v>
      </c>
      <c r="Q36" s="37" t="n">
        <v>0</v>
      </c>
      <c r="R36" s="37" t="n">
        <v>0</v>
      </c>
      <c r="S36" s="37" t="n">
        <v>0</v>
      </c>
      <c r="T36" s="37" t="n">
        <v>0</v>
      </c>
      <c r="U36" s="37" t="n">
        <v>0</v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7" t="n">
        <v>0</v>
      </c>
      <c r="AJ36" s="118" t="n">
        <v>0</v>
      </c>
      <c r="AK36" s="118" t="n">
        <v>0</v>
      </c>
      <c r="AL36" s="118" t="n">
        <v>0</v>
      </c>
      <c r="AM36" s="119" t="n">
        <v>0</v>
      </c>
      <c r="AN36" s="117" t="n">
        <v>0</v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0</v>
      </c>
      <c r="C37" s="35" t="n">
        <v>0</v>
      </c>
      <c r="D37" s="35" t="n">
        <v>0</v>
      </c>
      <c r="E37" s="35" t="n">
        <v>0</v>
      </c>
      <c r="F37" s="35" t="n">
        <v>0</v>
      </c>
      <c r="G37" s="35" t="n">
        <v>0</v>
      </c>
      <c r="H37" s="35" t="n">
        <v>0</v>
      </c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  <c r="N37" s="36">
        <f>SUM(B37:M37)</f>
        <v/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117" t="n">
        <v>0</v>
      </c>
      <c r="AJ37" s="118" t="n">
        <v>0</v>
      </c>
      <c r="AK37" s="118" t="n">
        <v>0</v>
      </c>
      <c r="AL37" s="118" t="n">
        <v>0</v>
      </c>
      <c r="AM37" s="119" t="n">
        <v>0</v>
      </c>
      <c r="AN37" s="117" t="n">
        <v>0</v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0</v>
      </c>
      <c r="C38" s="35" t="n">
        <v>0</v>
      </c>
      <c r="D38" s="35" t="n">
        <v>0</v>
      </c>
      <c r="E38" s="35" t="n">
        <v>0</v>
      </c>
      <c r="F38" s="35" t="n">
        <v>0</v>
      </c>
      <c r="G38" s="35" t="n">
        <v>0</v>
      </c>
      <c r="H38" s="35" t="n">
        <v>0</v>
      </c>
      <c r="I38" s="35" t="n">
        <v>0</v>
      </c>
      <c r="J38" s="35" t="n">
        <v>0</v>
      </c>
      <c r="K38" s="35" t="n">
        <v>0</v>
      </c>
      <c r="L38" s="35" t="n">
        <v>0</v>
      </c>
      <c r="M38" s="35" t="n">
        <v>0</v>
      </c>
      <c r="N38" s="36">
        <f>SUM(B38:M38)</f>
        <v/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117" t="n">
        <v>0</v>
      </c>
      <c r="AJ38" s="118" t="n">
        <v>0</v>
      </c>
      <c r="AK38" s="118" t="n">
        <v>0</v>
      </c>
      <c r="AL38" s="118" t="n">
        <v>0</v>
      </c>
      <c r="AM38" s="119" t="n">
        <v>0</v>
      </c>
      <c r="AN38" s="117" t="n">
        <v>0</v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0</v>
      </c>
      <c r="C39" s="35" t="n">
        <v>0</v>
      </c>
      <c r="D39" s="35" t="n">
        <v>0</v>
      </c>
      <c r="E39" s="35" t="n">
        <v>0</v>
      </c>
      <c r="F39" s="35" t="n">
        <v>71.98</v>
      </c>
      <c r="G39" s="35" t="n">
        <v>0</v>
      </c>
      <c r="H39" s="35" t="n">
        <v>0</v>
      </c>
      <c r="I39" s="35" t="n">
        <v>0</v>
      </c>
      <c r="J39" s="35" t="n">
        <v>0</v>
      </c>
      <c r="K39" s="35" t="n">
        <v>0</v>
      </c>
      <c r="L39" s="35" t="n">
        <v>0</v>
      </c>
      <c r="M39" s="35" t="n">
        <v>0</v>
      </c>
      <c r="N39" s="36">
        <f>SUM(B39:M39)</f>
        <v/>
      </c>
      <c r="O39" s="37" t="n">
        <v>0</v>
      </c>
      <c r="P39" s="37" t="n">
        <v>0</v>
      </c>
      <c r="Q39" s="37" t="n">
        <v>0</v>
      </c>
      <c r="R39" s="37" t="n">
        <v>0</v>
      </c>
      <c r="S39" s="37" t="n">
        <v>0</v>
      </c>
      <c r="T39" s="37" t="n">
        <v>0</v>
      </c>
      <c r="U39" s="37" t="n">
        <v>0</v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7" t="n">
        <v>0</v>
      </c>
      <c r="AJ39" s="118" t="n">
        <v>0</v>
      </c>
      <c r="AK39" s="118" t="n">
        <v>0</v>
      </c>
      <c r="AL39" s="118" t="n">
        <v>0</v>
      </c>
      <c r="AM39" s="119" t="n">
        <v>0</v>
      </c>
      <c r="AN39" s="117" t="n">
        <v>0</v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8" t="n"/>
      <c r="W40" s="38" t="n"/>
      <c r="X40" s="38" t="n"/>
      <c r="Y40" s="38" t="n"/>
      <c r="Z40" s="38" t="n"/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117" t="n">
        <v>0</v>
      </c>
      <c r="AJ40" s="118" t="n">
        <v>0</v>
      </c>
      <c r="AK40" s="118" t="n">
        <v>0</v>
      </c>
      <c r="AL40" s="118" t="n">
        <v>0</v>
      </c>
      <c r="AM40" s="119" t="n">
        <v>0</v>
      </c>
      <c r="AN40" s="117" t="n">
        <v>0</v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0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  <c r="N41" s="36">
        <f>SUM(B41:M41)</f>
        <v/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8" t="n"/>
      <c r="W41" s="38" t="n"/>
      <c r="X41" s="38" t="n"/>
      <c r="Y41" s="38" t="n"/>
      <c r="Z41" s="38" t="n"/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117" t="n">
        <v>0</v>
      </c>
      <c r="AJ41" s="118" t="n">
        <v>0</v>
      </c>
      <c r="AK41" s="118" t="n">
        <v>0</v>
      </c>
      <c r="AL41" s="118" t="n">
        <v>0</v>
      </c>
      <c r="AM41" s="119" t="n">
        <v>0</v>
      </c>
      <c r="AN41" s="117" t="n">
        <v>0</v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0</v>
      </c>
      <c r="D42" s="35" t="n">
        <v>0</v>
      </c>
      <c r="E42" s="35" t="n">
        <v>0</v>
      </c>
      <c r="F42" s="35" t="n">
        <v>0</v>
      </c>
      <c r="G42" s="35" t="n">
        <v>0</v>
      </c>
      <c r="H42" s="35" t="n">
        <v>0</v>
      </c>
      <c r="I42" s="35" t="n">
        <v>0</v>
      </c>
      <c r="J42" s="35" t="n">
        <v>0</v>
      </c>
      <c r="K42" s="35" t="n">
        <v>0</v>
      </c>
      <c r="L42" s="35" t="n">
        <v>0</v>
      </c>
      <c r="M42" s="35" t="n">
        <v>0</v>
      </c>
      <c r="N42" s="36">
        <f>SUM(B42:M42)</f>
        <v/>
      </c>
      <c r="O42" s="37" t="n">
        <v>0</v>
      </c>
      <c r="P42" s="37" t="n">
        <v>0</v>
      </c>
      <c r="Q42" s="37" t="n">
        <v>0</v>
      </c>
      <c r="R42" s="37" t="n">
        <v>0</v>
      </c>
      <c r="S42" s="37" t="n">
        <v>0</v>
      </c>
      <c r="T42" s="37" t="n">
        <v>0</v>
      </c>
      <c r="U42" s="37" t="n">
        <v>0</v>
      </c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117" t="n">
        <v>0</v>
      </c>
      <c r="AJ42" s="118" t="n">
        <v>0</v>
      </c>
      <c r="AK42" s="118" t="n">
        <v>0</v>
      </c>
      <c r="AL42" s="118" t="n">
        <v>0</v>
      </c>
      <c r="AM42" s="119" t="n">
        <v>0</v>
      </c>
      <c r="AN42" s="117" t="n">
        <v>0</v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117" t="n">
        <v>0</v>
      </c>
      <c r="AJ43" s="118" t="n">
        <v>0</v>
      </c>
      <c r="AK43" s="118" t="n">
        <v>0</v>
      </c>
      <c r="AL43" s="118" t="n">
        <v>0</v>
      </c>
      <c r="AM43" s="119" t="n">
        <v>0</v>
      </c>
      <c r="AN43" s="117" t="n">
        <v>0</v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117" t="n">
        <v>0</v>
      </c>
      <c r="AJ44" s="118" t="n">
        <v>0</v>
      </c>
      <c r="AK44" s="118" t="n">
        <v>0</v>
      </c>
      <c r="AL44" s="118" t="n">
        <v>0</v>
      </c>
      <c r="AM44" s="119" t="n">
        <v>0</v>
      </c>
      <c r="AN44" s="117" t="n">
        <v>0</v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 t="n">
        <v>0</v>
      </c>
      <c r="P45" s="37" t="n">
        <v>0</v>
      </c>
      <c r="Q45" s="37" t="n">
        <v>0</v>
      </c>
      <c r="R45" s="37" t="n">
        <v>0</v>
      </c>
      <c r="S45" s="37" t="n">
        <v>0</v>
      </c>
      <c r="T45" s="37" t="n">
        <v>0</v>
      </c>
      <c r="U45" s="37" t="n">
        <v>0</v>
      </c>
      <c r="V45" s="38" t="n"/>
      <c r="W45" s="38" t="n"/>
      <c r="X45" s="38" t="n"/>
      <c r="Y45" s="38" t="n"/>
      <c r="Z45" s="38" t="n"/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117" t="n">
        <v>0</v>
      </c>
      <c r="AJ45" s="118" t="n">
        <v>0</v>
      </c>
      <c r="AK45" s="118" t="n">
        <v>0</v>
      </c>
      <c r="AL45" s="118" t="n">
        <v>0</v>
      </c>
      <c r="AM45" s="119" t="n">
        <v>0</v>
      </c>
      <c r="AN45" s="117" t="n">
        <v>0</v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117" t="n">
        <v>0</v>
      </c>
      <c r="AJ46" s="118" t="n">
        <v>0</v>
      </c>
      <c r="AK46" s="118" t="n">
        <v>0</v>
      </c>
      <c r="AL46" s="118" t="n">
        <v>0</v>
      </c>
      <c r="AM46" s="119" t="n">
        <v>0</v>
      </c>
      <c r="AN46" s="117" t="n">
        <v>0</v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0</v>
      </c>
      <c r="C47" s="42" t="n">
        <v>0</v>
      </c>
      <c r="D47" s="42" t="n">
        <v>0</v>
      </c>
      <c r="E47" s="42" t="n">
        <v>0</v>
      </c>
      <c r="F47" s="42" t="n">
        <v>71.98</v>
      </c>
      <c r="G47" s="42" t="n">
        <v>0</v>
      </c>
      <c r="H47" s="42" t="n">
        <v>0</v>
      </c>
      <c r="I47" s="42" t="n">
        <v>0</v>
      </c>
      <c r="J47" s="42" t="n">
        <v>0</v>
      </c>
      <c r="K47" s="42" t="n">
        <v>0</v>
      </c>
      <c r="L47" s="42" t="n">
        <v>0</v>
      </c>
      <c r="M47" s="42" t="n">
        <v>0</v>
      </c>
      <c r="N47" s="52">
        <f>SUM(B47:M47)</f>
        <v/>
      </c>
      <c r="O47" s="44" t="n">
        <v>0</v>
      </c>
      <c r="P47" s="44" t="n">
        <v>0</v>
      </c>
      <c r="Q47" s="44" t="n">
        <v>0</v>
      </c>
      <c r="R47" s="44" t="n">
        <v>0</v>
      </c>
      <c r="S47" s="44" t="n">
        <v>0</v>
      </c>
      <c r="T47" s="44" t="n">
        <v>0</v>
      </c>
      <c r="U47" s="44" t="n">
        <v>0</v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134" t="n">
        <v>0</v>
      </c>
      <c r="AJ47" s="157" t="n">
        <v>0</v>
      </c>
      <c r="AK47" s="157" t="n">
        <v>0</v>
      </c>
      <c r="AL47" s="157" t="n">
        <v>0</v>
      </c>
      <c r="AM47" s="158" t="n">
        <v>0</v>
      </c>
      <c r="AN47" s="134" t="n">
        <v>0</v>
      </c>
      <c r="AO47" s="124">
        <f>SUM(AC47:AH47)+SUM(AI47:AN47)</f>
        <v/>
      </c>
      <c r="AP47" s="125">
        <f>IF(AB47&lt;&gt;0,(AO47-AB47)/ABS(AB47),0)</f>
        <v/>
      </c>
    </row>
    <row r="48">
      <c r="A48" s="22" t="inlineStr">
        <is>
          <t>Total Direct Costs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71.98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45</v>
      </c>
      <c r="M48" s="23" t="n">
        <v>0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134" t="n">
        <v>0</v>
      </c>
      <c r="AJ48" s="135" t="n">
        <v>0</v>
      </c>
      <c r="AK48" s="135" t="n">
        <v>0</v>
      </c>
      <c r="AL48" s="135" t="n">
        <v>0</v>
      </c>
      <c r="AM48" s="135" t="n">
        <v>0</v>
      </c>
      <c r="AN48" s="134" t="n">
        <v>0</v>
      </c>
      <c r="AO48" s="129">
        <f>SUM(AC48:AH48)+SUM(AI48:AN48)</f>
        <v/>
      </c>
      <c r="AP48" s="121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134" t="n">
        <v>0</v>
      </c>
      <c r="AJ49" s="135" t="n">
        <v>0</v>
      </c>
      <c r="AK49" s="135" t="n">
        <v>0</v>
      </c>
      <c r="AL49" s="135" t="n">
        <v>0</v>
      </c>
      <c r="AM49" s="136" t="n">
        <v>0</v>
      </c>
      <c r="AN49" s="134" t="n">
        <v>0</v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0</v>
      </c>
      <c r="C50" s="55" t="n">
        <v>0</v>
      </c>
      <c r="D50" s="55" t="n">
        <v>0</v>
      </c>
      <c r="E50" s="55" t="n">
        <v>0</v>
      </c>
      <c r="F50" s="55" t="n">
        <v>-71.98</v>
      </c>
      <c r="G50" s="55" t="n">
        <v>0</v>
      </c>
      <c r="H50" s="55" t="n">
        <v>0</v>
      </c>
      <c r="I50" s="55" t="n">
        <v>0</v>
      </c>
      <c r="J50" s="55" t="n">
        <v>0</v>
      </c>
      <c r="K50" s="55" t="n">
        <v>0</v>
      </c>
      <c r="L50" s="55" t="n">
        <v>-45</v>
      </c>
      <c r="M50" s="55" t="n">
        <v>0</v>
      </c>
      <c r="N50" s="55">
        <f>SUM(B50:M50)</f>
        <v/>
      </c>
      <c r="O50" s="55" t="n">
        <v>0</v>
      </c>
      <c r="P50" s="55" t="n">
        <v>0</v>
      </c>
      <c r="Q50" s="55" t="n">
        <v>0</v>
      </c>
      <c r="R50" s="55" t="n">
        <v>0</v>
      </c>
      <c r="S50" s="55" t="n">
        <v>0</v>
      </c>
      <c r="T50" s="55" t="n">
        <v>0</v>
      </c>
      <c r="U50" s="55" t="n">
        <v>0</v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43">
        <f>AJ11-AJ48</f>
        <v/>
      </c>
      <c r="AK50" s="143">
        <f>AK11-AK48</f>
        <v/>
      </c>
      <c r="AL50" s="143">
        <f>AL11-AL48</f>
        <v/>
      </c>
      <c r="AM50" s="143">
        <f>AM11-AM48</f>
        <v/>
      </c>
      <c r="AN50" s="143">
        <f>AN11-AN48</f>
        <v/>
      </c>
      <c r="AO50" s="144">
        <f>SUM(AC50:AH50)+SUM(AI50:AN50)</f>
        <v/>
      </c>
      <c r="AP50" s="145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134" t="n">
        <v>0</v>
      </c>
      <c r="AJ51" s="135" t="n">
        <v>0</v>
      </c>
      <c r="AK51" s="135" t="n">
        <v>0</v>
      </c>
      <c r="AL51" s="135" t="n">
        <v>0</v>
      </c>
      <c r="AM51" s="136" t="n">
        <v>0</v>
      </c>
      <c r="AN51" s="134" t="n">
        <v>0</v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 t="n">
        <v>110561.6</v>
      </c>
      <c r="P53" s="37" t="n">
        <v>104194.85</v>
      </c>
      <c r="Q53" s="37" t="n">
        <v>122684.97</v>
      </c>
      <c r="R53" s="37" t="n">
        <v>172859.62</v>
      </c>
      <c r="S53" s="37" t="n">
        <v>117438.53</v>
      </c>
      <c r="T53" s="37" t="n">
        <v>116497.42</v>
      </c>
      <c r="U53" s="37" t="n">
        <v>117057.9</v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7" t="n">
        <v>0</v>
      </c>
      <c r="AJ53" s="118" t="n">
        <v>0</v>
      </c>
      <c r="AK53" s="118" t="n">
        <v>0</v>
      </c>
      <c r="AL53" s="118" t="n">
        <v>0</v>
      </c>
      <c r="AM53" s="119" t="n">
        <v>0</v>
      </c>
      <c r="AN53" s="117" t="n">
        <v>0</v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 t="n">
        <v>15829.25</v>
      </c>
      <c r="P54" s="37" t="n">
        <v>14890.45</v>
      </c>
      <c r="Q54" s="37" t="n">
        <v>17671.3</v>
      </c>
      <c r="R54" s="37" t="n">
        <v>25136.38</v>
      </c>
      <c r="S54" s="37" t="n">
        <v>16772.83</v>
      </c>
      <c r="T54" s="37" t="n">
        <v>16744.56</v>
      </c>
      <c r="U54" s="37" t="n">
        <v>16640.7</v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7" t="n">
        <v>0</v>
      </c>
      <c r="AJ54" s="118" t="n">
        <v>0</v>
      </c>
      <c r="AK54" s="118" t="n">
        <v>0</v>
      </c>
      <c r="AL54" s="118" t="n">
        <v>0</v>
      </c>
      <c r="AM54" s="119" t="n">
        <v>0</v>
      </c>
      <c r="AN54" s="117" t="n">
        <v>0</v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585.15</v>
      </c>
      <c r="U55" s="37" t="n">
        <v>585.15</v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7" t="n">
        <v>0</v>
      </c>
      <c r="AJ55" s="118" t="n">
        <v>0</v>
      </c>
      <c r="AK55" s="118" t="n">
        <v>0</v>
      </c>
      <c r="AL55" s="118" t="n">
        <v>0</v>
      </c>
      <c r="AM55" s="119" t="n">
        <v>0</v>
      </c>
      <c r="AN55" s="117" t="n">
        <v>0</v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 t="n">
        <v>1185.13</v>
      </c>
      <c r="P56" s="37" t="n">
        <v>1099.1</v>
      </c>
      <c r="Q56" s="37" t="n">
        <v>1911.99</v>
      </c>
      <c r="R56" s="37" t="n">
        <v>1982.45</v>
      </c>
      <c r="S56" s="37" t="n">
        <v>1897.62</v>
      </c>
      <c r="T56" s="37" t="n">
        <v>1896.13</v>
      </c>
      <c r="U56" s="37" t="n">
        <v>1156.53</v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7" t="n">
        <v>0</v>
      </c>
      <c r="AJ56" s="118" t="n">
        <v>0</v>
      </c>
      <c r="AK56" s="118" t="n">
        <v>0</v>
      </c>
      <c r="AL56" s="118" t="n">
        <v>0</v>
      </c>
      <c r="AM56" s="119" t="n">
        <v>0</v>
      </c>
      <c r="AN56" s="117" t="n">
        <v>0</v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 t="n">
        <v>0</v>
      </c>
      <c r="P57" s="37" t="n">
        <v>0</v>
      </c>
      <c r="Q57" s="37" t="n">
        <v>0</v>
      </c>
      <c r="R57" s="37" t="n">
        <v>0</v>
      </c>
      <c r="S57" s="37" t="n">
        <v>0</v>
      </c>
      <c r="T57" s="37" t="n">
        <v>0</v>
      </c>
      <c r="U57" s="37" t="n">
        <v>0</v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117" t="n">
        <v>0</v>
      </c>
      <c r="AJ57" s="118" t="n">
        <v>0</v>
      </c>
      <c r="AK57" s="118" t="n">
        <v>0</v>
      </c>
      <c r="AL57" s="118" t="n">
        <v>0</v>
      </c>
      <c r="AM57" s="119" t="n">
        <v>0</v>
      </c>
      <c r="AN57" s="117" t="n">
        <v>0</v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 t="n">
        <v>0</v>
      </c>
      <c r="P58" s="37" t="n">
        <v>0</v>
      </c>
      <c r="Q58" s="37" t="n">
        <v>12212.4</v>
      </c>
      <c r="R58" s="37" t="n">
        <v>2756.4</v>
      </c>
      <c r="S58" s="37" t="n">
        <v>0</v>
      </c>
      <c r="T58" s="37" t="n">
        <v>0</v>
      </c>
      <c r="U58" s="37" t="n">
        <v>195.75</v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7" t="n">
        <v>0</v>
      </c>
      <c r="AJ58" s="118" t="n">
        <v>0</v>
      </c>
      <c r="AK58" s="118" t="n">
        <v>0</v>
      </c>
      <c r="AL58" s="118" t="n">
        <v>0</v>
      </c>
      <c r="AM58" s="119" t="n">
        <v>0</v>
      </c>
      <c r="AN58" s="117" t="n">
        <v>0</v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5" t="n">
        <v>0</v>
      </c>
      <c r="J59" s="35" t="n">
        <v>0</v>
      </c>
      <c r="K59" s="35" t="n">
        <v>0</v>
      </c>
      <c r="L59" s="35" t="n">
        <v>0</v>
      </c>
      <c r="M59" s="35" t="n">
        <v>0</v>
      </c>
      <c r="N59" s="36">
        <f>SUM(B59:M59)</f>
        <v/>
      </c>
      <c r="O59" s="37" t="n">
        <v>2238.11</v>
      </c>
      <c r="P59" s="37" t="n">
        <v>1404.87</v>
      </c>
      <c r="Q59" s="37" t="n">
        <v>1404.87</v>
      </c>
      <c r="R59" s="37" t="n">
        <v>2893.39</v>
      </c>
      <c r="S59" s="37" t="n">
        <v>2933.33</v>
      </c>
      <c r="T59" s="37" t="n">
        <v>14489.47</v>
      </c>
      <c r="U59" s="37" t="n">
        <v>3526.92</v>
      </c>
      <c r="V59" s="38" t="n"/>
      <c r="W59" s="38" t="n"/>
      <c r="X59" s="38" t="n"/>
      <c r="Y59" s="38" t="n"/>
      <c r="Z59" s="38" t="n"/>
      <c r="AA59" s="36">
        <f>SUM(O59:U59)</f>
        <v/>
      </c>
      <c r="AB59" s="36">
        <f>SUM(O59:Z59)</f>
        <v/>
      </c>
      <c r="AC59" s="38" t="n"/>
      <c r="AD59" s="38" t="n"/>
      <c r="AE59" s="38" t="n"/>
      <c r="AF59" s="38" t="n"/>
      <c r="AG59" s="38" t="n"/>
      <c r="AH59" s="38" t="n"/>
      <c r="AI59" s="117" t="n">
        <v>0</v>
      </c>
      <c r="AJ59" s="118" t="n">
        <v>0</v>
      </c>
      <c r="AK59" s="118" t="n">
        <v>0</v>
      </c>
      <c r="AL59" s="118" t="n">
        <v>0</v>
      </c>
      <c r="AM59" s="119" t="n">
        <v>0</v>
      </c>
      <c r="AN59" s="117" t="n">
        <v>0</v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0</v>
      </c>
      <c r="C60" s="35" t="n">
        <v>0</v>
      </c>
      <c r="D60" s="35" t="n">
        <v>0</v>
      </c>
      <c r="E60" s="35" t="n">
        <v>0</v>
      </c>
      <c r="F60" s="35" t="n">
        <v>0</v>
      </c>
      <c r="G60" s="35" t="n">
        <v>0</v>
      </c>
      <c r="H60" s="35" t="n">
        <v>0</v>
      </c>
      <c r="I60" s="35" t="n">
        <v>0</v>
      </c>
      <c r="J60" s="35" t="n">
        <v>0</v>
      </c>
      <c r="K60" s="35" t="n">
        <v>0</v>
      </c>
      <c r="L60" s="35" t="n">
        <v>0</v>
      </c>
      <c r="M60" s="35" t="n">
        <v>0</v>
      </c>
      <c r="N60" s="36">
        <f>SUM(B60:M60)</f>
        <v/>
      </c>
      <c r="O60" s="37" t="n">
        <v>1186.5</v>
      </c>
      <c r="P60" s="37" t="n">
        <v>1186.5</v>
      </c>
      <c r="Q60" s="37" t="n">
        <v>1186.5</v>
      </c>
      <c r="R60" s="37" t="n">
        <v>2593.73</v>
      </c>
      <c r="S60" s="37" t="n">
        <v>2593.73</v>
      </c>
      <c r="T60" s="37" t="n">
        <v>2593.73</v>
      </c>
      <c r="U60" s="37" t="n">
        <v>2593.71</v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7" t="n">
        <v>0</v>
      </c>
      <c r="AJ60" s="118" t="n">
        <v>0</v>
      </c>
      <c r="AK60" s="118" t="n">
        <v>0</v>
      </c>
      <c r="AL60" s="118" t="n">
        <v>0</v>
      </c>
      <c r="AM60" s="119" t="n">
        <v>0</v>
      </c>
      <c r="AN60" s="117" t="n">
        <v>0</v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-1.97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0</v>
      </c>
      <c r="N61" s="36">
        <f>SUM(B61:M61)</f>
        <v/>
      </c>
      <c r="O61" s="37" t="n">
        <v>5384.61</v>
      </c>
      <c r="P61" s="37" t="n">
        <v>7655.49</v>
      </c>
      <c r="Q61" s="37" t="n">
        <v>7967.039999999999</v>
      </c>
      <c r="R61" s="37" t="n">
        <v>9289.66</v>
      </c>
      <c r="S61" s="37" t="n">
        <v>9122.59</v>
      </c>
      <c r="T61" s="37" t="n">
        <v>16372.61</v>
      </c>
      <c r="U61" s="37" t="n">
        <v>8138.370000000001</v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7" t="n">
        <v>0</v>
      </c>
      <c r="AJ61" s="118" t="n">
        <v>0</v>
      </c>
      <c r="AK61" s="118" t="n">
        <v>0</v>
      </c>
      <c r="AL61" s="118" t="n">
        <v>0</v>
      </c>
      <c r="AM61" s="119" t="n">
        <v>0</v>
      </c>
      <c r="AN61" s="117" t="n">
        <v>0</v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 t="n">
        <v>1610.78</v>
      </c>
      <c r="P62" s="37" t="n">
        <v>345.22</v>
      </c>
      <c r="Q62" s="37" t="n">
        <v>0</v>
      </c>
      <c r="R62" s="37" t="n">
        <v>43.47000000000003</v>
      </c>
      <c r="S62" s="37" t="n">
        <v>88.89</v>
      </c>
      <c r="T62" s="37" t="n">
        <v>1710.61</v>
      </c>
      <c r="U62" s="37" t="n">
        <v>1093.44</v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7" t="n">
        <v>0</v>
      </c>
      <c r="AJ62" s="118" t="n">
        <v>0</v>
      </c>
      <c r="AK62" s="118" t="n">
        <v>0</v>
      </c>
      <c r="AL62" s="118" t="n">
        <v>0</v>
      </c>
      <c r="AM62" s="119" t="n">
        <v>0</v>
      </c>
      <c r="AN62" s="117" t="n">
        <v>0</v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 t="n">
        <v>0</v>
      </c>
      <c r="P63" s="37" t="n">
        <v>0</v>
      </c>
      <c r="Q63" s="37" t="n">
        <v>0</v>
      </c>
      <c r="R63" s="37" t="n">
        <v>0</v>
      </c>
      <c r="S63" s="37" t="n">
        <v>0</v>
      </c>
      <c r="T63" s="37" t="n">
        <v>0</v>
      </c>
      <c r="U63" s="37" t="n">
        <v>0</v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7" t="n">
        <v>0</v>
      </c>
      <c r="AJ63" s="118" t="n">
        <v>0</v>
      </c>
      <c r="AK63" s="118" t="n">
        <v>0</v>
      </c>
      <c r="AL63" s="118" t="n">
        <v>0</v>
      </c>
      <c r="AM63" s="119" t="n">
        <v>0</v>
      </c>
      <c r="AN63" s="117" t="n">
        <v>0</v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7" t="n">
        <v>0</v>
      </c>
      <c r="AJ64" s="118" t="n">
        <v>0</v>
      </c>
      <c r="AK64" s="118" t="n">
        <v>0</v>
      </c>
      <c r="AL64" s="118" t="n">
        <v>0</v>
      </c>
      <c r="AM64" s="119" t="n">
        <v>0</v>
      </c>
      <c r="AN64" s="117" t="n">
        <v>0</v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30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 t="n">
        <v>13797.88</v>
      </c>
      <c r="P65" s="37" t="n">
        <v>5720.969999999999</v>
      </c>
      <c r="Q65" s="37" t="n">
        <v>5427.91</v>
      </c>
      <c r="R65" s="37" t="n">
        <v>4311.21</v>
      </c>
      <c r="S65" s="37" t="n">
        <v>4359.15</v>
      </c>
      <c r="T65" s="37" t="n">
        <v>4667.76</v>
      </c>
      <c r="U65" s="37" t="n">
        <v>27831.66</v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7" t="n">
        <v>0</v>
      </c>
      <c r="AJ65" s="118" t="n">
        <v>0</v>
      </c>
      <c r="AK65" s="118" t="n">
        <v>0</v>
      </c>
      <c r="AL65" s="118" t="n">
        <v>0</v>
      </c>
      <c r="AM65" s="119" t="n">
        <v>0</v>
      </c>
      <c r="AN65" s="117" t="n">
        <v>0</v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 t="n">
        <v>0</v>
      </c>
      <c r="P66" s="37" t="n">
        <v>0</v>
      </c>
      <c r="Q66" s="37" t="n">
        <v>0</v>
      </c>
      <c r="R66" s="37" t="n">
        <v>0</v>
      </c>
      <c r="S66" s="37" t="n">
        <v>0</v>
      </c>
      <c r="T66" s="37" t="n">
        <v>0</v>
      </c>
      <c r="U66" s="37" t="n">
        <v>0</v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7" t="n">
        <v>0</v>
      </c>
      <c r="AJ66" s="118" t="n">
        <v>0</v>
      </c>
      <c r="AK66" s="118" t="n">
        <v>0</v>
      </c>
      <c r="AL66" s="118" t="n">
        <v>0</v>
      </c>
      <c r="AM66" s="119" t="n">
        <v>0</v>
      </c>
      <c r="AN66" s="117" t="n">
        <v>0</v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915.6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704.4</v>
      </c>
      <c r="N67" s="36">
        <f>SUM(B67:M67)</f>
        <v/>
      </c>
      <c r="O67" s="37" t="n">
        <v>0</v>
      </c>
      <c r="P67" s="37" t="n">
        <v>0</v>
      </c>
      <c r="Q67" s="37" t="n">
        <v>0</v>
      </c>
      <c r="R67" s="37" t="n">
        <v>0</v>
      </c>
      <c r="S67" s="37" t="n">
        <v>0</v>
      </c>
      <c r="T67" s="37" t="n">
        <v>0</v>
      </c>
      <c r="U67" s="37" t="n">
        <v>162.4</v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7" t="n">
        <v>0</v>
      </c>
      <c r="AJ67" s="118" t="n">
        <v>0</v>
      </c>
      <c r="AK67" s="118" t="n">
        <v>0</v>
      </c>
      <c r="AL67" s="118" t="n">
        <v>0</v>
      </c>
      <c r="AM67" s="119" t="n">
        <v>0</v>
      </c>
      <c r="AN67" s="117" t="n">
        <v>0</v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5.95</v>
      </c>
      <c r="C68" s="35" t="n">
        <v>9.800000000000001</v>
      </c>
      <c r="D68" s="35" t="n">
        <v>7</v>
      </c>
      <c r="E68" s="35" t="n">
        <v>7.7</v>
      </c>
      <c r="F68" s="35" t="n">
        <v>7</v>
      </c>
      <c r="G68" s="35" t="n">
        <v>5.95</v>
      </c>
      <c r="H68" s="35" t="n">
        <v>6.65</v>
      </c>
      <c r="I68" s="35" t="n">
        <v>7.35</v>
      </c>
      <c r="J68" s="35" t="n">
        <v>3.5</v>
      </c>
      <c r="K68" s="35" t="n">
        <v>5.25</v>
      </c>
      <c r="L68" s="35" t="n">
        <v>3.5</v>
      </c>
      <c r="M68" s="35" t="n">
        <v>3.85</v>
      </c>
      <c r="N68" s="36">
        <f>SUM(B68:M68)</f>
        <v/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7" t="n">
        <v>0</v>
      </c>
      <c r="AJ68" s="118" t="n">
        <v>0</v>
      </c>
      <c r="AK68" s="118" t="n">
        <v>0</v>
      </c>
      <c r="AL68" s="118" t="n">
        <v>0</v>
      </c>
      <c r="AM68" s="119" t="n">
        <v>0</v>
      </c>
      <c r="AN68" s="117" t="n">
        <v>0</v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5.95</v>
      </c>
      <c r="C69" s="42" t="n">
        <v>39.8</v>
      </c>
      <c r="D69" s="42" t="n">
        <v>7</v>
      </c>
      <c r="E69" s="42" t="n">
        <v>923.3000000000001</v>
      </c>
      <c r="F69" s="42" t="n">
        <v>7</v>
      </c>
      <c r="G69" s="42" t="n">
        <v>5.95</v>
      </c>
      <c r="H69" s="42" t="n">
        <v>4.680000000000001</v>
      </c>
      <c r="I69" s="42" t="n">
        <v>7.35</v>
      </c>
      <c r="J69" s="42" t="n">
        <v>3.5</v>
      </c>
      <c r="K69" s="42" t="n">
        <v>5.25</v>
      </c>
      <c r="L69" s="42" t="n">
        <v>3.5</v>
      </c>
      <c r="M69" s="42" t="n">
        <v>708.25</v>
      </c>
      <c r="N69" s="43">
        <f>SUM(B69:M69)</f>
        <v/>
      </c>
      <c r="O69" s="44" t="n">
        <v>0</v>
      </c>
      <c r="P69" s="44" t="n">
        <v>0</v>
      </c>
      <c r="Q69" s="44" t="n">
        <v>0</v>
      </c>
      <c r="R69" s="44" t="n">
        <v>0</v>
      </c>
      <c r="S69" s="44" t="n">
        <v>0</v>
      </c>
      <c r="T69" s="44" t="n">
        <v>0</v>
      </c>
      <c r="U69" s="44" t="n">
        <v>0</v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134" t="n">
        <v>0</v>
      </c>
      <c r="AJ69" s="157" t="n">
        <v>0</v>
      </c>
      <c r="AK69" s="157" t="n">
        <v>0</v>
      </c>
      <c r="AL69" s="157" t="n">
        <v>0</v>
      </c>
      <c r="AM69" s="157" t="n">
        <v>0</v>
      </c>
      <c r="AN69" s="134" t="n">
        <v>0</v>
      </c>
      <c r="AO69" s="124">
        <f>SUM(AC69:AH69)+SUM(AI69:AN69)</f>
        <v/>
      </c>
      <c r="AP69" s="125">
        <f>IF(AB69&lt;&gt;0,(AO69-AB69)/ABS(AB69),0)</f>
        <v/>
      </c>
    </row>
    <row r="70">
      <c r="A70" s="54" t="inlineStr">
        <is>
          <t>EBITDA</t>
        </is>
      </c>
      <c r="B70" s="55" t="n">
        <v>-5.95</v>
      </c>
      <c r="C70" s="55" t="n">
        <v>-39.8</v>
      </c>
      <c r="D70" s="55" t="n">
        <v>-7</v>
      </c>
      <c r="E70" s="55" t="n">
        <v>-923.3000000000001</v>
      </c>
      <c r="F70" s="55" t="n">
        <v>-78.98</v>
      </c>
      <c r="G70" s="55" t="n">
        <v>-5.95</v>
      </c>
      <c r="H70" s="55" t="n">
        <v>-4.680000000000001</v>
      </c>
      <c r="I70" s="55" t="n">
        <v>-7.35</v>
      </c>
      <c r="J70" s="55" t="n">
        <v>-3.5</v>
      </c>
      <c r="K70" s="55" t="n">
        <v>-5.25</v>
      </c>
      <c r="L70" s="55" t="n">
        <v>-48.5</v>
      </c>
      <c r="M70" s="55" t="n">
        <v>-708.25</v>
      </c>
      <c r="N70" s="55">
        <f>SUM(B70:M70)</f>
        <v/>
      </c>
      <c r="O70" s="55" t="n">
        <v>0</v>
      </c>
      <c r="P70" s="55" t="n">
        <v>0</v>
      </c>
      <c r="Q70" s="55" t="n">
        <v>0</v>
      </c>
      <c r="R70" s="55" t="n">
        <v>0</v>
      </c>
      <c r="S70" s="55" t="n">
        <v>0</v>
      </c>
      <c r="T70" s="55" t="n">
        <v>0</v>
      </c>
      <c r="U70" s="55" t="n">
        <v>0</v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7">
        <f>SUM(AC72:AH72)+SUM(AI72:AN72)</f>
        <v/>
      </c>
      <c r="AP72" s="145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7" t="n">
        <v>0</v>
      </c>
      <c r="AJ73" s="117" t="n">
        <v>0</v>
      </c>
      <c r="AK73" s="117" t="n">
        <v>0</v>
      </c>
      <c r="AL73" s="117" t="n">
        <v>0</v>
      </c>
      <c r="AM73" s="117" t="n">
        <v>0</v>
      </c>
      <c r="AN73" s="117" t="n">
        <v>0</v>
      </c>
      <c r="AO73" s="156">
        <f>SUM(AC73:AH73)+SUM(AI73:AN73)</f>
        <v/>
      </c>
      <c r="AP73" s="145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7" t="n">
        <v>0</v>
      </c>
      <c r="AJ74" s="117" t="n">
        <v>0</v>
      </c>
      <c r="AK74" s="117" t="n">
        <v>0</v>
      </c>
      <c r="AL74" s="117" t="n">
        <v>0</v>
      </c>
      <c r="AM74" s="117" t="n">
        <v>0</v>
      </c>
      <c r="AN74" s="117" t="n">
        <v>0</v>
      </c>
      <c r="AO74" s="156">
        <f>SUM(AC74:AH74)+SUM(AI74:AN74)</f>
        <v/>
      </c>
      <c r="AP74" s="145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7" t="n">
        <v>0</v>
      </c>
      <c r="AJ75" s="117" t="n">
        <v>0</v>
      </c>
      <c r="AK75" s="117" t="n">
        <v>0</v>
      </c>
      <c r="AL75" s="117" t="n">
        <v>0</v>
      </c>
      <c r="AM75" s="117" t="n">
        <v>0</v>
      </c>
      <c r="AN75" s="117" t="n">
        <v>0</v>
      </c>
      <c r="AO75" s="156">
        <f>SUM(AC75:AH75)+SUM(AI75:AN75)</f>
        <v/>
      </c>
      <c r="AP75" s="145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7" t="n">
        <v>0</v>
      </c>
      <c r="AJ76" s="117" t="n">
        <v>0</v>
      </c>
      <c r="AK76" s="117" t="n">
        <v>0</v>
      </c>
      <c r="AL76" s="117" t="n">
        <v>0</v>
      </c>
      <c r="AM76" s="117" t="n">
        <v>0</v>
      </c>
      <c r="AN76" s="117" t="n">
        <v>0</v>
      </c>
      <c r="AO76" s="156">
        <f>SUM(AC76:AH76)+SUM(AI76:AN76)</f>
        <v/>
      </c>
      <c r="AP76" s="145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7" t="n">
        <v>0</v>
      </c>
      <c r="AJ77" s="117" t="n">
        <v>0</v>
      </c>
      <c r="AK77" s="117" t="n">
        <v>0</v>
      </c>
      <c r="AL77" s="117" t="n">
        <v>0</v>
      </c>
      <c r="AM77" s="117" t="n">
        <v>0</v>
      </c>
      <c r="AN77" s="117" t="n">
        <v>0</v>
      </c>
      <c r="AO77" s="156">
        <f>SUM(AC77:AH77)+SUM(AI77:AN77)</f>
        <v/>
      </c>
      <c r="AP77" s="145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117" t="n">
        <v>0</v>
      </c>
      <c r="AJ78" s="117" t="n">
        <v>0</v>
      </c>
      <c r="AK78" s="117" t="n">
        <v>0</v>
      </c>
      <c r="AL78" s="117" t="n">
        <v>0</v>
      </c>
      <c r="AM78" s="117" t="n">
        <v>0</v>
      </c>
      <c r="AN78" s="117" t="n">
        <v>0</v>
      </c>
      <c r="AO78" s="156">
        <f>SUM(AC78:AH78)+SUM(AI78:AN78)</f>
        <v/>
      </c>
      <c r="AP78" s="145">
        <f>IF(AB78&lt;&gt;0,(AO78-AB78)/ABS(AB78),0)</f>
        <v/>
      </c>
    </row>
    <row r="79">
      <c r="A79" s="54" t="n"/>
      <c r="B79" s="57" t="n">
        <v>-5.95</v>
      </c>
      <c r="C79" s="57" t="n">
        <v>-39.8</v>
      </c>
      <c r="D79" s="57" t="n">
        <v>-7</v>
      </c>
      <c r="E79" s="57" t="n">
        <v>-923.3000000000001</v>
      </c>
      <c r="F79" s="57" t="n">
        <v>-78.98</v>
      </c>
      <c r="G79" s="57" t="n">
        <v>-5.95</v>
      </c>
      <c r="H79" s="57" t="n">
        <v>-4.680000000000001</v>
      </c>
      <c r="I79" s="57" t="n">
        <v>-7.35</v>
      </c>
      <c r="J79" s="57" t="n">
        <v>-3.5</v>
      </c>
      <c r="K79" s="57" t="n">
        <v>-5.25</v>
      </c>
      <c r="L79" s="57" t="n">
        <v>-48.5</v>
      </c>
      <c r="M79" s="57" t="n">
        <v>-708.25</v>
      </c>
      <c r="N79" s="78">
        <f>SUM(B79:M79)</f>
        <v/>
      </c>
      <c r="O79" s="55" t="n">
        <v>0</v>
      </c>
      <c r="P79" s="55" t="n">
        <v>0</v>
      </c>
      <c r="Q79" s="55" t="n">
        <v>0</v>
      </c>
      <c r="R79" s="55" t="n">
        <v>0</v>
      </c>
      <c r="S79" s="55" t="n">
        <v>0</v>
      </c>
      <c r="T79" s="55" t="n">
        <v>0</v>
      </c>
      <c r="U79" s="55" t="n">
        <v>0</v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7">
        <f>SUM(AC79:AH79)+SUM(AI79:AN79)</f>
        <v/>
      </c>
      <c r="AP79" s="145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7">
        <f>SUM(AC80:AH80)+SUM(AI80:AN80)</f>
        <v/>
      </c>
      <c r="AP80" s="145">
        <f>IF(AB80&lt;&gt;0,(AO80-AB80)/ABS(AB80),0)</f>
        <v/>
      </c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48" t="n">
        <v>0</v>
      </c>
      <c r="AJ81" s="148" t="n">
        <v>0</v>
      </c>
      <c r="AK81" s="148" t="n">
        <v>0</v>
      </c>
      <c r="AL81" s="148" t="n">
        <v>0</v>
      </c>
      <c r="AM81" s="148" t="n">
        <v>0</v>
      </c>
      <c r="AN81" s="148" t="n">
        <v>0</v>
      </c>
      <c r="AO81" s="149">
        <f>SUM(AC81:AH81)+SUM(AI81:AN81)</f>
        <v/>
      </c>
      <c r="AP81" s="145">
        <f>IF(AB81&lt;&gt;0,(AO81-AB81)/ABS(AB81),0)</f>
        <v/>
      </c>
    </row>
    <row r="82">
      <c r="A82" s="34" t="inlineStr">
        <is>
          <t>Direct - Sales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60" t="n">
        <v>0</v>
      </c>
      <c r="P82" s="60" t="n">
        <v>0</v>
      </c>
      <c r="Q82" s="60" t="n">
        <v>0</v>
      </c>
      <c r="R82" s="60" t="n">
        <v>0</v>
      </c>
      <c r="S82" s="60" t="n">
        <v>0</v>
      </c>
      <c r="T82" s="60" t="n">
        <v>0</v>
      </c>
      <c r="U82" s="60" t="n">
        <v>0</v>
      </c>
      <c r="V82" s="60">
        <f>-SUMIF('YBN Blank TB'!$T:$T,'YBN HO P&amp;L'!$A82,'YBN Blank TB'!J:J)-SUMIF('YBN HO TB'!$T:$T,'YBN HO P&amp;L'!$A82,'YBN HO TB'!J:J)</f>
        <v/>
      </c>
      <c r="W82" s="60">
        <f>-SUMIF('YBN Blank TB'!$T:$T,'YBN HO P&amp;L'!$A82,'YBN Blank TB'!K:K)-SUMIF('YBN HO TB'!$T:$T,'YBN HO P&amp;L'!$A82,'YBN HO TB'!K:K)</f>
        <v/>
      </c>
      <c r="X82" s="60">
        <f>-SUMIF('YBN Blank TB'!$T:$T,'YBN HO P&amp;L'!$A82,'YBN Blank TB'!L:L)-SUMIF('YBN HO TB'!$T:$T,'YBN HO P&amp;L'!$A82,'YBN HO TB'!L:L)</f>
        <v/>
      </c>
      <c r="Y82" s="60">
        <f>-SUMIF('YBN Blank TB'!$T:$T,'YBN HO P&amp;L'!$A82,'YBN Blank TB'!M:M)-SUMIF('YBN HO TB'!$T:$T,'YBN HO P&amp;L'!$A82,'YBN HO TB'!M:M)</f>
        <v/>
      </c>
      <c r="Z82" s="60">
        <f>-SUMIF('YBN Blank TB'!$T:$T,'YBN HO P&amp;L'!$A82,'YBN Blank TB'!N:N)-SUMIF('YBN HO TB'!$T:$T,'YBN HO P&amp;L'!$A82,'YBN HO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148" t="n">
        <v>0</v>
      </c>
      <c r="AJ82" s="148" t="n">
        <v>0</v>
      </c>
      <c r="AK82" s="148" t="n">
        <v>0</v>
      </c>
      <c r="AL82" s="148" t="n">
        <v>0</v>
      </c>
      <c r="AM82" s="148" t="n">
        <v>0</v>
      </c>
      <c r="AN82" s="148" t="n">
        <v>0</v>
      </c>
      <c r="AO82" s="149">
        <f>SUM(AC82:AH82)+SUM(AI82:AN82)</f>
        <v/>
      </c>
      <c r="AP82" s="145">
        <f>IF(AB82&lt;&gt;0,(AO82-AB82)/ABS(AB82),0)</f>
        <v/>
      </c>
    </row>
    <row r="83">
      <c r="A83" s="60" t="inlineStr">
        <is>
          <t>Direct - Staff Cost</t>
        </is>
      </c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0</v>
      </c>
      <c r="G83" s="60" t="n">
        <v>0</v>
      </c>
      <c r="H83" s="60" t="n">
        <v>0</v>
      </c>
      <c r="I83" s="60" t="n">
        <v>0</v>
      </c>
      <c r="J83" s="60" t="n">
        <v>0</v>
      </c>
      <c r="K83" s="60" t="n">
        <v>0</v>
      </c>
      <c r="L83" s="60" t="n">
        <v>0</v>
      </c>
      <c r="M83" s="8" t="n"/>
      <c r="N83" s="8" t="n"/>
      <c r="O83" s="60" t="n">
        <v>0</v>
      </c>
      <c r="P83" s="60" t="n">
        <v>0</v>
      </c>
      <c r="Q83" s="60" t="n">
        <v>0</v>
      </c>
      <c r="R83" s="60" t="n">
        <v>0</v>
      </c>
      <c r="S83" s="60" t="n">
        <v>0</v>
      </c>
      <c r="T83" s="60" t="n">
        <v>0</v>
      </c>
      <c r="U83" s="60" t="n">
        <v>0</v>
      </c>
      <c r="V83" s="60">
        <f>-SUMIF('YBN Blank TB'!$T:$T,'YBN HO P&amp;L'!$A83,'YBN Blank TB'!J:J)-SUMIF('YBN HO TB'!$T:$T,'YBN HO P&amp;L'!$A83,'YBN HO TB'!J:J)</f>
        <v/>
      </c>
      <c r="W83" s="60">
        <f>-SUMIF('YBN Blank TB'!$T:$T,'YBN HO P&amp;L'!$A83,'YBN Blank TB'!K:K)-SUMIF('YBN HO TB'!$T:$T,'YBN HO P&amp;L'!$A83,'YBN HO TB'!K:K)</f>
        <v/>
      </c>
      <c r="X83" s="60">
        <f>-SUMIF('YBN Blank TB'!$T:$T,'YBN HO P&amp;L'!$A83,'YBN Blank TB'!L:L)-SUMIF('YBN HO TB'!$T:$T,'YBN HO P&amp;L'!$A83,'YBN HO TB'!L:L)</f>
        <v/>
      </c>
      <c r="Y83" s="60">
        <f>-SUMIF('YBN Blank TB'!$T:$T,'YBN HO P&amp;L'!$A83,'YBN Blank TB'!M:M)-SUMIF('YBN HO TB'!$T:$T,'YBN HO P&amp;L'!$A83,'YBN HO TB'!M:M)</f>
        <v/>
      </c>
      <c r="Z83" s="60">
        <f>-SUMIF('YBN Blank TB'!$T:$T,'YBN HO P&amp;L'!$A83,'YBN Blank TB'!N:N)-SUMIF('YBN HO TB'!$T:$T,'YBN HO P&amp;L'!$A83,'YBN HO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48" t="n">
        <v>0</v>
      </c>
      <c r="AJ83" s="148" t="n">
        <v>0</v>
      </c>
      <c r="AK83" s="148" t="n">
        <v>0</v>
      </c>
      <c r="AL83" s="148" t="n">
        <v>0</v>
      </c>
      <c r="AM83" s="148" t="n">
        <v>0</v>
      </c>
      <c r="AN83" s="148" t="n">
        <v>0</v>
      </c>
      <c r="AO83" s="149">
        <f>SUM(AC83:AH83)+SUM(AI83:AN83)</f>
        <v/>
      </c>
      <c r="AP83" s="145">
        <f>IF(AB83&lt;&gt;0,(AO83-AB83)/ABS(AB83),0)</f>
        <v/>
      </c>
    </row>
    <row r="84">
      <c r="A84" s="60" t="inlineStr">
        <is>
          <t>Direct - Childcare Cost</t>
        </is>
      </c>
      <c r="B84" s="60" t="n">
        <v>0</v>
      </c>
      <c r="C84" s="60" t="n">
        <v>0</v>
      </c>
      <c r="D84" s="60" t="n">
        <v>0</v>
      </c>
      <c r="E84" s="60" t="n">
        <v>0</v>
      </c>
      <c r="F84" s="60" t="n">
        <v>0</v>
      </c>
      <c r="G84" s="60" t="n">
        <v>0</v>
      </c>
      <c r="H84" s="60" t="n">
        <v>0</v>
      </c>
      <c r="I84" s="60" t="n">
        <v>0</v>
      </c>
      <c r="J84" s="60" t="n">
        <v>0</v>
      </c>
      <c r="K84" s="60" t="n">
        <v>0</v>
      </c>
      <c r="L84" s="60" t="n">
        <v>-45</v>
      </c>
      <c r="M84" s="8" t="n"/>
      <c r="N84" s="8" t="n"/>
      <c r="O84" s="60" t="n">
        <v>0</v>
      </c>
      <c r="P84" s="60" t="n">
        <v>0</v>
      </c>
      <c r="Q84" s="60" t="n">
        <v>0</v>
      </c>
      <c r="R84" s="60" t="n">
        <v>0</v>
      </c>
      <c r="S84" s="60" t="n">
        <v>0</v>
      </c>
      <c r="T84" s="60" t="n">
        <v>0</v>
      </c>
      <c r="U84" s="60" t="n">
        <v>0</v>
      </c>
      <c r="V84" s="60">
        <f>-SUMIF('YBN Blank TB'!$T:$T,'YBN HO P&amp;L'!$A84,'YBN Blank TB'!J:J)-SUMIF('YBN HO TB'!$T:$T,'YBN HO P&amp;L'!$A84,'YBN HO TB'!J:J)</f>
        <v/>
      </c>
      <c r="W84" s="60">
        <f>-SUMIF('YBN Blank TB'!$T:$T,'YBN HO P&amp;L'!$A84,'YBN Blank TB'!K:K)-SUMIF('YBN HO TB'!$T:$T,'YBN HO P&amp;L'!$A84,'YBN HO TB'!K:K)</f>
        <v/>
      </c>
      <c r="X84" s="60">
        <f>-SUMIF('YBN Blank TB'!$T:$T,'YBN HO P&amp;L'!$A84,'YBN Blank TB'!L:L)-SUMIF('YBN HO TB'!$T:$T,'YBN HO P&amp;L'!$A84,'YBN HO TB'!L:L)</f>
        <v/>
      </c>
      <c r="Y84" s="60">
        <f>-SUMIF('YBN Blank TB'!$T:$T,'YBN HO P&amp;L'!$A84,'YBN Blank TB'!M:M)-SUMIF('YBN HO TB'!$T:$T,'YBN HO P&amp;L'!$A84,'YBN HO TB'!M:M)</f>
        <v/>
      </c>
      <c r="Z84" s="60">
        <f>-SUMIF('YBN Blank TB'!$T:$T,'YBN HO P&amp;L'!$A84,'YBN Blank TB'!N:N)-SUMIF('YBN HO TB'!$T:$T,'YBN HO P&amp;L'!$A84,'YBN HO TB'!N:N)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48" t="n">
        <v>0</v>
      </c>
      <c r="AJ84" s="148" t="n">
        <v>0</v>
      </c>
      <c r="AK84" s="148" t="n">
        <v>0</v>
      </c>
      <c r="AL84" s="148" t="n">
        <v>0</v>
      </c>
      <c r="AM84" s="148" t="n">
        <v>0</v>
      </c>
      <c r="AN84" s="148" t="n">
        <v>0</v>
      </c>
      <c r="AO84" s="149">
        <f>SUM(AC84:AH84)+SUM(AI84:AN84)</f>
        <v/>
      </c>
      <c r="AP84" s="145">
        <f>IF(AB84&lt;&gt;0,(AO84-AB84)/ABS(AB84),0)</f>
        <v/>
      </c>
    </row>
    <row r="85">
      <c r="A85" s="60" t="inlineStr">
        <is>
          <t>Direct - Premises &amp; Admin</t>
        </is>
      </c>
      <c r="B85" s="18" t="n">
        <v>0</v>
      </c>
      <c r="C85" s="18" t="n">
        <v>0</v>
      </c>
      <c r="D85" s="18" t="n">
        <v>0</v>
      </c>
      <c r="E85" s="18" t="n">
        <v>0</v>
      </c>
      <c r="F85" s="18" t="n">
        <v>-71.98</v>
      </c>
      <c r="G85" s="18" t="n">
        <v>0</v>
      </c>
      <c r="H85" s="18" t="n">
        <v>0</v>
      </c>
      <c r="I85" s="18" t="n">
        <v>0</v>
      </c>
      <c r="J85" s="18" t="n">
        <v>0</v>
      </c>
      <c r="K85" s="18" t="n">
        <v>0</v>
      </c>
      <c r="L85" s="18" t="n">
        <v>0</v>
      </c>
      <c r="M85" s="18" t="n"/>
      <c r="N85" s="8" t="n"/>
      <c r="O85" s="60" t="n">
        <v>0</v>
      </c>
      <c r="P85" s="60" t="n">
        <v>0</v>
      </c>
      <c r="Q85" s="60" t="n">
        <v>0</v>
      </c>
      <c r="R85" s="60" t="n">
        <v>0</v>
      </c>
      <c r="S85" s="60" t="n">
        <v>0</v>
      </c>
      <c r="T85" s="60" t="n">
        <v>0</v>
      </c>
      <c r="U85" s="60" t="n">
        <v>0</v>
      </c>
      <c r="V85" s="60">
        <f>-SUMIF('YBN Blank TB'!$T:$T,'YBN HO P&amp;L'!$A85,'YBN Blank TB'!J:J)-SUMIF('YBN HO TB'!$T:$T,'YBN HO P&amp;L'!$A85,'YBN HO TB'!J:J)</f>
        <v/>
      </c>
      <c r="W85" s="60">
        <f>-SUMIF('YBN Blank TB'!$T:$T,'YBN HO P&amp;L'!$A85,'YBN Blank TB'!K:K)-SUMIF('YBN HO TB'!$T:$T,'YBN HO P&amp;L'!$A85,'YBN HO TB'!K:K)</f>
        <v/>
      </c>
      <c r="X85" s="60">
        <f>-SUMIF('YBN Blank TB'!$T:$T,'YBN HO P&amp;L'!$A85,'YBN Blank TB'!L:L)-SUMIF('YBN HO TB'!$T:$T,'YBN HO P&amp;L'!$A85,'YBN HO TB'!L:L)</f>
        <v/>
      </c>
      <c r="Y85" s="60">
        <f>-SUMIF('YBN Blank TB'!$T:$T,'YBN HO P&amp;L'!$A85,'YBN Blank TB'!M:M)-SUMIF('YBN HO TB'!$T:$T,'YBN HO P&amp;L'!$A85,'YBN HO TB'!M:M)</f>
        <v/>
      </c>
      <c r="Z85" s="60">
        <f>-SUMIF('YBN Blank TB'!$T:$T,'YBN HO P&amp;L'!$A85,'YBN Blank TB'!N:N)-SUMIF('YBN HO TB'!$T:$T,'YBN HO P&amp;L'!$A85,'YBN HO TB'!N:N)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148" t="n">
        <v>0</v>
      </c>
      <c r="AJ85" s="148" t="n">
        <v>0</v>
      </c>
      <c r="AK85" s="148" t="n">
        <v>0</v>
      </c>
      <c r="AL85" s="148" t="n">
        <v>0</v>
      </c>
      <c r="AM85" s="148" t="n">
        <v>0</v>
      </c>
      <c r="AN85" s="148" t="n">
        <v>0</v>
      </c>
      <c r="AO85" s="149">
        <f>SUM(AC85:AH85)+SUM(AI85:AN85)</f>
        <v/>
      </c>
      <c r="AP85" s="145">
        <f>IF(AB85&lt;&gt;0,(AO85-AB85)/ABS(AB85),0)</f>
        <v/>
      </c>
    </row>
    <row r="86">
      <c r="A86" s="60" t="inlineStr">
        <is>
          <t>In-Direct - Staff Cost</t>
        </is>
      </c>
      <c r="B86" s="60" t="n">
        <v>0</v>
      </c>
      <c r="C86" s="60" t="n">
        <v>0</v>
      </c>
      <c r="D86" s="60" t="n">
        <v>0</v>
      </c>
      <c r="E86" s="60" t="n">
        <v>0</v>
      </c>
      <c r="F86" s="60" t="n">
        <v>0</v>
      </c>
      <c r="G86" s="60" t="n">
        <v>0</v>
      </c>
      <c r="H86" s="60" t="n">
        <v>0</v>
      </c>
      <c r="I86" s="60" t="n">
        <v>0</v>
      </c>
      <c r="J86" s="60" t="n">
        <v>0</v>
      </c>
      <c r="K86" s="60" t="n">
        <v>0</v>
      </c>
      <c r="L86" s="60" t="n">
        <v>0</v>
      </c>
      <c r="M86" s="8" t="n"/>
      <c r="N86" s="8" t="n"/>
      <c r="O86" s="60" t="n">
        <v>0</v>
      </c>
      <c r="P86" s="60" t="n">
        <v>0</v>
      </c>
      <c r="Q86" s="60" t="n">
        <v>0</v>
      </c>
      <c r="R86" s="60" t="n">
        <v>0</v>
      </c>
      <c r="S86" s="60" t="n">
        <v>0</v>
      </c>
      <c r="T86" s="60" t="n">
        <v>0</v>
      </c>
      <c r="U86" s="60" t="n">
        <v>0</v>
      </c>
      <c r="V86" s="60">
        <f>-SUMIF('YBN Blank TB'!$T:$T,'YBN HO P&amp;L'!$A86,'YBN Blank TB'!J:J)-SUMIF('YBN HO TB'!$T:$T,'YBN HO P&amp;L'!$A86,'YBN HO TB'!J:J)</f>
        <v/>
      </c>
      <c r="W86" s="60">
        <f>-SUMIF('YBN Blank TB'!$T:$T,'YBN HO P&amp;L'!$A86,'YBN Blank TB'!K:K)-SUMIF('YBN HO TB'!$T:$T,'YBN HO P&amp;L'!$A86,'YBN HO TB'!K:K)</f>
        <v/>
      </c>
      <c r="X86" s="60">
        <f>-SUMIF('YBN Blank TB'!$T:$T,'YBN HO P&amp;L'!$A86,'YBN Blank TB'!L:L)-SUMIF('YBN HO TB'!$T:$T,'YBN HO P&amp;L'!$A86,'YBN HO TB'!L:L)</f>
        <v/>
      </c>
      <c r="Y86" s="60">
        <f>-SUMIF('YBN Blank TB'!$T:$T,'YBN HO P&amp;L'!$A86,'YBN Blank TB'!M:M)-SUMIF('YBN HO TB'!$T:$T,'YBN HO P&amp;L'!$A86,'YBN HO TB'!M:M)</f>
        <v/>
      </c>
      <c r="Z86" s="60">
        <f>-SUMIF('YBN Blank TB'!$T:$T,'YBN HO P&amp;L'!$A86,'YBN Blank TB'!N:N)-SUMIF('YBN HO TB'!$T:$T,'YBN HO P&amp;L'!$A86,'YBN HO TB'!N:N)</f>
        <v/>
      </c>
      <c r="AA86" s="8" t="n"/>
      <c r="AB86" s="8" t="n"/>
      <c r="AC86" s="8" t="n"/>
      <c r="AD86" s="8" t="n"/>
      <c r="AE86" s="8" t="n"/>
      <c r="AF86" s="8" t="n"/>
      <c r="AG86" s="8" t="n"/>
      <c r="AH86" s="8" t="n"/>
      <c r="AI86" s="148" t="n">
        <v>0</v>
      </c>
      <c r="AJ86" s="148" t="n">
        <v>0</v>
      </c>
      <c r="AK86" s="148" t="n">
        <v>0</v>
      </c>
      <c r="AL86" s="148" t="n">
        <v>0</v>
      </c>
      <c r="AM86" s="148" t="n">
        <v>0</v>
      </c>
      <c r="AN86" s="148" t="n">
        <v>0</v>
      </c>
      <c r="AO86" s="149">
        <f>SUM(AC86:AH86)+SUM(AI86:AN86)</f>
        <v/>
      </c>
      <c r="AP86" s="145">
        <f>IF(AB86&lt;&gt;0,(AO86-AB86)/ABS(AB86),0)</f>
        <v/>
      </c>
    </row>
    <row r="87">
      <c r="A87" s="60" t="inlineStr">
        <is>
          <t>In-Direct - Overheads</t>
        </is>
      </c>
      <c r="B87" s="60" t="n">
        <v>-5.95</v>
      </c>
      <c r="C87" s="60" t="n">
        <v>-39.8</v>
      </c>
      <c r="D87" s="60" t="n">
        <v>-7</v>
      </c>
      <c r="E87" s="60" t="n">
        <v>-923.3000000000001</v>
      </c>
      <c r="F87" s="60" t="n">
        <v>-7</v>
      </c>
      <c r="G87" s="60" t="n">
        <v>-5.95</v>
      </c>
      <c r="H87" s="60" t="n">
        <v>-4.680000000000001</v>
      </c>
      <c r="I87" s="60" t="n">
        <v>-7.35</v>
      </c>
      <c r="J87" s="60" t="n">
        <v>-3.5</v>
      </c>
      <c r="K87" s="60" t="n">
        <v>-5.25</v>
      </c>
      <c r="L87" s="60" t="n">
        <v>-3.5</v>
      </c>
      <c r="M87" s="8" t="n"/>
      <c r="N87" s="8" t="n"/>
      <c r="O87" s="60" t="n">
        <v>0</v>
      </c>
      <c r="P87" s="60" t="n">
        <v>0</v>
      </c>
      <c r="Q87" s="60" t="n">
        <v>0</v>
      </c>
      <c r="R87" s="60" t="n">
        <v>0</v>
      </c>
      <c r="S87" s="60" t="n">
        <v>0</v>
      </c>
      <c r="T87" s="60" t="n">
        <v>0</v>
      </c>
      <c r="U87" s="60" t="n">
        <v>0</v>
      </c>
      <c r="V87" s="60">
        <f>-SUMIF('YBN Blank TB'!$T:$T,'YBN HO P&amp;L'!$A87,'YBN Blank TB'!J:J)-SUMIF('YBN HO TB'!$T:$T,'YBN HO P&amp;L'!$A87,'YBN HO TB'!J:J)</f>
        <v/>
      </c>
      <c r="W87" s="60">
        <f>-SUMIF('YBN Blank TB'!$T:$T,'YBN HO P&amp;L'!$A87,'YBN Blank TB'!K:K)-SUMIF('YBN HO TB'!$T:$T,'YBN HO P&amp;L'!$A87,'YBN HO TB'!K:K)</f>
        <v/>
      </c>
      <c r="X87" s="60">
        <f>-SUMIF('YBN Blank TB'!$T:$T,'YBN HO P&amp;L'!$A87,'YBN Blank TB'!L:L)-SUMIF('YBN HO TB'!$T:$T,'YBN HO P&amp;L'!$A87,'YBN HO TB'!L:L)</f>
        <v/>
      </c>
      <c r="Y87" s="60">
        <f>-SUMIF('YBN Blank TB'!$T:$T,'YBN HO P&amp;L'!$A87,'YBN Blank TB'!M:M)-SUMIF('YBN HO TB'!$T:$T,'YBN HO P&amp;L'!$A87,'YBN HO TB'!M:M)</f>
        <v/>
      </c>
      <c r="Z87" s="60">
        <f>-SUMIF('YBN Blank TB'!$T:$T,'YBN HO P&amp;L'!$A87,'YBN Blank TB'!N:N)-SUMIF('YBN HO TB'!$T:$T,'YBN HO P&amp;L'!$A87,'YBN HO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48" t="n">
        <v>0</v>
      </c>
      <c r="AJ87" s="148" t="n">
        <v>0</v>
      </c>
      <c r="AK87" s="148" t="n">
        <v>0</v>
      </c>
      <c r="AL87" s="148" t="n">
        <v>0</v>
      </c>
      <c r="AM87" s="148" t="n">
        <v>0</v>
      </c>
      <c r="AN87" s="148" t="n">
        <v>0</v>
      </c>
      <c r="AO87" s="149">
        <f>SUM(AC87:AH87)+SUM(AI87:AN87)</f>
        <v/>
      </c>
      <c r="AP87" s="145">
        <f>IF(AB87&lt;&gt;0,(AO87-AB87)/ABS(AB87),0)</f>
        <v/>
      </c>
    </row>
    <row r="88" ht="15.75" customHeight="1">
      <c r="A88" s="8" t="n"/>
      <c r="B88" s="67" t="n">
        <v>-5.95</v>
      </c>
      <c r="C88" s="67" t="n">
        <v>-39.8</v>
      </c>
      <c r="D88" s="67" t="n">
        <v>-7</v>
      </c>
      <c r="E88" s="67" t="n">
        <v>-923.3000000000001</v>
      </c>
      <c r="F88" s="67" t="n">
        <v>-78.98</v>
      </c>
      <c r="G88" s="67" t="n">
        <v>-5.95</v>
      </c>
      <c r="H88" s="67" t="n">
        <v>-4.680000000000001</v>
      </c>
      <c r="I88" s="67" t="n">
        <v>-7.35</v>
      </c>
      <c r="J88" s="67" t="n">
        <v>-3.5</v>
      </c>
      <c r="K88" s="67" t="n">
        <v>-5.25</v>
      </c>
      <c r="L88" s="67" t="n">
        <v>-48.5</v>
      </c>
      <c r="M88" s="18" t="n"/>
      <c r="N88" s="8" t="n"/>
      <c r="O88" s="64" t="n">
        <v>0</v>
      </c>
      <c r="P88" s="64" t="n">
        <v>0</v>
      </c>
      <c r="Q88" s="64" t="n">
        <v>0</v>
      </c>
      <c r="R88" s="64" t="n">
        <v>0</v>
      </c>
      <c r="S88" s="64" t="n">
        <v>0</v>
      </c>
      <c r="T88" s="64" t="n">
        <v>0</v>
      </c>
      <c r="U88" s="64" t="n">
        <v>0</v>
      </c>
      <c r="V88" s="64">
        <f>SUM(V82:V87)</f>
        <v/>
      </c>
      <c r="W88" s="64">
        <f>SUM(W82:W87)</f>
        <v/>
      </c>
      <c r="X88" s="64">
        <f>SUM(X82:X87)</f>
        <v/>
      </c>
      <c r="Y88" s="64">
        <f>SUM(Y82:Y87)</f>
        <v/>
      </c>
      <c r="Z88" s="64">
        <f>SUM(Z82:Z87)</f>
        <v/>
      </c>
      <c r="AA88" s="8" t="n"/>
      <c r="AB88" s="8" t="n"/>
      <c r="AC88" s="64" t="n"/>
      <c r="AD88" s="64" t="n"/>
      <c r="AE88" s="64" t="n"/>
      <c r="AF88" s="64" t="n"/>
      <c r="AG88" s="64" t="n"/>
      <c r="AH88" s="64" t="n"/>
      <c r="AI88" s="134" t="n">
        <v>0</v>
      </c>
      <c r="AJ88" s="134" t="n">
        <v>0</v>
      </c>
      <c r="AK88" s="134" t="n">
        <v>0</v>
      </c>
      <c r="AL88" s="134" t="n">
        <v>0</v>
      </c>
      <c r="AM88" s="134" t="n">
        <v>0</v>
      </c>
      <c r="AN88" s="134" t="n">
        <v>0</v>
      </c>
      <c r="AO88" s="150">
        <f>SUM(AC88:AH88)+SUM(AI88:AN88)</f>
        <v/>
      </c>
      <c r="AP88" s="145">
        <f>IF(AB88&lt;&gt;0,(AO88-AB88)/ABS(AB88),0)</f>
        <v/>
      </c>
    </row>
    <row r="89" ht="15.75" customHeight="1">
      <c r="A89" s="8" t="n"/>
      <c r="B89" s="18" t="n">
        <v>0</v>
      </c>
      <c r="C89" s="18" t="n">
        <v>0</v>
      </c>
      <c r="D89" s="18" t="n">
        <v>0</v>
      </c>
      <c r="E89" s="18" t="n">
        <v>0</v>
      </c>
      <c r="F89" s="18" t="n">
        <v>0</v>
      </c>
      <c r="G89" s="18" t="n">
        <v>0</v>
      </c>
      <c r="H89" s="18" t="n">
        <v>0</v>
      </c>
      <c r="I89" s="18" t="n">
        <v>0</v>
      </c>
      <c r="J89" s="18" t="n">
        <v>0</v>
      </c>
      <c r="K89" s="18" t="n">
        <v>0</v>
      </c>
      <c r="L89" s="18" t="n">
        <v>0</v>
      </c>
      <c r="M89" s="18" t="n">
        <v>-708.25</v>
      </c>
      <c r="N89" s="8" t="n"/>
      <c r="O89" s="60" t="n">
        <v>0</v>
      </c>
      <c r="P89" s="60" t="n">
        <v>0</v>
      </c>
      <c r="Q89" s="60" t="n">
        <v>0</v>
      </c>
      <c r="R89" s="60" t="n">
        <v>0</v>
      </c>
      <c r="S89" s="60" t="n">
        <v>0</v>
      </c>
      <c r="T89" s="60" t="n">
        <v>0</v>
      </c>
      <c r="U89" s="60" t="n">
        <v>0</v>
      </c>
      <c r="V89" s="60">
        <f>+V70-V88</f>
        <v/>
      </c>
      <c r="W89" s="60">
        <f>+W70-W88</f>
        <v/>
      </c>
      <c r="X89" s="60">
        <f>+X70-X88</f>
        <v/>
      </c>
      <c r="Y89" s="60">
        <f>+Y70-Y88</f>
        <v/>
      </c>
      <c r="Z89" s="60">
        <f>+Z70-Z88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48" t="n">
        <v>0</v>
      </c>
      <c r="AJ89" s="148" t="n">
        <v>0</v>
      </c>
      <c r="AK89" s="148" t="n">
        <v>0</v>
      </c>
      <c r="AL89" s="148" t="n">
        <v>0</v>
      </c>
      <c r="AM89" s="148" t="n">
        <v>0</v>
      </c>
      <c r="AN89" s="148" t="n">
        <v>0</v>
      </c>
      <c r="AO89" s="149">
        <f>SUM(AC89:AH89)+SUM(AI89:AN89)</f>
        <v/>
      </c>
      <c r="AP89" s="145">
        <f>IF(AB89&lt;&gt;0,(AO89-AB89)/ABS(AB89),0)</f>
        <v/>
      </c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708.25</v>
      </c>
      <c r="N91" s="8" t="n"/>
      <c r="O91" s="60" t="n">
        <v>0</v>
      </c>
      <c r="P91" s="60" t="n">
        <v>0</v>
      </c>
      <c r="Q91" s="60" t="n">
        <v>0</v>
      </c>
      <c r="R91" s="60" t="n">
        <v>0</v>
      </c>
      <c r="S91" s="60" t="n">
        <v>0</v>
      </c>
      <c r="T91" s="60" t="n">
        <v>0</v>
      </c>
      <c r="U91" s="60" t="n">
        <v>0</v>
      </c>
      <c r="V91" s="60">
        <f>V88+V92</f>
        <v/>
      </c>
      <c r="W91" s="60">
        <f>W88+W92</f>
        <v/>
      </c>
      <c r="X91" s="60">
        <f>X88+X92</f>
        <v/>
      </c>
      <c r="Y91" s="60">
        <f>Y88+Y92</f>
        <v/>
      </c>
      <c r="Z91" s="60">
        <f>Z88+Z92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48" t="n">
        <v>0</v>
      </c>
      <c r="AJ91" s="148" t="n">
        <v>0</v>
      </c>
      <c r="AK91" s="148" t="n">
        <v>0</v>
      </c>
      <c r="AL91" s="148" t="n">
        <v>0</v>
      </c>
      <c r="AM91" s="148" t="n">
        <v>0</v>
      </c>
      <c r="AN91" s="148" t="n">
        <v>0</v>
      </c>
      <c r="AO91" s="149">
        <f>SUM(AC91:AH91)+SUM(AI91:AN91)</f>
        <v/>
      </c>
      <c r="AP91" s="145">
        <f>IF(AB91&lt;&gt;0,(AO91-AB91)/ABS(AB91),0)</f>
        <v/>
      </c>
    </row>
    <row r="92">
      <c r="A92" s="8" t="n"/>
      <c r="B92" s="18" t="n">
        <v>5.95</v>
      </c>
      <c r="C92" s="18" t="n">
        <v>39.8</v>
      </c>
      <c r="D92" s="18" t="n">
        <v>7</v>
      </c>
      <c r="E92" s="18" t="n">
        <v>923.3000000000001</v>
      </c>
      <c r="F92" s="18" t="n">
        <v>78.98</v>
      </c>
      <c r="G92" s="18" t="n">
        <v>5.95</v>
      </c>
      <c r="H92" s="18" t="n">
        <v>4.680000000000001</v>
      </c>
      <c r="I92" s="18" t="n">
        <v>7.35</v>
      </c>
      <c r="J92" s="18" t="n">
        <v>3.5</v>
      </c>
      <c r="K92" s="18" t="n">
        <v>5.25</v>
      </c>
      <c r="L92" s="18" t="n">
        <v>48.5</v>
      </c>
      <c r="M92" s="18" t="n">
        <v>708.25</v>
      </c>
      <c r="N92" s="8" t="n"/>
      <c r="O92" s="60" t="n">
        <v>0</v>
      </c>
      <c r="P92" s="60" t="n">
        <v>0</v>
      </c>
      <c r="Q92" s="60" t="n">
        <v>0</v>
      </c>
      <c r="R92" s="60" t="n">
        <v>0</v>
      </c>
      <c r="S92" s="60" t="n">
        <v>0</v>
      </c>
      <c r="T92" s="60" t="n">
        <v>0</v>
      </c>
      <c r="U92" s="60" t="n">
        <v>0</v>
      </c>
      <c r="V92" s="60">
        <f>SUM('YBN Blank TB'!J2:J36)+SUM('YBN HO TB'!J2:J43)</f>
        <v/>
      </c>
      <c r="W92" s="60">
        <f>SUM('YBN Blank TB'!K2:K36)+SUM('YBN HO TB'!K2:K43)</f>
        <v/>
      </c>
      <c r="X92" s="60">
        <f>SUM('YBN Blank TB'!L2:L36)+SUM('YBN HO TB'!L2:L43)</f>
        <v/>
      </c>
      <c r="Y92" s="60">
        <f>SUM('YBN Blank TB'!M2:M36)+SUM('YBN HO TB'!M2:M43)</f>
        <v/>
      </c>
      <c r="Z92" s="60">
        <f>SUM('YBN Blank TB'!N2:N36)+SUM('YBN HO TB'!N2:N43)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48" t="n">
        <v>0</v>
      </c>
      <c r="AJ92" s="148" t="n">
        <v>0</v>
      </c>
      <c r="AK92" s="148" t="n">
        <v>0</v>
      </c>
      <c r="AL92" s="148" t="n">
        <v>0</v>
      </c>
      <c r="AM92" s="148" t="n">
        <v>0</v>
      </c>
      <c r="AN92" s="148" t="n">
        <v>0</v>
      </c>
      <c r="AO92" s="149">
        <f>SUM(AC92:AH92)+SUM(AI92:AN92)</f>
        <v/>
      </c>
      <c r="AP92" s="145">
        <f>IF(AB92&lt;&gt;0,(AO92-AB92)/ABS(AB92),0)</f>
        <v/>
      </c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3.5703125" customWidth="1" min="2" max="2"/>
    <col width="11" customWidth="1" min="3" max="3"/>
    <col width="12" customWidth="1" min="4" max="4"/>
    <col width="11.5703125" customWidth="1" min="5" max="5"/>
    <col width="11.140625" customWidth="1" min="6" max="6"/>
    <col width="12" customWidth="1" min="7" max="7"/>
    <col width="11" customWidth="1" min="9" max="9"/>
    <col width="11.7109375" customWidth="1" min="10" max="10"/>
    <col width="11" customWidth="1" min="11" max="11"/>
    <col width="12" customWidth="1" min="12" max="12"/>
    <col width="18.28515625" customWidth="1" min="14" max="14"/>
    <col width="13.7109375" customWidth="1" min="15" max="15"/>
    <col width="12.85546875" customWidth="1" min="22" max="22"/>
    <col width="11.7109375" customWidth="1" min="23" max="23"/>
    <col width="12.85546875" customWidth="1" min="26" max="26"/>
    <col width="14.28515625" customWidth="1" min="27" max="27"/>
    <col width="14.42578125" customWidth="1" min="28" max="28"/>
    <col width="12.85546875" customWidth="1" min="30" max="30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Group Totals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83" t="n"/>
      <c r="W1" s="83" t="n"/>
      <c r="X1" s="83" t="n"/>
      <c r="Y1" s="83" t="n"/>
      <c r="Z1" s="83" t="n"/>
      <c r="AA1" s="6" t="n"/>
      <c r="AB1" s="6" t="n"/>
      <c r="AC1" s="84" t="n">
        <v>2027</v>
      </c>
      <c r="AD1" s="83" t="inlineStr">
        <is>
          <t>NOT COMPLETED - STRETCHED FUNDING INCOMING- NEEDS REVIEW</t>
        </is>
      </c>
      <c r="AE1" s="83" t="n"/>
      <c r="AF1" s="83" t="n"/>
      <c r="AG1" s="83" t="n"/>
      <c r="AH1" s="83" t="n"/>
      <c r="AI1" s="110" t="inlineStr">
        <is>
          <t>2027 PLAN — Jul to Dec (yellow = editable)</t>
        </is>
      </c>
    </row>
    <row r="2" ht="30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2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5" t="inlineStr">
        <is>
          <t>vs 2026
Outlook</t>
        </is>
      </c>
      <c r="AQ2" s="116" t="inlineStr">
        <is>
          <t>vs £1.3m
Target</t>
        </is>
      </c>
    </row>
    <row r="3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19" t="n"/>
      <c r="AN3" s="8" t="n"/>
      <c r="AO3" s="89" t="n"/>
      <c r="AP3" s="89" t="n"/>
    </row>
    <row r="4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4" t="n"/>
      <c r="AN4" s="25" t="n"/>
      <c r="AO4" s="90" t="n"/>
      <c r="AP4" s="90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4" t="n"/>
      <c r="AN5" s="25" t="n"/>
      <c r="AO5" s="90" t="n"/>
      <c r="AP5" s="90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0" t="n"/>
      <c r="AN6" s="31" t="n"/>
      <c r="AO6" s="91" t="n"/>
      <c r="AP6" s="91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4" t="n"/>
      <c r="AN7" s="25" t="n"/>
      <c r="AO7" s="90" t="n"/>
      <c r="AP7" s="90" t="n"/>
    </row>
    <row r="8">
      <c r="A8" s="34" t="inlineStr">
        <is>
          <t>Fee Income Regular</t>
        </is>
      </c>
      <c r="B8" s="35" t="n">
        <v>647715.77</v>
      </c>
      <c r="C8" s="35" t="n">
        <v>594448.1800000001</v>
      </c>
      <c r="D8" s="35" t="n">
        <v>695801.55</v>
      </c>
      <c r="E8" s="35" t="n">
        <v>784658.2799999998</v>
      </c>
      <c r="F8" s="35" t="n">
        <v>675656.28</v>
      </c>
      <c r="G8" s="35" t="n">
        <v>654597.29</v>
      </c>
      <c r="H8" s="35" t="n">
        <v>849228.45</v>
      </c>
      <c r="I8" s="35" t="n">
        <v>716505.1899999999</v>
      </c>
      <c r="J8" s="35" t="n">
        <v>551179.66</v>
      </c>
      <c r="K8" s="35" t="n">
        <v>547817.34</v>
      </c>
      <c r="L8" s="35" t="n">
        <v>484059.63</v>
      </c>
      <c r="M8" s="35" t="n">
        <v>655079.4399999999</v>
      </c>
      <c r="N8" s="36">
        <f>SUM(B8:M8)</f>
        <v/>
      </c>
      <c r="O8" s="37">
        <f>'ABA'!O8+'BK'!O8+'BW'!O8+'CED'!O8+'HAB'!O8+'HB'!O8+'OD'!O8+'HDN'!O8+'KIN'!O8+'LE'!O8+'MER'!O8+'NDN'!O8+'SALT'!O8+'SDN'!O8+'SST'!O8+'WH'!O8+'FH'!O8+'KNL HO'!O8+'CCL HO'!O8+'YBHN HO'!O8+'YBN HO'!O8</f>
        <v/>
      </c>
      <c r="P8" s="37">
        <f>'ABA'!P8+'BK'!P8+'BW'!P8+'CED'!P8+'HAB'!P8+'HB'!P8+'OD'!P8+'HDN'!P8+'KIN'!P8+'LE'!P8+'MER'!P8+'NDN'!P8+'SALT'!P8+'SDN'!P8+'SST'!P8+'WH'!P8+'FH'!P8+'KNL HO'!P8+'CCL HO'!P8+'YBHN HO'!P8+'YBN HO'!P8</f>
        <v/>
      </c>
      <c r="Q8" s="37">
        <f>'ABA'!Q8+'BK'!Q8+'BW'!Q8+'CED'!Q8+'HAB'!Q8+'HB'!Q8+'OD'!Q8+'HDN'!Q8+'KIN'!Q8+'LE'!Q8+'MER'!Q8+'NDN'!Q8+'SALT'!Q8+'SDN'!Q8+'SST'!Q8+'WH'!Q8+'FH'!Q8+'KNL HO'!Q8+'CCL HO'!Q8+'YBHN HO'!Q8+'YBN HO'!Q8</f>
        <v/>
      </c>
      <c r="R8" s="37">
        <f>'ABA'!R8+'BK'!R8+'BW'!R8+'CED'!R8+'HAB'!R8+'HB'!R8+'OD'!R8+'HDN'!R8+'KIN'!R8+'LE'!R8+'MER'!R8+'NDN'!R8+'SALT'!R8+'SDN'!R8+'SST'!R8+'WH'!R8+'FH'!R8+'KNL HO'!R8+'CCL HO'!R8+'YBHN HO'!R8+'YBN HO'!R8</f>
        <v/>
      </c>
      <c r="S8" s="37">
        <f>'ABA'!S8+'BK'!S8+'BW'!S8+'CED'!S8+'HAB'!S8+'HB'!S8+'OD'!S8+'HDN'!S8+'KIN'!S8+'LE'!S8+'MER'!S8+'NDN'!S8+'SALT'!S8+'SDN'!S8+'SST'!S8+'WH'!S8+'FH'!S8+'KNL HO'!S8+'CCL HO'!S8+'YBHN HO'!S8+'YBN HO'!S8</f>
        <v/>
      </c>
      <c r="T8" s="37">
        <f>'ABA'!T8+'BK'!T8+'BW'!T8+'CED'!T8+'HAB'!T8+'HB'!T8+'OD'!T8+'HDN'!T8+'KIN'!T8+'LE'!T8+'MER'!T8+'NDN'!T8+'SALT'!T8+'SDN'!T8+'SST'!T8+'WH'!T8+'FH'!T8+'KNL HO'!T8+'CCL HO'!T8+'YBHN HO'!T8+'YBN HO'!T8</f>
        <v/>
      </c>
      <c r="U8" s="37">
        <f>'ABA'!U8+'BK'!U8+'BW'!U8+'CED'!U8+'HAB'!U8+'HB'!U8+'OD'!U8+'HDN'!U8+'KIN'!U8+'LE'!U8+'MER'!U8+'NDN'!U8+'SALT'!U8+'SDN'!U8+'SST'!U8+'WH'!U8+'FH'!U8+'KNL HO'!U8+'CCL HO'!U8+'YBHN HO'!U8+'YBN HO'!U8</f>
        <v/>
      </c>
      <c r="V8" s="38">
        <f>'KNL HO'!V8+'CCL GROUP P&amp;L'!V8+'YBHN GROUP P&amp;L'!V8+'YBN Group P&amp;L'!V8+'HAB'!V8+'Moe2 P&amp;L'!V8</f>
        <v/>
      </c>
      <c r="W8" s="38">
        <f>'KNL HO'!W8+'CCL GROUP P&amp;L'!W8+'YBHN GROUP P&amp;L'!W8+'YBN Group P&amp;L'!W8+'HAB'!W8+'Moe2 P&amp;L'!W8</f>
        <v/>
      </c>
      <c r="X8" s="38">
        <f>'KNL HO'!X8+'CCL GROUP P&amp;L'!X8+'YBHN GROUP P&amp;L'!X8+'YBN Group P&amp;L'!X8+'HAB'!X8+'Moe2 P&amp;L'!X8</f>
        <v/>
      </c>
      <c r="Y8" s="38">
        <f>'KNL HO'!Y8+'CCL GROUP P&amp;L'!Y8+'YBHN GROUP P&amp;L'!Y8+'YBN Group P&amp;L'!Y8+'HAB'!Y8+'Moe2 P&amp;L'!Y8</f>
        <v/>
      </c>
      <c r="Z8" s="38">
        <f>'KNL HO'!Z8+'CCL GROUP P&amp;L'!Z8+'YBHN GROUP P&amp;L'!Z8+'YBN Group P&amp;L'!Z8+'HAB'!Z8+'Moe2 P&amp;L'!Z8</f>
        <v/>
      </c>
      <c r="AA8" s="36">
        <f>SUM(O8:U8)</f>
        <v/>
      </c>
      <c r="AB8" s="36">
        <f>SUM(O8:Z8)</f>
        <v/>
      </c>
      <c r="AC8" s="38">
        <f>'KNL HO'!AC8+'CCL GROUP P&amp;L'!AC8+'YBHN GROUP P&amp;L'!AC8+'YBN Group P&amp;L'!AC8+'HAB'!AC8+'Moe2 P&amp;L'!AC8</f>
        <v/>
      </c>
      <c r="AD8" s="38">
        <f>'KNL HO'!AD8+'CCL GROUP P&amp;L'!AD8+'YBHN GROUP P&amp;L'!AD8+'YBN Group P&amp;L'!AD8+'HAB'!AD8+'Moe2 P&amp;L'!AD8</f>
        <v/>
      </c>
      <c r="AE8" s="38">
        <f>'KNL HO'!AE8+'CCL GROUP P&amp;L'!AE8+'YBHN GROUP P&amp;L'!AE8+'YBN Group P&amp;L'!AE8+'HAB'!AE8+'Moe2 P&amp;L'!AE8</f>
        <v/>
      </c>
      <c r="AF8" s="38">
        <f>'KNL HO'!AF8+'CCL GROUP P&amp;L'!AF8+'YBHN GROUP P&amp;L'!AF8+'YBN Group P&amp;L'!AF8+'HAB'!AF8+'Moe2 P&amp;L'!AF8</f>
        <v/>
      </c>
      <c r="AG8" s="38">
        <f>'KNL HO'!AG8+'CCL GROUP P&amp;L'!AG8+'YBHN GROUP P&amp;L'!AG8+'YBN Group P&amp;L'!AG8+'HAB'!AG8+'Moe2 P&amp;L'!AG8</f>
        <v/>
      </c>
      <c r="AH8" s="38">
        <f>'KNL HO'!AH8+'CCL GROUP P&amp;L'!AH8+'YBHN GROUP P&amp;L'!AH8+'YBN Group P&amp;L'!AH8+'HAB'!AH8+'Moe2 P&amp;L'!AH8</f>
        <v/>
      </c>
      <c r="AI8" s="137">
        <f>'KNL GROUP P&amp;L'!AI8+'CCL GROUP P&amp;L'!AI8+'YBHN GROUP P&amp;L'!AI8+'YBN Group P&amp;L'!AI8+'HAB P&amp;L'!AI8+'Moe2 P&amp;L'!AI8</f>
        <v/>
      </c>
      <c r="AJ8" s="138">
        <f>'KNL GROUP P&amp;L'!AJ8+'CCL GROUP P&amp;L'!AJ8+'YBHN GROUP P&amp;L'!AJ8+'YBN Group P&amp;L'!AJ8+'HAB P&amp;L'!AJ8+'Moe2 P&amp;L'!AJ8</f>
        <v/>
      </c>
      <c r="AK8" s="138">
        <f>'KNL GROUP P&amp;L'!AK8+'CCL GROUP P&amp;L'!AK8+'YBHN GROUP P&amp;L'!AK8+'YBN Group P&amp;L'!AK8+'HAB P&amp;L'!AK8+'Moe2 P&amp;L'!AK8</f>
        <v/>
      </c>
      <c r="AL8" s="138">
        <f>'KNL GROUP P&amp;L'!AL8+'CCL GROUP P&amp;L'!AL8+'YBHN GROUP P&amp;L'!AL8+'YBN Group P&amp;L'!AL8+'HAB P&amp;L'!AL8+'Moe2 P&amp;L'!AL8</f>
        <v/>
      </c>
      <c r="AM8" s="138">
        <f>'KNL GROUP P&amp;L'!AM8+'CCL GROUP P&amp;L'!AM8+'YBHN GROUP P&amp;L'!AM8+'YBN Group P&amp;L'!AM8+'HAB P&amp;L'!AM8+'Moe2 P&amp;L'!AM8</f>
        <v/>
      </c>
      <c r="AN8" s="137">
        <f>'KNL GROUP P&amp;L'!AN8+'CCL GROUP P&amp;L'!AN8+'YBHN GROUP P&amp;L'!AN8+'YBN Group P&amp;L'!AN8+'HAB P&amp;L'!AN8+'Moe2 P&amp;L'!AN8</f>
        <v/>
      </c>
      <c r="AO8" s="120">
        <f>SUM(AC8:AH8)+SUM(AI8:AN8)</f>
        <v/>
      </c>
      <c r="AP8" s="121">
        <f>IF(AB8&lt;&gt;0,(AO8-AB8)/ABS(AB8),0)</f>
        <v/>
      </c>
    </row>
    <row r="9">
      <c r="A9" s="34" t="inlineStr">
        <is>
          <t>EEEF Embeded</t>
        </is>
      </c>
      <c r="B9" s="35" t="n">
        <v>212506</v>
      </c>
      <c r="C9" s="35" t="n">
        <v>307925.86</v>
      </c>
      <c r="D9" s="35" t="n">
        <v>375959.43</v>
      </c>
      <c r="E9" s="35" t="n">
        <v>178590.14</v>
      </c>
      <c r="F9" s="35" t="n">
        <v>178590.06</v>
      </c>
      <c r="G9" s="35" t="n">
        <v>323527.77</v>
      </c>
      <c r="H9" s="35" t="n">
        <v>437878.41</v>
      </c>
      <c r="I9" s="35" t="n">
        <v>0</v>
      </c>
      <c r="J9" s="35" t="n">
        <v>209701.09</v>
      </c>
      <c r="K9" s="35" t="n">
        <v>247373.69</v>
      </c>
      <c r="L9" s="35" t="n">
        <v>461711.13</v>
      </c>
      <c r="M9" s="35" t="n">
        <v>507534.39</v>
      </c>
      <c r="N9" s="36">
        <f>SUM(B9:M9)</f>
        <v/>
      </c>
      <c r="O9" s="37">
        <f>'ABA'!O9+'BK'!O9+'BW'!O9+'CED'!O9+'HAB'!O9+'HB'!O9+'OD'!O9+'HDN'!O9+'KIN'!O9+'LE'!O9+'MER'!O9+'NDN'!O9+'SALT'!O9+'SDN'!O9+'SST'!O9+'WH'!O9+'FH'!O9+'KNL HO'!O9+'CCL HO'!O9+'YBHN HO'!O9+'YBN HO'!O9</f>
        <v/>
      </c>
      <c r="P9" s="37">
        <f>'ABA'!P9+'BK'!P9+'BW'!P9+'CED'!P9+'HAB'!P9+'HB'!P9+'OD'!P9+'HDN'!P9+'KIN'!P9+'LE'!P9+'MER'!P9+'NDN'!P9+'SALT'!P9+'SDN'!P9+'SST'!P9+'WH'!P9+'FH'!P9+'KNL HO'!P9+'CCL HO'!P9+'YBHN HO'!P9+'YBN HO'!P9</f>
        <v/>
      </c>
      <c r="Q9" s="37">
        <f>'ABA'!Q9+'BK'!Q9+'BW'!Q9+'CED'!Q9+'HAB'!Q9+'HB'!Q9+'OD'!Q9+'HDN'!Q9+'KIN'!Q9+'LE'!Q9+'MER'!Q9+'NDN'!Q9+'SALT'!Q9+'SDN'!Q9+'SST'!Q9+'WH'!Q9+'FH'!Q9+'KNL HO'!Q9+'CCL HO'!Q9+'YBHN HO'!Q9+'YBN HO'!Q9</f>
        <v/>
      </c>
      <c r="R9" s="37">
        <f>'ABA'!R9+'BK'!R9+'BW'!R9+'CED'!R9+'HAB'!R9+'HB'!R9+'OD'!R9+'HDN'!R9+'KIN'!R9+'LE'!R9+'MER'!R9+'NDN'!R9+'SALT'!R9+'SDN'!R9+'SST'!R9+'WH'!R9+'FH'!R9+'KNL HO'!R9+'CCL HO'!R9+'YBHN HO'!R9+'YBN HO'!R9</f>
        <v/>
      </c>
      <c r="S9" s="37">
        <f>'ABA'!S9+'BK'!S9+'BW'!S9+'CED'!S9+'HAB'!S9+'HB'!S9+'OD'!S9+'HDN'!S9+'KIN'!S9+'LE'!S9+'MER'!S9+'NDN'!S9+'SALT'!S9+'SDN'!S9+'SST'!S9+'WH'!S9+'FH'!S9+'KNL HO'!S9+'CCL HO'!S9+'YBHN HO'!S9+'YBN HO'!S9</f>
        <v/>
      </c>
      <c r="T9" s="37">
        <f>'ABA'!T9+'BK'!T9+'BW'!T9+'CED'!T9+'HAB'!T9+'HB'!T9+'OD'!T9+'HDN'!T9+'KIN'!T9+'LE'!T9+'MER'!T9+'NDN'!T9+'SALT'!T9+'SDN'!T9+'SST'!T9+'WH'!T9+'FH'!T9+'KNL HO'!T9+'CCL HO'!T9+'YBHN HO'!T9+'YBN HO'!T9</f>
        <v/>
      </c>
      <c r="U9" s="37">
        <f>'ABA'!U9+'BK'!U9+'BW'!U9+'CED'!U9+'HAB'!U9+'HB'!U9+'OD'!U9+'HDN'!U9+'KIN'!U9+'LE'!U9+'MER'!U9+'NDN'!U9+'SALT'!U9+'SDN'!U9+'SST'!U9+'WH'!U9+'FH'!U9+'KNL HO'!U9+'CCL HO'!U9+'YBHN HO'!U9+'YBN HO'!U9</f>
        <v/>
      </c>
      <c r="V9" s="38">
        <f>'KNL HO'!V9+'CCL GROUP P&amp;L'!V9+'YBHN GROUP P&amp;L'!V9+'YBN Group P&amp;L'!V9+'HAB'!V9+'Moe2 P&amp;L'!V9</f>
        <v/>
      </c>
      <c r="W9" s="38">
        <f>'KNL HO'!W9+'CCL GROUP P&amp;L'!W9+'YBHN GROUP P&amp;L'!W9+'YBN Group P&amp;L'!W9+'HAB'!W9+'Moe2 P&amp;L'!W9</f>
        <v/>
      </c>
      <c r="X9" s="38">
        <f>'KNL HO'!X9+'CCL GROUP P&amp;L'!X9+'YBHN GROUP P&amp;L'!X9+'YBN Group P&amp;L'!X9+'HAB'!X9+'Moe2 P&amp;L'!X9</f>
        <v/>
      </c>
      <c r="Y9" s="38">
        <f>'KNL HO'!Y9+'CCL GROUP P&amp;L'!Y9+'YBHN GROUP P&amp;L'!Y9+'YBN Group P&amp;L'!Y9+'HAB'!Y9+'Moe2 P&amp;L'!Y9</f>
        <v/>
      </c>
      <c r="Z9" s="38">
        <f>'KNL HO'!Z9+'CCL GROUP P&amp;L'!Z9+'YBHN GROUP P&amp;L'!Z9+'YBN Group P&amp;L'!Z9+'HAB'!Z9+'Moe2 P&amp;L'!Z9</f>
        <v/>
      </c>
      <c r="AA9" s="36">
        <f>SUM(O9:U9)</f>
        <v/>
      </c>
      <c r="AB9" s="36">
        <f>SUM(O9:Z9)</f>
        <v/>
      </c>
      <c r="AC9" s="38">
        <f>'KNL HO'!AC9+'CCL GROUP P&amp;L'!AC9+'YBHN GROUP P&amp;L'!AC9+'YBN Group P&amp;L'!AC9+'HAB'!AC9+'Moe2 P&amp;L'!AC9</f>
        <v/>
      </c>
      <c r="AD9" s="38">
        <f>'KNL HO'!AD9+'CCL GROUP P&amp;L'!AD9+'YBHN GROUP P&amp;L'!AD9+'YBN Group P&amp;L'!AD9+'HAB'!AD9+'Moe2 P&amp;L'!AD9</f>
        <v/>
      </c>
      <c r="AE9" s="38">
        <f>'KNL HO'!AE9+'CCL GROUP P&amp;L'!AE9+'YBHN GROUP P&amp;L'!AE9+'YBN Group P&amp;L'!AE9+'HAB'!AE9+'Moe2 P&amp;L'!AE9</f>
        <v/>
      </c>
      <c r="AF9" s="38">
        <f>'KNL HO'!AF9+'CCL GROUP P&amp;L'!AF9+'YBHN GROUP P&amp;L'!AF9+'YBN Group P&amp;L'!AF9+'HAB'!AF9+'Moe2 P&amp;L'!AF9</f>
        <v/>
      </c>
      <c r="AG9" s="38">
        <f>'KNL HO'!AG9+'CCL GROUP P&amp;L'!AG9+'YBHN GROUP P&amp;L'!AG9+'YBN Group P&amp;L'!AG9+'HAB'!AG9+'Moe2 P&amp;L'!AG9</f>
        <v/>
      </c>
      <c r="AH9" s="38">
        <f>'KNL HO'!AH9+'CCL GROUP P&amp;L'!AH9+'YBHN GROUP P&amp;L'!AH9+'YBN Group P&amp;L'!AH9+'HAB'!AH9+'Moe2 P&amp;L'!AH9</f>
        <v/>
      </c>
      <c r="AI9" s="137">
        <f>'KNL GROUP P&amp;L'!AI9+'CCL GROUP P&amp;L'!AI9+'YBHN GROUP P&amp;L'!AI9+'YBN Group P&amp;L'!AI9+'HAB P&amp;L'!AI9+'Moe2 P&amp;L'!AI9</f>
        <v/>
      </c>
      <c r="AJ9" s="138">
        <f>'KNL GROUP P&amp;L'!AJ9+'CCL GROUP P&amp;L'!AJ9+'YBHN GROUP P&amp;L'!AJ9+'YBN Group P&amp;L'!AJ9+'HAB P&amp;L'!AJ9+'Moe2 P&amp;L'!AJ9</f>
        <v/>
      </c>
      <c r="AK9" s="138">
        <f>'KNL GROUP P&amp;L'!AK9+'CCL GROUP P&amp;L'!AK9+'YBHN GROUP P&amp;L'!AK9+'YBN Group P&amp;L'!AK9+'HAB P&amp;L'!AK9+'Moe2 P&amp;L'!AK9</f>
        <v/>
      </c>
      <c r="AL9" s="138">
        <f>'KNL GROUP P&amp;L'!AL9+'CCL GROUP P&amp;L'!AL9+'YBHN GROUP P&amp;L'!AL9+'YBN Group P&amp;L'!AL9+'HAB P&amp;L'!AL9+'Moe2 P&amp;L'!AL9</f>
        <v/>
      </c>
      <c r="AM9" s="138">
        <f>'KNL GROUP P&amp;L'!AM9+'CCL GROUP P&amp;L'!AM9+'YBHN GROUP P&amp;L'!AM9+'YBN Group P&amp;L'!AM9+'HAB P&amp;L'!AM9+'Moe2 P&amp;L'!AM9</f>
        <v/>
      </c>
      <c r="AN9" s="137">
        <f>'KNL GROUP P&amp;L'!AN9+'CCL GROUP P&amp;L'!AN9+'YBHN GROUP P&amp;L'!AN9+'YBN Group P&amp;L'!AN9+'HAB P&amp;L'!AN9+'Moe2 P&amp;L'!AN9</f>
        <v/>
      </c>
      <c r="AO9" s="120">
        <f>SUM(AC9:AH9)+SUM(AI9:AN9)</f>
        <v/>
      </c>
      <c r="AP9" s="121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2306.25</v>
      </c>
      <c r="C10" s="35" t="n">
        <v>950</v>
      </c>
      <c r="D10" s="35" t="n">
        <v>1785</v>
      </c>
      <c r="E10" s="35" t="n">
        <v>2573.34</v>
      </c>
      <c r="F10" s="35" t="n">
        <v>1650</v>
      </c>
      <c r="G10" s="35" t="n">
        <v>3786.01</v>
      </c>
      <c r="H10" s="35" t="n">
        <v>2072.69</v>
      </c>
      <c r="I10" s="35" t="n">
        <v>48269.93</v>
      </c>
      <c r="J10" s="35" t="n">
        <v>2050.57</v>
      </c>
      <c r="K10" s="35" t="n">
        <v>1175</v>
      </c>
      <c r="L10" s="35" t="n">
        <v>1780.24</v>
      </c>
      <c r="M10" s="35" t="n">
        <v>5624.13</v>
      </c>
      <c r="N10" s="36">
        <f>SUM(B10:M10)</f>
        <v/>
      </c>
      <c r="O10" s="37">
        <f>'ABA'!O10+'BK'!O10+'BW'!O10+'CED'!O10+'HAB'!O10+'HB'!O10+'OD'!O10+'HDN'!O10+'KIN'!O10+'LE'!O10+'MER'!O10+'NDN'!O10+'SALT'!O10+'SDN'!O10+'SST'!O10+'WH'!O10+'FH'!O10+'KNL HO'!O10+'CCL HO'!O10+'YBHN HO'!O10+'YBN HO'!O10</f>
        <v/>
      </c>
      <c r="P10" s="37">
        <f>'ABA'!P10+'BK'!P10+'BW'!P10+'CED'!P10+'HAB'!P10+'HB'!P10+'OD'!P10+'HDN'!P10+'KIN'!P10+'LE'!P10+'MER'!P10+'NDN'!P10+'SALT'!P10+'SDN'!P10+'SST'!P10+'WH'!P10+'FH'!P10+'KNL HO'!P10+'CCL HO'!P10+'YBHN HO'!P10+'YBN HO'!P10</f>
        <v/>
      </c>
      <c r="Q10" s="37">
        <f>'ABA'!Q10+'BK'!Q10+'BW'!Q10+'CED'!Q10+'HAB'!Q10+'HB'!Q10+'OD'!Q10+'HDN'!Q10+'KIN'!Q10+'LE'!Q10+'MER'!Q10+'NDN'!Q10+'SALT'!Q10+'SDN'!Q10+'SST'!Q10+'WH'!Q10+'FH'!Q10+'KNL HO'!Q10+'CCL HO'!Q10+'YBHN HO'!Q10+'YBN HO'!Q10</f>
        <v/>
      </c>
      <c r="R10" s="37">
        <f>'ABA'!R10+'BK'!R10+'BW'!R10+'CED'!R10+'HAB'!R10+'HB'!R10+'OD'!R10+'HDN'!R10+'KIN'!R10+'LE'!R10+'MER'!R10+'NDN'!R10+'SALT'!R10+'SDN'!R10+'SST'!R10+'WH'!R10+'FH'!R10+'KNL HO'!R10+'CCL HO'!R10+'YBHN HO'!R10+'YBN HO'!R10</f>
        <v/>
      </c>
      <c r="S10" s="37">
        <f>'ABA'!S10+'BK'!S10+'BW'!S10+'CED'!S10+'HAB'!S10+'HB'!S10+'OD'!S10+'HDN'!S10+'KIN'!S10+'LE'!S10+'MER'!S10+'NDN'!S10+'SALT'!S10+'SDN'!S10+'SST'!S10+'WH'!S10+'FH'!S10+'KNL HO'!S10+'CCL HO'!S10+'YBHN HO'!S10+'YBN HO'!S10</f>
        <v/>
      </c>
      <c r="T10" s="37">
        <f>'ABA'!T10+'BK'!T10+'BW'!T10+'CED'!T10+'HAB'!T10+'HB'!T10+'OD'!T10+'HDN'!T10+'KIN'!T10+'LE'!T10+'MER'!T10+'NDN'!T10+'SALT'!T10+'SDN'!T10+'SST'!T10+'WH'!T10+'FH'!T10+'KNL HO'!T10+'CCL HO'!T10+'YBHN HO'!T10+'YBN HO'!T10</f>
        <v/>
      </c>
      <c r="U10" s="37">
        <f>'ABA'!U10+'BK'!U10+'BW'!U10+'CED'!U10+'HAB'!U10+'HB'!U10+'OD'!U10+'HDN'!U10+'KIN'!U10+'LE'!U10+'MER'!U10+'NDN'!U10+'SALT'!U10+'SDN'!U10+'SST'!U10+'WH'!U10+'FH'!U10+'KNL HO'!U10+'CCL HO'!U10+'YBHN HO'!U10+'YBN HO'!U10</f>
        <v/>
      </c>
      <c r="V10" s="38">
        <f>'KNL HO'!V10+'CCL GROUP P&amp;L'!V10+'YBHN GROUP P&amp;L'!V10+'YBN Group P&amp;L'!V10+'HAB'!V10+'Moe2 P&amp;L'!V10</f>
        <v/>
      </c>
      <c r="W10" s="38">
        <f>'KNL HO'!W10+'CCL GROUP P&amp;L'!W10+'YBHN GROUP P&amp;L'!W10+'YBN Group P&amp;L'!W10+'HAB'!W10+'Moe2 P&amp;L'!W10</f>
        <v/>
      </c>
      <c r="X10" s="38">
        <f>'KNL HO'!X10+'CCL GROUP P&amp;L'!X10+'YBHN GROUP P&amp;L'!X10+'YBN Group P&amp;L'!X10+'HAB'!X10+'Moe2 P&amp;L'!X10</f>
        <v/>
      </c>
      <c r="Y10" s="38">
        <f>'KNL HO'!Y10+'CCL GROUP P&amp;L'!Y10+'YBHN GROUP P&amp;L'!Y10+'YBN Group P&amp;L'!Y10+'HAB'!Y10+'Moe2 P&amp;L'!Y10</f>
        <v/>
      </c>
      <c r="Z10" s="38">
        <f>'KNL HO'!Z10+'CCL GROUP P&amp;L'!Z10+'YBHN GROUP P&amp;L'!Z10+'YBN Group P&amp;L'!Z10+'HAB'!Z10+'Moe2 P&amp;L'!Z10</f>
        <v/>
      </c>
      <c r="AA10" s="36">
        <f>SUM(O10:U10)</f>
        <v/>
      </c>
      <c r="AB10" s="36">
        <f>SUM(O10:Z10)</f>
        <v/>
      </c>
      <c r="AC10" s="38">
        <f>'KNL HO'!AC10+'CCL GROUP P&amp;L'!AC10+'YBHN GROUP P&amp;L'!AC10+'YBN Group P&amp;L'!AC10+'HAB'!AC10+'Moe2 P&amp;L'!AC10</f>
        <v/>
      </c>
      <c r="AD10" s="38">
        <f>'KNL HO'!AD10+'CCL GROUP P&amp;L'!AD10+'YBHN GROUP P&amp;L'!AD10+'YBN Group P&amp;L'!AD10+'HAB'!AD10+'Moe2 P&amp;L'!AD10</f>
        <v/>
      </c>
      <c r="AE10" s="38">
        <f>'KNL HO'!AE10+'CCL GROUP P&amp;L'!AE10+'YBHN GROUP P&amp;L'!AE10+'YBN Group P&amp;L'!AE10+'HAB'!AE10+'Moe2 P&amp;L'!AE10</f>
        <v/>
      </c>
      <c r="AF10" s="38">
        <f>'KNL HO'!AF10+'CCL GROUP P&amp;L'!AF10+'YBHN GROUP P&amp;L'!AF10+'YBN Group P&amp;L'!AF10+'HAB'!AF10+'Moe2 P&amp;L'!AF10</f>
        <v/>
      </c>
      <c r="AG10" s="38">
        <f>'KNL HO'!AG10+'CCL GROUP P&amp;L'!AG10+'YBHN GROUP P&amp;L'!AG10+'YBN Group P&amp;L'!AG10+'HAB'!AG10+'Moe2 P&amp;L'!AG10</f>
        <v/>
      </c>
      <c r="AH10" s="38">
        <f>'KNL HO'!AH10+'CCL GROUP P&amp;L'!AH10+'YBHN GROUP P&amp;L'!AH10+'YBN Group P&amp;L'!AH10+'HAB'!AH10+'Moe2 P&amp;L'!AH10</f>
        <v/>
      </c>
      <c r="AI10" s="137">
        <f>'KNL GROUP P&amp;L'!AI10+'CCL GROUP P&amp;L'!AI10+'YBHN GROUP P&amp;L'!AI10+'YBN Group P&amp;L'!AI10+'HAB P&amp;L'!AI10+'Moe2 P&amp;L'!AI10</f>
        <v/>
      </c>
      <c r="AJ10" s="138">
        <f>'KNL GROUP P&amp;L'!AJ10+'CCL GROUP P&amp;L'!AJ10+'YBHN GROUP P&amp;L'!AJ10+'YBN Group P&amp;L'!AJ10+'HAB P&amp;L'!AJ10+'Moe2 P&amp;L'!AJ10</f>
        <v/>
      </c>
      <c r="AK10" s="138">
        <f>'KNL GROUP P&amp;L'!AK10+'CCL GROUP P&amp;L'!AK10+'YBHN GROUP P&amp;L'!AK10+'YBN Group P&amp;L'!AK10+'HAB P&amp;L'!AK10+'Moe2 P&amp;L'!AK10</f>
        <v/>
      </c>
      <c r="AL10" s="138">
        <f>'KNL GROUP P&amp;L'!AL10+'CCL GROUP P&amp;L'!AL10+'YBHN GROUP P&amp;L'!AL10+'YBN Group P&amp;L'!AL10+'HAB P&amp;L'!AL10+'Moe2 P&amp;L'!AL10</f>
        <v/>
      </c>
      <c r="AM10" s="138">
        <f>'KNL GROUP P&amp;L'!AM10+'CCL GROUP P&amp;L'!AM10+'YBHN GROUP P&amp;L'!AM10+'YBN Group P&amp;L'!AM10+'HAB P&amp;L'!AM10+'Moe2 P&amp;L'!AM10</f>
        <v/>
      </c>
      <c r="AN10" s="137">
        <f>'KNL GROUP P&amp;L'!AN10+'CCL GROUP P&amp;L'!AN10+'YBHN GROUP P&amp;L'!AN10+'YBN Group P&amp;L'!AN10+'HAB P&amp;L'!AN10+'Moe2 P&amp;L'!AN10</f>
        <v/>
      </c>
      <c r="AO10" s="120">
        <f>SUM(AC10:AH10)+SUM(AI10:AN10)</f>
        <v/>
      </c>
      <c r="AP10" s="121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862528.02</v>
      </c>
      <c r="C11" s="42" t="n">
        <v>903324.04</v>
      </c>
      <c r="D11" s="42" t="n">
        <v>1073545.98</v>
      </c>
      <c r="E11" s="42" t="n">
        <v>965821.7599999998</v>
      </c>
      <c r="F11" s="42" t="n">
        <v>855896.3400000001</v>
      </c>
      <c r="G11" s="42" t="n">
        <v>981911.0700000001</v>
      </c>
      <c r="H11" s="42" t="n">
        <v>1289179.55</v>
      </c>
      <c r="I11" s="42" t="n">
        <v>764775.12</v>
      </c>
      <c r="J11" s="42" t="n">
        <v>762931.3199999999</v>
      </c>
      <c r="K11" s="42" t="n">
        <v>796366.03</v>
      </c>
      <c r="L11" s="42" t="n">
        <v>947551</v>
      </c>
      <c r="M11" s="42" t="n">
        <v>1168237.96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SUM(O11:U11)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2">
        <f>SUM(AI8:AI10)</f>
        <v/>
      </c>
      <c r="AJ11" s="123">
        <f>SUM(AJ8:AJ10)</f>
        <v/>
      </c>
      <c r="AK11" s="123">
        <f>SUM(AK8:AK10)</f>
        <v/>
      </c>
      <c r="AL11" s="123">
        <f>SUM(AL8:AL10)</f>
        <v/>
      </c>
      <c r="AM11" s="123">
        <f>SUM(AM8:AM10)</f>
        <v/>
      </c>
      <c r="AN11" s="122">
        <f>SUM(AN8:AN10)</f>
        <v/>
      </c>
      <c r="AO11" s="124">
        <f>SUM(AC11:AH11)+SUM(AI11:AN11)</f>
        <v/>
      </c>
      <c r="AP11" s="125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SUM(O12:U12)</f>
        <v/>
      </c>
      <c r="AB12" s="36" t="n"/>
      <c r="AC12" s="32">
        <f>'KNL HO'!AC12+'CCL GROUP P&amp;L'!AC12+'YBHN GROUP P&amp;L'!AC12+'YBN Group P&amp;L'!AC12+'HAB'!AC12+'Moe2 P&amp;L'!AC12</f>
        <v/>
      </c>
      <c r="AD12" s="32">
        <f>'KNL HO'!AD12+'CCL GROUP P&amp;L'!AD12+'YBHN GROUP P&amp;L'!AD12+'YBN Group P&amp;L'!AD12+'HAB'!AD12+'Moe2 P&amp;L'!AD12</f>
        <v/>
      </c>
      <c r="AE12" s="32">
        <f>'KNL HO'!AE12+'CCL GROUP P&amp;L'!AE12+'YBHN GROUP P&amp;L'!AE12+'YBN Group P&amp;L'!AE12+'HAB'!AE12+'Moe2 P&amp;L'!AE12</f>
        <v/>
      </c>
      <c r="AF12" s="32">
        <f>'KNL HO'!AF12+'CCL GROUP P&amp;L'!AF12+'YBHN GROUP P&amp;L'!AF12+'YBN Group P&amp;L'!AF12+'HAB'!AF12+'Moe2 P&amp;L'!AF12</f>
        <v/>
      </c>
      <c r="AG12" s="32">
        <f>'KNL HO'!AG12+'CCL GROUP P&amp;L'!AG12+'YBHN GROUP P&amp;L'!AG12+'YBN Group P&amp;L'!AG12+'HAB'!AG12+'Moe2 P&amp;L'!AG12</f>
        <v/>
      </c>
      <c r="AH12" s="32">
        <f>'KNL HO'!AH12+'CCL GROUP P&amp;L'!AH12+'YBHN GROUP P&amp;L'!AH12+'YBN Group P&amp;L'!AH12+'HAB'!AH12+'Moe2 P&amp;L'!AH12</f>
        <v/>
      </c>
      <c r="AI12" s="141">
        <f>'KNL GROUP P&amp;L'!AI12+'CCL GROUP P&amp;L'!AI12+'YBHN GROUP P&amp;L'!AI12+'YBN Group P&amp;L'!AI12+'HAB P&amp;L'!AI12+'Moe2 P&amp;L'!AI12</f>
        <v/>
      </c>
      <c r="AJ12" s="142">
        <f>'KNL GROUP P&amp;L'!AJ12+'CCL GROUP P&amp;L'!AJ12+'YBHN GROUP P&amp;L'!AJ12+'YBN Group P&amp;L'!AJ12+'HAB P&amp;L'!AJ12+'Moe2 P&amp;L'!AJ12</f>
        <v/>
      </c>
      <c r="AK12" s="142">
        <f>'KNL GROUP P&amp;L'!AK12+'CCL GROUP P&amp;L'!AK12+'YBHN GROUP P&amp;L'!AK12+'YBN Group P&amp;L'!AK12+'HAB P&amp;L'!AK12+'Moe2 P&amp;L'!AK12</f>
        <v/>
      </c>
      <c r="AL12" s="142">
        <f>'KNL GROUP P&amp;L'!AL12+'CCL GROUP P&amp;L'!AL12+'YBHN GROUP P&amp;L'!AL12+'YBN Group P&amp;L'!AL12+'HAB P&amp;L'!AL12+'Moe2 P&amp;L'!AL12</f>
        <v/>
      </c>
      <c r="AM12" s="142">
        <f>'KNL GROUP P&amp;L'!AM12+'CCL GROUP P&amp;L'!AM12+'YBHN GROUP P&amp;L'!AM12+'YBN Group P&amp;L'!AM12+'HAB P&amp;L'!AM12+'Moe2 P&amp;L'!AM12</f>
        <v/>
      </c>
      <c r="AN12" s="141">
        <f>'KNL GROUP P&amp;L'!AN12+'CCL GROUP P&amp;L'!AN12+'YBHN GROUP P&amp;L'!AN12+'YBN Group P&amp;L'!AN12+'HAB P&amp;L'!AN12+'Moe2 P&amp;L'!AN12</f>
        <v/>
      </c>
      <c r="AO12" s="129">
        <f>SUM(AC12:AH12)+SUM(AI12:AN12)</f>
        <v/>
      </c>
      <c r="AP12" s="121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>
        <f>SUM(AI16:AI18)/AI11</f>
        <v/>
      </c>
      <c r="AJ13" s="130">
        <f>SUM(AJ16:AJ18)/AJ11</f>
        <v/>
      </c>
      <c r="AK13" s="130">
        <f>SUM(AK16:AK18)/AK11</f>
        <v/>
      </c>
      <c r="AL13" s="130">
        <f>SUM(AL16:AL18)/AL11</f>
        <v/>
      </c>
      <c r="AM13" s="130">
        <f>SUM(AM16:AM18)/AM11</f>
        <v/>
      </c>
      <c r="AN13" s="130">
        <f>SUM(AN16:AN18)/AN11</f>
        <v/>
      </c>
      <c r="AO13" s="162">
        <f>SUM(AC13:AH13)+SUM(AI13:AN13)</f>
        <v/>
      </c>
      <c r="AP13" s="145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>
        <f>SUM(O14:U14)</f>
        <v/>
      </c>
      <c r="AB14" s="36" t="n"/>
      <c r="AC14" s="32" t="n"/>
      <c r="AD14" s="32" t="n"/>
      <c r="AE14" s="32" t="n"/>
      <c r="AF14" s="32" t="n"/>
      <c r="AG14" s="32" t="n"/>
      <c r="AH14" s="32" t="n"/>
      <c r="AI14" s="126" t="n">
        <v>0</v>
      </c>
      <c r="AJ14" s="127" t="n">
        <v>0</v>
      </c>
      <c r="AK14" s="127" t="n">
        <v>0</v>
      </c>
      <c r="AL14" s="127" t="n">
        <v>0</v>
      </c>
      <c r="AM14" s="127" t="n">
        <v>0</v>
      </c>
      <c r="AN14" s="126" t="n">
        <v>0</v>
      </c>
      <c r="AO14" s="129">
        <f>SUM(AC14:AH14)+SUM(AI14:AN14)</f>
        <v/>
      </c>
      <c r="AP14" s="121">
        <f>IF(AB14&lt;&gt;0,(AO14-AB14)/ABS(AB14),0)</f>
        <v/>
      </c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 t="n"/>
      <c r="O15" s="25" t="n"/>
      <c r="P15" s="31" t="n"/>
      <c r="Q15" s="95" t="n"/>
      <c r="R15" s="95" t="n"/>
      <c r="S15" s="95" t="n"/>
      <c r="T15" s="95" t="n"/>
      <c r="U15" s="95" t="n"/>
      <c r="V15" s="26" t="n"/>
      <c r="W15" s="26" t="n"/>
      <c r="X15" s="26" t="n"/>
      <c r="Y15" s="26" t="n"/>
      <c r="Z15" s="26" t="n"/>
      <c r="AA15" s="36">
        <f>SUM(O15:U15)</f>
        <v/>
      </c>
      <c r="AB15" s="36" t="n"/>
      <c r="AC15" s="26">
        <f>'KNL HO'!AC15+'CCL GROUP P&amp;L'!AC15+'YBHN GROUP P&amp;L'!AC15+'YBN Group P&amp;L'!AC15+'HAB'!AC15+'Moe2 P&amp;L'!AC15</f>
        <v/>
      </c>
      <c r="AD15" s="26">
        <f>'KNL HO'!AD15+'CCL GROUP P&amp;L'!AD15+'YBHN GROUP P&amp;L'!AD15+'YBN Group P&amp;L'!AD15+'HAB'!AD15+'Moe2 P&amp;L'!AD15</f>
        <v/>
      </c>
      <c r="AE15" s="26">
        <f>'KNL HO'!AE15+'CCL GROUP P&amp;L'!AE15+'YBHN GROUP P&amp;L'!AE15+'YBN Group P&amp;L'!AE15+'HAB'!AE15+'Moe2 P&amp;L'!AE15</f>
        <v/>
      </c>
      <c r="AF15" s="26">
        <f>'KNL HO'!AF15+'CCL GROUP P&amp;L'!AF15+'YBHN GROUP P&amp;L'!AF15+'YBN Group P&amp;L'!AF15+'HAB'!AF15+'Moe2 P&amp;L'!AF15</f>
        <v/>
      </c>
      <c r="AG15" s="26">
        <f>'KNL HO'!AG15+'CCL GROUP P&amp;L'!AG15+'YBHN GROUP P&amp;L'!AG15+'YBN Group P&amp;L'!AG15+'HAB'!AG15+'Moe2 P&amp;L'!AG15</f>
        <v/>
      </c>
      <c r="AH15" s="26">
        <f>'KNL HO'!AH15+'CCL GROUP P&amp;L'!AH15+'YBHN GROUP P&amp;L'!AH15+'YBN Group P&amp;L'!AH15+'HAB'!AH15+'Moe2 P&amp;L'!AH15</f>
        <v/>
      </c>
      <c r="AI15" s="122">
        <f>'KNL GROUP P&amp;L'!AI15+'CCL GROUP P&amp;L'!AI15+'YBHN GROUP P&amp;L'!AI15+'YBN Group P&amp;L'!AI15+'HAB P&amp;L'!AI15+'Moe2 P&amp;L'!AI15</f>
        <v/>
      </c>
      <c r="AJ15" s="152">
        <f>'KNL GROUP P&amp;L'!AJ15+'CCL GROUP P&amp;L'!AJ15+'YBHN GROUP P&amp;L'!AJ15+'YBN Group P&amp;L'!AJ15+'HAB P&amp;L'!AJ15+'Moe2 P&amp;L'!AJ15</f>
        <v/>
      </c>
      <c r="AK15" s="152">
        <f>'KNL GROUP P&amp;L'!AK15+'CCL GROUP P&amp;L'!AK15+'YBHN GROUP P&amp;L'!AK15+'YBN Group P&amp;L'!AK15+'HAB P&amp;L'!AK15+'Moe2 P&amp;L'!AK15</f>
        <v/>
      </c>
      <c r="AL15" s="152">
        <f>'KNL GROUP P&amp;L'!AL15+'CCL GROUP P&amp;L'!AL15+'YBHN GROUP P&amp;L'!AL15+'YBN Group P&amp;L'!AL15+'HAB P&amp;L'!AL15+'Moe2 P&amp;L'!AL15</f>
        <v/>
      </c>
      <c r="AM15" s="152">
        <f>'KNL GROUP P&amp;L'!AM15+'CCL GROUP P&amp;L'!AM15+'YBHN GROUP P&amp;L'!AM15+'YBN Group P&amp;L'!AM15+'HAB P&amp;L'!AM15+'Moe2 P&amp;L'!AM15</f>
        <v/>
      </c>
      <c r="AN15" s="122">
        <f>'KNL GROUP P&amp;L'!AN15+'CCL GROUP P&amp;L'!AN15+'YBHN GROUP P&amp;L'!AN15+'YBN Group P&amp;L'!AN15+'HAB P&amp;L'!AN15+'Moe2 P&amp;L'!AN15</f>
        <v/>
      </c>
      <c r="AO15" s="129">
        <f>SUM(AC15:AH15)+SUM(AI15:AN15)</f>
        <v/>
      </c>
      <c r="AP15" s="121">
        <f>IF(AB15&lt;&gt;0,(AO15-AB15)/ABS(AB15),0)</f>
        <v/>
      </c>
    </row>
    <row r="16">
      <c r="A16" s="34" t="inlineStr">
        <is>
          <t>Nursery Salaries</t>
        </is>
      </c>
      <c r="B16" s="35" t="n">
        <v>397485.6</v>
      </c>
      <c r="C16" s="35" t="n">
        <v>396799.71</v>
      </c>
      <c r="D16" s="35" t="n">
        <v>402127.02</v>
      </c>
      <c r="E16" s="35" t="n">
        <v>444579.13</v>
      </c>
      <c r="F16" s="35" t="n">
        <v>448030.21</v>
      </c>
      <c r="G16" s="35" t="n">
        <v>429293.8300000001</v>
      </c>
      <c r="H16" s="35" t="n">
        <v>463754.97</v>
      </c>
      <c r="I16" s="35" t="n">
        <v>431073.65</v>
      </c>
      <c r="J16" s="35" t="n">
        <v>448953</v>
      </c>
      <c r="K16" s="35" t="n">
        <v>448201.55</v>
      </c>
      <c r="L16" s="35" t="n">
        <v>430984.09</v>
      </c>
      <c r="M16" s="35" t="n">
        <v>443960.13</v>
      </c>
      <c r="N16" s="36">
        <f>SUM(B16:M16)</f>
        <v/>
      </c>
      <c r="O16" s="37">
        <f>'ABA'!O16+'BK'!O16+'BW'!O16+'CED'!O16+'HAB'!O16+'HB'!O16+'OD'!O16+'HDN'!O16+'KIN'!O16+'LE'!O16+'MER'!O16+'NDN'!O16+'SALT'!O16+'SDN'!O16+'SST'!O16+'WH'!O16+'FH'!O16+'KNL HO'!O16+'CCL HO'!O16+'YBHN HO'!O16+'YBN HO'!O16</f>
        <v/>
      </c>
      <c r="P16" s="37">
        <f>'ABA'!P16+'BK'!P16+'BW'!P16+'CED'!P16+'HAB'!P16+'HB'!P16+'OD'!P16+'HDN'!P16+'KIN'!P16+'LE'!P16+'MER'!P16+'NDN'!P16+'SALT'!P16+'SDN'!P16+'SST'!P16+'WH'!P16+'FH'!P16+'KNL HO'!P16+'CCL HO'!P16+'YBHN HO'!P16+'YBN HO'!P16</f>
        <v/>
      </c>
      <c r="Q16" s="37">
        <f>'ABA'!Q16+'BK'!Q16+'BW'!Q16+'CED'!Q16+'HAB'!Q16+'HB'!Q16+'OD'!Q16+'HDN'!Q16+'KIN'!Q16+'LE'!Q16+'MER'!Q16+'NDN'!Q16+'SALT'!Q16+'SDN'!Q16+'SST'!Q16+'WH'!Q16+'FH'!Q16+'KNL HO'!Q16+'CCL HO'!Q16+'YBHN HO'!Q16+'YBN HO'!Q16</f>
        <v/>
      </c>
      <c r="R16" s="37">
        <f>'ABA'!R16+'BK'!R16+'BW'!R16+'CED'!R16+'HAB'!R16+'HB'!R16+'OD'!R16+'HDN'!R16+'KIN'!R16+'LE'!R16+'MER'!R16+'NDN'!R16+'SALT'!R16+'SDN'!R16+'SST'!R16+'WH'!R16+'FH'!R16+'KNL HO'!R16+'CCL HO'!R16+'YBHN HO'!R16+'YBN HO'!R16</f>
        <v/>
      </c>
      <c r="S16" s="37">
        <f>'ABA'!S16+'BK'!S16+'BW'!S16+'CED'!S16+'HAB'!S16+'HB'!S16+'OD'!S16+'HDN'!S16+'KIN'!S16+'LE'!S16+'MER'!S16+'NDN'!S16+'SALT'!S16+'SDN'!S16+'SST'!S16+'WH'!S16+'FH'!S16+'KNL HO'!S16+'CCL HO'!S16+'YBHN HO'!S16+'YBN HO'!S16</f>
        <v/>
      </c>
      <c r="T16" s="37">
        <f>'ABA'!T16+'BK'!T16+'BW'!T16+'CED'!T16+'HAB'!T16+'HB'!T16+'OD'!T16+'HDN'!T16+'KIN'!T16+'LE'!T16+'MER'!T16+'NDN'!T16+'SALT'!T16+'SDN'!T16+'SST'!T16+'WH'!T16+'FH'!T16+'KNL HO'!T16+'CCL HO'!T16+'YBHN HO'!T16+'YBN HO'!T16</f>
        <v/>
      </c>
      <c r="U16" s="37">
        <f>'ABA'!U16+'BK'!U16+'BW'!U16+'CED'!U16+'HAB'!U16+'HB'!U16+'OD'!U16+'HDN'!U16+'KIN'!U16+'LE'!U16+'MER'!U16+'NDN'!U16+'SALT'!U16+'SDN'!U16+'SST'!U16+'WH'!U16+'FH'!U16+'KNL HO'!U16+'CCL HO'!U16+'YBHN HO'!U16+'YBN HO'!U16</f>
        <v/>
      </c>
      <c r="V16" s="38">
        <f>'KNL HO'!V16+'CCL GROUP P&amp;L'!V16+'YBHN GROUP P&amp;L'!V16+'YBN Group P&amp;L'!V16+'HAB'!V16+'Moe2 P&amp;L'!V16</f>
        <v/>
      </c>
      <c r="W16" s="38">
        <f>'KNL HO'!W16+'CCL GROUP P&amp;L'!W16+'YBHN GROUP P&amp;L'!W16+'YBN Group P&amp;L'!W16+'HAB'!W16+'Moe2 P&amp;L'!W16</f>
        <v/>
      </c>
      <c r="X16" s="38">
        <f>'KNL HO'!X16+'CCL GROUP P&amp;L'!X16+'YBHN GROUP P&amp;L'!X16+'YBN Group P&amp;L'!X16+'HAB'!X16+'Moe2 P&amp;L'!X16</f>
        <v/>
      </c>
      <c r="Y16" s="38">
        <f>'KNL HO'!Y16+'CCL GROUP P&amp;L'!Y16+'YBHN GROUP P&amp;L'!Y16+'YBN Group P&amp;L'!Y16+'HAB'!Y16+'Moe2 P&amp;L'!Y16</f>
        <v/>
      </c>
      <c r="Z16" s="38">
        <f>'KNL HO'!Z16+'CCL GROUP P&amp;L'!Z16+'YBHN GROUP P&amp;L'!Z16+'YBN Group P&amp;L'!Z16+'HAB'!Z16+'Moe2 P&amp;L'!Z16</f>
        <v/>
      </c>
      <c r="AA16" s="36">
        <f>SUM(O16:U16)</f>
        <v/>
      </c>
      <c r="AB16" s="36">
        <f>SUM(O16:Z16)</f>
        <v/>
      </c>
      <c r="AC16" s="38">
        <f>'KNL HO'!AC16+'CCL GROUP P&amp;L'!AC16+'YBHN GROUP P&amp;L'!AC16+'YBN Group P&amp;L'!AC16+'HAB'!AC16+'Moe2 P&amp;L'!AC16</f>
        <v/>
      </c>
      <c r="AD16" s="38">
        <f>'KNL HO'!AD16+'CCL GROUP P&amp;L'!AD16+'YBHN GROUP P&amp;L'!AD16+'YBN Group P&amp;L'!AD16+'HAB'!AD16+'Moe2 P&amp;L'!AD16</f>
        <v/>
      </c>
      <c r="AE16" s="38">
        <f>'KNL HO'!AE16+'CCL GROUP P&amp;L'!AE16+'YBHN GROUP P&amp;L'!AE16+'YBN Group P&amp;L'!AE16+'HAB'!AE16+'Moe2 P&amp;L'!AE16</f>
        <v/>
      </c>
      <c r="AF16" s="38">
        <f>'KNL HO'!AF16+'CCL GROUP P&amp;L'!AF16+'YBHN GROUP P&amp;L'!AF16+'YBN Group P&amp;L'!AF16+'HAB'!AF16+'Moe2 P&amp;L'!AF16</f>
        <v/>
      </c>
      <c r="AG16" s="38">
        <f>'KNL HO'!AG16+'CCL GROUP P&amp;L'!AG16+'YBHN GROUP P&amp;L'!AG16+'YBN Group P&amp;L'!AG16+'HAB'!AG16+'Moe2 P&amp;L'!AG16</f>
        <v/>
      </c>
      <c r="AH16" s="38">
        <f>'KNL HO'!AH16+'CCL GROUP P&amp;L'!AH16+'YBHN GROUP P&amp;L'!AH16+'YBN Group P&amp;L'!AH16+'HAB'!AH16+'Moe2 P&amp;L'!AH16</f>
        <v/>
      </c>
      <c r="AI16" s="137">
        <f>'KNL GROUP P&amp;L'!AI16+'CCL GROUP P&amp;L'!AI16+'YBHN GROUP P&amp;L'!AI16+'YBN Group P&amp;L'!AI16+'HAB P&amp;L'!AI16+'Moe2 P&amp;L'!AI16</f>
        <v/>
      </c>
      <c r="AJ16" s="138">
        <f>'KNL GROUP P&amp;L'!AJ16+'CCL GROUP P&amp;L'!AJ16+'YBHN GROUP P&amp;L'!AJ16+'YBN Group P&amp;L'!AJ16+'HAB P&amp;L'!AJ16+'Moe2 P&amp;L'!AJ16</f>
        <v/>
      </c>
      <c r="AK16" s="138">
        <f>'KNL GROUP P&amp;L'!AK16+'CCL GROUP P&amp;L'!AK16+'YBHN GROUP P&amp;L'!AK16+'YBN Group P&amp;L'!AK16+'HAB P&amp;L'!AK16+'Moe2 P&amp;L'!AK16</f>
        <v/>
      </c>
      <c r="AL16" s="138">
        <f>'KNL GROUP P&amp;L'!AL16+'CCL GROUP P&amp;L'!AL16+'YBHN GROUP P&amp;L'!AL16+'YBN Group P&amp;L'!AL16+'HAB P&amp;L'!AL16+'Moe2 P&amp;L'!AL16</f>
        <v/>
      </c>
      <c r="AM16" s="138">
        <f>'KNL GROUP P&amp;L'!AM16+'CCL GROUP P&amp;L'!AM16+'YBHN GROUP P&amp;L'!AM16+'YBN Group P&amp;L'!AM16+'HAB P&amp;L'!AM16+'Moe2 P&amp;L'!AM16</f>
        <v/>
      </c>
      <c r="AN16" s="137">
        <f>'KNL GROUP P&amp;L'!AN16+'CCL GROUP P&amp;L'!AN16+'YBHN GROUP P&amp;L'!AN16+'YBN Group P&amp;L'!AN16+'HAB P&amp;L'!AN16+'Moe2 P&amp;L'!AN16</f>
        <v/>
      </c>
      <c r="AO16" s="120">
        <f>SUM(AC16:AH16)+SUM(AI16:AN16)</f>
        <v/>
      </c>
      <c r="AP16" s="121">
        <f>IF(AB16&lt;&gt;0,(AO16-AB16)/ABS(AB16),0)</f>
        <v/>
      </c>
    </row>
    <row r="17">
      <c r="A17" s="34" t="inlineStr">
        <is>
          <t>Nursery NI</t>
        </is>
      </c>
      <c r="B17" s="35" t="n">
        <v>31175.25</v>
      </c>
      <c r="C17" s="35" t="n">
        <v>30662.3</v>
      </c>
      <c r="D17" s="35" t="n">
        <v>30757.11</v>
      </c>
      <c r="E17" s="35" t="n">
        <v>47949.14</v>
      </c>
      <c r="F17" s="35" t="n">
        <v>47749.62</v>
      </c>
      <c r="G17" s="35" t="n">
        <v>45520.73</v>
      </c>
      <c r="H17" s="35" t="n">
        <v>49939.52</v>
      </c>
      <c r="I17" s="35" t="n">
        <v>44922.87</v>
      </c>
      <c r="J17" s="35" t="n">
        <v>48493.37</v>
      </c>
      <c r="K17" s="35" t="n">
        <v>47243.5</v>
      </c>
      <c r="L17" s="35" t="n">
        <v>45078.01</v>
      </c>
      <c r="M17" s="35" t="n">
        <v>46803.96000000001</v>
      </c>
      <c r="N17" s="36">
        <f>SUM(B17:M17)</f>
        <v/>
      </c>
      <c r="O17" s="37">
        <f>'ABA'!O17+'BK'!O17+'BW'!O17+'CED'!O17+'HAB'!O17+'HB'!O17+'OD'!O17+'HDN'!O17+'KIN'!O17+'LE'!O17+'MER'!O17+'NDN'!O17+'SALT'!O17+'SDN'!O17+'SST'!O17+'WH'!O17+'FH'!O17+'KNL HO'!O17+'CCL HO'!O17+'YBHN HO'!O17+'YBN HO'!O17</f>
        <v/>
      </c>
      <c r="P17" s="37">
        <f>'ABA'!P17+'BK'!P17+'BW'!P17+'CED'!P17+'HAB'!P17+'HB'!P17+'OD'!P17+'HDN'!P17+'KIN'!P17+'LE'!P17+'MER'!P17+'NDN'!P17+'SALT'!P17+'SDN'!P17+'SST'!P17+'WH'!P17+'FH'!P17+'KNL HO'!P17+'CCL HO'!P17+'YBHN HO'!P17+'YBN HO'!P17</f>
        <v/>
      </c>
      <c r="Q17" s="37">
        <f>'ABA'!Q17+'BK'!Q17+'BW'!Q17+'CED'!Q17+'HAB'!Q17+'HB'!Q17+'OD'!Q17+'HDN'!Q17+'KIN'!Q17+'LE'!Q17+'MER'!Q17+'NDN'!Q17+'SALT'!Q17+'SDN'!Q17+'SST'!Q17+'WH'!Q17+'FH'!Q17+'KNL HO'!Q17+'CCL HO'!Q17+'YBHN HO'!Q17+'YBN HO'!Q17</f>
        <v/>
      </c>
      <c r="R17" s="37">
        <f>'ABA'!R17+'BK'!R17+'BW'!R17+'CED'!R17+'HAB'!R17+'HB'!R17+'OD'!R17+'HDN'!R17+'KIN'!R17+'LE'!R17+'MER'!R17+'NDN'!R17+'SALT'!R17+'SDN'!R17+'SST'!R17+'WH'!R17+'FH'!R17+'KNL HO'!R17+'CCL HO'!R17+'YBHN HO'!R17+'YBN HO'!R17</f>
        <v/>
      </c>
      <c r="S17" s="37">
        <f>'ABA'!S17+'BK'!S17+'BW'!S17+'CED'!S17+'HAB'!S17+'HB'!S17+'OD'!S17+'HDN'!S17+'KIN'!S17+'LE'!S17+'MER'!S17+'NDN'!S17+'SALT'!S17+'SDN'!S17+'SST'!S17+'WH'!S17+'FH'!S17+'KNL HO'!S17+'CCL HO'!S17+'YBHN HO'!S17+'YBN HO'!S17</f>
        <v/>
      </c>
      <c r="T17" s="37">
        <f>'ABA'!T17+'BK'!T17+'BW'!T17+'CED'!T17+'HAB'!T17+'HB'!T17+'OD'!T17+'HDN'!T17+'KIN'!T17+'LE'!T17+'MER'!T17+'NDN'!T17+'SALT'!T17+'SDN'!T17+'SST'!T17+'WH'!T17+'FH'!T17+'KNL HO'!T17+'CCL HO'!T17+'YBHN HO'!T17+'YBN HO'!T17</f>
        <v/>
      </c>
      <c r="U17" s="37">
        <f>'ABA'!U17+'BK'!U17+'BW'!U17+'CED'!U17+'HAB'!U17+'HB'!U17+'OD'!U17+'HDN'!U17+'KIN'!U17+'LE'!U17+'MER'!U17+'NDN'!U17+'SALT'!U17+'SDN'!U17+'SST'!U17+'WH'!U17+'FH'!U17+'KNL HO'!U17+'CCL HO'!U17+'YBHN HO'!U17+'YBN HO'!U17</f>
        <v/>
      </c>
      <c r="V17" s="38">
        <f>'KNL HO'!V17+'CCL GROUP P&amp;L'!V17+'YBHN GROUP P&amp;L'!V17+'YBN Group P&amp;L'!V17+'HAB'!V17+'Moe2 P&amp;L'!V17</f>
        <v/>
      </c>
      <c r="W17" s="38">
        <f>'KNL HO'!W17+'CCL GROUP P&amp;L'!W17+'YBHN GROUP P&amp;L'!W17+'YBN Group P&amp;L'!W17+'HAB'!W17+'Moe2 P&amp;L'!W17</f>
        <v/>
      </c>
      <c r="X17" s="38">
        <f>'KNL HO'!X17+'CCL GROUP P&amp;L'!X17+'YBHN GROUP P&amp;L'!X17+'YBN Group P&amp;L'!X17+'HAB'!X17+'Moe2 P&amp;L'!X17</f>
        <v/>
      </c>
      <c r="Y17" s="38">
        <f>'KNL HO'!Y17+'CCL GROUP P&amp;L'!Y17+'YBHN GROUP P&amp;L'!Y17+'YBN Group P&amp;L'!Y17+'HAB'!Y17+'Moe2 P&amp;L'!Y17</f>
        <v/>
      </c>
      <c r="Z17" s="38">
        <f>'KNL HO'!Z17+'CCL GROUP P&amp;L'!Z17+'YBHN GROUP P&amp;L'!Z17+'YBN Group P&amp;L'!Z17+'HAB'!Z17+'Moe2 P&amp;L'!Z17</f>
        <v/>
      </c>
      <c r="AA17" s="36">
        <f>SUM(O17:U17)</f>
        <v/>
      </c>
      <c r="AB17" s="36">
        <f>SUM(O17:Z17)</f>
        <v/>
      </c>
      <c r="AC17" s="38">
        <f>'KNL HO'!AC17+'CCL GROUP P&amp;L'!AC17+'YBHN GROUP P&amp;L'!AC17+'YBN Group P&amp;L'!AC17+'HAB'!AC17+'Moe2 P&amp;L'!AC17</f>
        <v/>
      </c>
      <c r="AD17" s="38">
        <f>'KNL HO'!AD17+'CCL GROUP P&amp;L'!AD17+'YBHN GROUP P&amp;L'!AD17+'YBN Group P&amp;L'!AD17+'HAB'!AD17+'Moe2 P&amp;L'!AD17</f>
        <v/>
      </c>
      <c r="AE17" s="38">
        <f>'KNL HO'!AE17+'CCL GROUP P&amp;L'!AE17+'YBHN GROUP P&amp;L'!AE17+'YBN Group P&amp;L'!AE17+'HAB'!AE17+'Moe2 P&amp;L'!AE17</f>
        <v/>
      </c>
      <c r="AF17" s="38">
        <f>'KNL HO'!AF17+'CCL GROUP P&amp;L'!AF17+'YBHN GROUP P&amp;L'!AF17+'YBN Group P&amp;L'!AF17+'HAB'!AF17+'Moe2 P&amp;L'!AF17</f>
        <v/>
      </c>
      <c r="AG17" s="38">
        <f>'KNL HO'!AG17+'CCL GROUP P&amp;L'!AG17+'YBHN GROUP P&amp;L'!AG17+'YBN Group P&amp;L'!AG17+'HAB'!AG17+'Moe2 P&amp;L'!AG17</f>
        <v/>
      </c>
      <c r="AH17" s="38">
        <f>'KNL HO'!AH17+'CCL GROUP P&amp;L'!AH17+'YBHN GROUP P&amp;L'!AH17+'YBN Group P&amp;L'!AH17+'HAB'!AH17+'Moe2 P&amp;L'!AH17</f>
        <v/>
      </c>
      <c r="AI17" s="137">
        <f>'KNL GROUP P&amp;L'!AI17+'CCL GROUP P&amp;L'!AI17+'YBHN GROUP P&amp;L'!AI17+'YBN Group P&amp;L'!AI17+'HAB P&amp;L'!AI17+'Moe2 P&amp;L'!AI17</f>
        <v/>
      </c>
      <c r="AJ17" s="138">
        <f>'KNL GROUP P&amp;L'!AJ17+'CCL GROUP P&amp;L'!AJ17+'YBHN GROUP P&amp;L'!AJ17+'YBN Group P&amp;L'!AJ17+'HAB P&amp;L'!AJ17+'Moe2 P&amp;L'!AJ17</f>
        <v/>
      </c>
      <c r="AK17" s="138">
        <f>'KNL GROUP P&amp;L'!AK17+'CCL GROUP P&amp;L'!AK17+'YBHN GROUP P&amp;L'!AK17+'YBN Group P&amp;L'!AK17+'HAB P&amp;L'!AK17+'Moe2 P&amp;L'!AK17</f>
        <v/>
      </c>
      <c r="AL17" s="138">
        <f>'KNL GROUP P&amp;L'!AL17+'CCL GROUP P&amp;L'!AL17+'YBHN GROUP P&amp;L'!AL17+'YBN Group P&amp;L'!AL17+'HAB P&amp;L'!AL17+'Moe2 P&amp;L'!AL17</f>
        <v/>
      </c>
      <c r="AM17" s="138">
        <f>'KNL GROUP P&amp;L'!AM17+'CCL GROUP P&amp;L'!AM17+'YBHN GROUP P&amp;L'!AM17+'YBN Group P&amp;L'!AM17+'HAB P&amp;L'!AM17+'Moe2 P&amp;L'!AM17</f>
        <v/>
      </c>
      <c r="AN17" s="137">
        <f>'KNL GROUP P&amp;L'!AN17+'CCL GROUP P&amp;L'!AN17+'YBHN GROUP P&amp;L'!AN17+'YBN Group P&amp;L'!AN17+'HAB P&amp;L'!AN17+'Moe2 P&amp;L'!AN17</f>
        <v/>
      </c>
      <c r="AO17" s="120">
        <f>SUM(AC17:AH17)+SUM(AI17:AN17)</f>
        <v/>
      </c>
      <c r="AP17" s="121">
        <f>IF(AB17&lt;&gt;0,(AO17-AB17)/ABS(AB17),0)</f>
        <v/>
      </c>
    </row>
    <row r="18">
      <c r="A18" s="34" t="inlineStr">
        <is>
          <t>Nursery Pension</t>
        </is>
      </c>
      <c r="B18" s="35" t="n">
        <v>7547.059999999999</v>
      </c>
      <c r="C18" s="35" t="n">
        <v>7488.82</v>
      </c>
      <c r="D18" s="35" t="n">
        <v>7180.6</v>
      </c>
      <c r="E18" s="35" t="n">
        <v>7639.29</v>
      </c>
      <c r="F18" s="35" t="n">
        <v>7916.78</v>
      </c>
      <c r="G18" s="35" t="n">
        <v>7680.17</v>
      </c>
      <c r="H18" s="35" t="n">
        <v>8540.619999999999</v>
      </c>
      <c r="I18" s="35" t="n">
        <v>7778.799999999999</v>
      </c>
      <c r="J18" s="35" t="n">
        <v>7619.34</v>
      </c>
      <c r="K18" s="35" t="n">
        <v>7536.639999999999</v>
      </c>
      <c r="L18" s="35" t="n">
        <v>7737.1</v>
      </c>
      <c r="M18" s="35" t="n">
        <v>8147.859999999999</v>
      </c>
      <c r="N18" s="36">
        <f>SUM(B18:M18)</f>
        <v/>
      </c>
      <c r="O18" s="37">
        <f>'ABA'!O18+'BK'!O18+'BW'!O18+'CED'!O18+'HAB'!O18+'HB'!O18+'OD'!O18+'HDN'!O18+'KIN'!O18+'LE'!O18+'MER'!O18+'NDN'!O18+'SALT'!O18+'SDN'!O18+'SST'!O18+'WH'!O18+'FH'!O18+'KNL HO'!O18+'CCL HO'!O18+'YBHN HO'!O18+'YBN HO'!O18</f>
        <v/>
      </c>
      <c r="P18" s="37">
        <f>'ABA'!P18+'BK'!P18+'BW'!P18+'CED'!P18+'HAB'!P18+'HB'!P18+'OD'!P18+'HDN'!P18+'KIN'!P18+'LE'!P18+'MER'!P18+'NDN'!P18+'SALT'!P18+'SDN'!P18+'SST'!P18+'WH'!P18+'FH'!P18+'KNL HO'!P18+'CCL HO'!P18+'YBHN HO'!P18+'YBN HO'!P18</f>
        <v/>
      </c>
      <c r="Q18" s="37">
        <f>'ABA'!Q18+'BK'!Q18+'BW'!Q18+'CED'!Q18+'HAB'!Q18+'HB'!Q18+'OD'!Q18+'HDN'!Q18+'KIN'!Q18+'LE'!Q18+'MER'!Q18+'NDN'!Q18+'SALT'!Q18+'SDN'!Q18+'SST'!Q18+'WH'!Q18+'FH'!Q18+'KNL HO'!Q18+'CCL HO'!Q18+'YBHN HO'!Q18+'YBN HO'!Q18</f>
        <v/>
      </c>
      <c r="R18" s="37">
        <f>'ABA'!R18+'BK'!R18+'BW'!R18+'CED'!R18+'HAB'!R18+'HB'!R18+'OD'!R18+'HDN'!R18+'KIN'!R18+'LE'!R18+'MER'!R18+'NDN'!R18+'SALT'!R18+'SDN'!R18+'SST'!R18+'WH'!R18+'FH'!R18+'KNL HO'!R18+'CCL HO'!R18+'YBHN HO'!R18+'YBN HO'!R18</f>
        <v/>
      </c>
      <c r="S18" s="37">
        <f>'ABA'!S18+'BK'!S18+'BW'!S18+'CED'!S18+'HAB'!S18+'HB'!S18+'OD'!S18+'HDN'!S18+'KIN'!S18+'LE'!S18+'MER'!S18+'NDN'!S18+'SALT'!S18+'SDN'!S18+'SST'!S18+'WH'!S18+'FH'!S18+'KNL HO'!S18+'CCL HO'!S18+'YBHN HO'!S18+'YBN HO'!S18</f>
        <v/>
      </c>
      <c r="T18" s="37">
        <f>'ABA'!T18+'BK'!T18+'BW'!T18+'CED'!T18+'HAB'!T18+'HB'!T18+'OD'!T18+'HDN'!T18+'KIN'!T18+'LE'!T18+'MER'!T18+'NDN'!T18+'SALT'!T18+'SDN'!T18+'SST'!T18+'WH'!T18+'FH'!T18+'KNL HO'!T18+'CCL HO'!T18+'YBHN HO'!T18+'YBN HO'!T18</f>
        <v/>
      </c>
      <c r="U18" s="37">
        <f>'ABA'!U18+'BK'!U18+'BW'!U18+'CED'!U18+'HAB'!U18+'HB'!U18+'OD'!U18+'HDN'!U18+'KIN'!U18+'LE'!U18+'MER'!U18+'NDN'!U18+'SALT'!U18+'SDN'!U18+'SST'!U18+'WH'!U18+'FH'!U18+'KNL HO'!U18+'CCL HO'!U18+'YBHN HO'!U18+'YBN HO'!U18</f>
        <v/>
      </c>
      <c r="V18" s="38">
        <f>'KNL HO'!V18+'CCL GROUP P&amp;L'!V18+'YBHN GROUP P&amp;L'!V18+'YBN Group P&amp;L'!V18+'HAB'!V18+'Moe2 P&amp;L'!V18</f>
        <v/>
      </c>
      <c r="W18" s="38">
        <f>'KNL HO'!W18+'CCL GROUP P&amp;L'!W18+'YBHN GROUP P&amp;L'!W18+'YBN Group P&amp;L'!W18+'HAB'!W18+'Moe2 P&amp;L'!W18</f>
        <v/>
      </c>
      <c r="X18" s="38">
        <f>'KNL HO'!X18+'CCL GROUP P&amp;L'!X18+'YBHN GROUP P&amp;L'!X18+'YBN Group P&amp;L'!X18+'HAB'!X18+'Moe2 P&amp;L'!X18</f>
        <v/>
      </c>
      <c r="Y18" s="38">
        <f>'KNL HO'!Y18+'CCL GROUP P&amp;L'!Y18+'YBHN GROUP P&amp;L'!Y18+'YBN Group P&amp;L'!Y18+'HAB'!Y18+'Moe2 P&amp;L'!Y18</f>
        <v/>
      </c>
      <c r="Z18" s="38">
        <f>'KNL HO'!Z18+'CCL GROUP P&amp;L'!Z18+'YBHN GROUP P&amp;L'!Z18+'YBN Group P&amp;L'!Z18+'HAB'!Z18+'Moe2 P&amp;L'!Z18</f>
        <v/>
      </c>
      <c r="AA18" s="36">
        <f>SUM(O18:U18)</f>
        <v/>
      </c>
      <c r="AB18" s="36">
        <f>SUM(O18:Z18)</f>
        <v/>
      </c>
      <c r="AC18" s="38">
        <f>'KNL HO'!AC18+'CCL GROUP P&amp;L'!AC18+'YBHN GROUP P&amp;L'!AC18+'YBN Group P&amp;L'!AC18+'HAB'!AC18+'Moe2 P&amp;L'!AC18</f>
        <v/>
      </c>
      <c r="AD18" s="38">
        <f>'KNL HO'!AD18+'CCL GROUP P&amp;L'!AD18+'YBHN GROUP P&amp;L'!AD18+'YBN Group P&amp;L'!AD18+'HAB'!AD18+'Moe2 P&amp;L'!AD18</f>
        <v/>
      </c>
      <c r="AE18" s="38">
        <f>'KNL HO'!AE18+'CCL GROUP P&amp;L'!AE18+'YBHN GROUP P&amp;L'!AE18+'YBN Group P&amp;L'!AE18+'HAB'!AE18+'Moe2 P&amp;L'!AE18</f>
        <v/>
      </c>
      <c r="AF18" s="38">
        <f>'KNL HO'!AF18+'CCL GROUP P&amp;L'!AF18+'YBHN GROUP P&amp;L'!AF18+'YBN Group P&amp;L'!AF18+'HAB'!AF18+'Moe2 P&amp;L'!AF18</f>
        <v/>
      </c>
      <c r="AG18" s="38">
        <f>'KNL HO'!AG18+'CCL GROUP P&amp;L'!AG18+'YBHN GROUP P&amp;L'!AG18+'YBN Group P&amp;L'!AG18+'HAB'!AG18+'Moe2 P&amp;L'!AG18</f>
        <v/>
      </c>
      <c r="AH18" s="38">
        <f>'KNL HO'!AH18+'CCL GROUP P&amp;L'!AH18+'YBHN GROUP P&amp;L'!AH18+'YBN Group P&amp;L'!AH18+'HAB'!AH18+'Moe2 P&amp;L'!AH18</f>
        <v/>
      </c>
      <c r="AI18" s="137">
        <f>'KNL GROUP P&amp;L'!AI18+'CCL GROUP P&amp;L'!AI18+'YBHN GROUP P&amp;L'!AI18+'YBN Group P&amp;L'!AI18+'HAB P&amp;L'!AI18+'Moe2 P&amp;L'!AI18</f>
        <v/>
      </c>
      <c r="AJ18" s="138">
        <f>'KNL GROUP P&amp;L'!AJ18+'CCL GROUP P&amp;L'!AJ18+'YBHN GROUP P&amp;L'!AJ18+'YBN Group P&amp;L'!AJ18+'HAB P&amp;L'!AJ18+'Moe2 P&amp;L'!AJ18</f>
        <v/>
      </c>
      <c r="AK18" s="138">
        <f>'KNL GROUP P&amp;L'!AK18+'CCL GROUP P&amp;L'!AK18+'YBHN GROUP P&amp;L'!AK18+'YBN Group P&amp;L'!AK18+'HAB P&amp;L'!AK18+'Moe2 P&amp;L'!AK18</f>
        <v/>
      </c>
      <c r="AL18" s="138">
        <f>'KNL GROUP P&amp;L'!AL18+'CCL GROUP P&amp;L'!AL18+'YBHN GROUP P&amp;L'!AL18+'YBN Group P&amp;L'!AL18+'HAB P&amp;L'!AL18+'Moe2 P&amp;L'!AL18</f>
        <v/>
      </c>
      <c r="AM18" s="138">
        <f>'KNL GROUP P&amp;L'!AM18+'CCL GROUP P&amp;L'!AM18+'YBHN GROUP P&amp;L'!AM18+'YBN Group P&amp;L'!AM18+'HAB P&amp;L'!AM18+'Moe2 P&amp;L'!AM18</f>
        <v/>
      </c>
      <c r="AN18" s="137">
        <f>'KNL GROUP P&amp;L'!AN18+'CCL GROUP P&amp;L'!AN18+'YBHN GROUP P&amp;L'!AN18+'YBN Group P&amp;L'!AN18+'HAB P&amp;L'!AN18+'Moe2 P&amp;L'!AN18</f>
        <v/>
      </c>
      <c r="AO18" s="120">
        <f>SUM(AC18:AH18)+SUM(AI18:AN18)</f>
        <v/>
      </c>
      <c r="AP18" s="121">
        <f>IF(AB18&lt;&gt;0,(AO18-AB18)/ABS(AB18),0)</f>
        <v/>
      </c>
    </row>
    <row r="19">
      <c r="A19" s="34" t="inlineStr">
        <is>
          <t>Uniform</t>
        </is>
      </c>
      <c r="B19" s="35" t="n">
        <v>1235.82</v>
      </c>
      <c r="C19" s="35" t="n">
        <v>1880.76</v>
      </c>
      <c r="D19" s="35" t="n">
        <v>1138.94</v>
      </c>
      <c r="E19" s="35" t="n">
        <v>629.02</v>
      </c>
      <c r="F19" s="35" t="n">
        <v>1180.97</v>
      </c>
      <c r="G19" s="35" t="n">
        <v>1001.98</v>
      </c>
      <c r="H19" s="35" t="n">
        <v>856.51</v>
      </c>
      <c r="I19" s="35" t="n">
        <v>191.28</v>
      </c>
      <c r="J19" s="35" t="n">
        <v>1666.47</v>
      </c>
      <c r="K19" s="35" t="n">
        <v>1590.12</v>
      </c>
      <c r="L19" s="35" t="n">
        <v>591.1999999999999</v>
      </c>
      <c r="M19" s="35" t="n">
        <v>1807.86</v>
      </c>
      <c r="N19" s="36">
        <f>SUM(B19:M19)</f>
        <v/>
      </c>
      <c r="O19" s="37">
        <f>'ABA'!O19+'BK'!O19+'BW'!O19+'CED'!O19+'HAB'!O19+'HB'!O19+'OD'!O19+'HDN'!O19+'KIN'!O19+'LE'!O19+'MER'!O19+'NDN'!O19+'SALT'!O19+'SDN'!O19+'SST'!O19+'WH'!O19+'FH'!O19+'KNL HO'!O19+'CCL HO'!O19+'YBHN HO'!O19+'YBN HO'!O19</f>
        <v/>
      </c>
      <c r="P19" s="37">
        <f>'ABA'!P19+'BK'!P19+'BW'!P19+'CED'!P19+'HAB'!P19+'HB'!P19+'OD'!P19+'HDN'!P19+'KIN'!P19+'LE'!P19+'MER'!P19+'NDN'!P19+'SALT'!P19+'SDN'!P19+'SST'!P19+'WH'!P19+'FH'!P19+'KNL HO'!P19+'CCL HO'!P19+'YBHN HO'!P19+'YBN HO'!P19</f>
        <v/>
      </c>
      <c r="Q19" s="37">
        <f>'ABA'!Q19+'BK'!Q19+'BW'!Q19+'CED'!Q19+'HAB'!Q19+'HB'!Q19+'OD'!Q19+'HDN'!Q19+'KIN'!Q19+'LE'!Q19+'MER'!Q19+'NDN'!Q19+'SALT'!Q19+'SDN'!Q19+'SST'!Q19+'WH'!Q19+'FH'!Q19+'KNL HO'!Q19+'CCL HO'!Q19+'YBHN HO'!Q19+'YBN HO'!Q19</f>
        <v/>
      </c>
      <c r="R19" s="37">
        <f>'ABA'!R19+'BK'!R19+'BW'!R19+'CED'!R19+'HAB'!R19+'HB'!R19+'OD'!R19+'HDN'!R19+'KIN'!R19+'LE'!R19+'MER'!R19+'NDN'!R19+'SALT'!R19+'SDN'!R19+'SST'!R19+'WH'!R19+'FH'!R19+'KNL HO'!R19+'CCL HO'!R19+'YBHN HO'!R19+'YBN HO'!R19</f>
        <v/>
      </c>
      <c r="S19" s="37">
        <f>'ABA'!S19+'BK'!S19+'BW'!S19+'CED'!S19+'HAB'!S19+'HB'!S19+'OD'!S19+'HDN'!S19+'KIN'!S19+'LE'!S19+'MER'!S19+'NDN'!S19+'SALT'!S19+'SDN'!S19+'SST'!S19+'WH'!S19+'FH'!S19+'KNL HO'!S19+'CCL HO'!S19+'YBHN HO'!S19+'YBN HO'!S19</f>
        <v/>
      </c>
      <c r="T19" s="37">
        <f>'ABA'!T19+'BK'!T19+'BW'!T19+'CED'!T19+'HAB'!T19+'HB'!T19+'OD'!T19+'HDN'!T19+'KIN'!T19+'LE'!T19+'MER'!T19+'NDN'!T19+'SALT'!T19+'SDN'!T19+'SST'!T19+'WH'!T19+'FH'!T19+'KNL HO'!T19+'CCL HO'!T19+'YBHN HO'!T19+'YBN HO'!T19</f>
        <v/>
      </c>
      <c r="U19" s="37">
        <f>'ABA'!U19+'BK'!U19+'BW'!U19+'CED'!U19+'HAB'!U19+'HB'!U19+'OD'!U19+'HDN'!U19+'KIN'!U19+'LE'!U19+'MER'!U19+'NDN'!U19+'SALT'!U19+'SDN'!U19+'SST'!U19+'WH'!U19+'FH'!U19+'KNL HO'!U19+'CCL HO'!U19+'YBHN HO'!U19+'YBN HO'!U19</f>
        <v/>
      </c>
      <c r="V19" s="38">
        <f>'KNL HO'!V19+'CCL GROUP P&amp;L'!V19+'YBHN GROUP P&amp;L'!V19+'YBN Group P&amp;L'!V19+'HAB'!V19+'Moe2 P&amp;L'!V19</f>
        <v/>
      </c>
      <c r="W19" s="38">
        <f>'KNL HO'!W19+'CCL GROUP P&amp;L'!W19+'YBHN GROUP P&amp;L'!W19+'YBN Group P&amp;L'!W19+'HAB'!W19+'Moe2 P&amp;L'!W19</f>
        <v/>
      </c>
      <c r="X19" s="38">
        <f>'KNL HO'!X19+'CCL GROUP P&amp;L'!X19+'YBHN GROUP P&amp;L'!X19+'YBN Group P&amp;L'!X19+'HAB'!X19+'Moe2 P&amp;L'!X19</f>
        <v/>
      </c>
      <c r="Y19" s="38">
        <f>'KNL HO'!Y19+'CCL GROUP P&amp;L'!Y19+'YBHN GROUP P&amp;L'!Y19+'YBN Group P&amp;L'!Y19+'HAB'!Y19+'Moe2 P&amp;L'!Y19</f>
        <v/>
      </c>
      <c r="Z19" s="38">
        <f>'KNL HO'!Z19+'CCL GROUP P&amp;L'!Z19+'YBHN GROUP P&amp;L'!Z19+'YBN Group P&amp;L'!Z19+'HAB'!Z19+'Moe2 P&amp;L'!Z19</f>
        <v/>
      </c>
      <c r="AA19" s="36">
        <f>SUM(O19:U19)</f>
        <v/>
      </c>
      <c r="AB19" s="36">
        <f>SUM(O19:Z19)</f>
        <v/>
      </c>
      <c r="AC19" s="38">
        <f>'KNL HO'!AC19+'CCL GROUP P&amp;L'!AC19+'YBHN GROUP P&amp;L'!AC19+'YBN Group P&amp;L'!AC19+'HAB'!AC19+'Moe2 P&amp;L'!AC19</f>
        <v/>
      </c>
      <c r="AD19" s="38">
        <f>'KNL HO'!AD19+'CCL GROUP P&amp;L'!AD19+'YBHN GROUP P&amp;L'!AD19+'YBN Group P&amp;L'!AD19+'HAB'!AD19+'Moe2 P&amp;L'!AD19</f>
        <v/>
      </c>
      <c r="AE19" s="38">
        <f>'KNL HO'!AE19+'CCL GROUP P&amp;L'!AE19+'YBHN GROUP P&amp;L'!AE19+'YBN Group P&amp;L'!AE19+'HAB'!AE19+'Moe2 P&amp;L'!AE19</f>
        <v/>
      </c>
      <c r="AF19" s="38">
        <f>'KNL HO'!AF19+'CCL GROUP P&amp;L'!AF19+'YBHN GROUP P&amp;L'!AF19+'YBN Group P&amp;L'!AF19+'HAB'!AF19+'Moe2 P&amp;L'!AF19</f>
        <v/>
      </c>
      <c r="AG19" s="38">
        <f>'KNL HO'!AG19+'CCL GROUP P&amp;L'!AG19+'YBHN GROUP P&amp;L'!AG19+'YBN Group P&amp;L'!AG19+'HAB'!AG19+'Moe2 P&amp;L'!AG19</f>
        <v/>
      </c>
      <c r="AH19" s="38">
        <f>'KNL HO'!AH19+'CCL GROUP P&amp;L'!AH19+'YBHN GROUP P&amp;L'!AH19+'YBN Group P&amp;L'!AH19+'HAB'!AH19+'Moe2 P&amp;L'!AH19</f>
        <v/>
      </c>
      <c r="AI19" s="137">
        <f>'KNL GROUP P&amp;L'!AI19+'CCL GROUP P&amp;L'!AI19+'YBHN GROUP P&amp;L'!AI19+'YBN Group P&amp;L'!AI19+'HAB P&amp;L'!AI19+'Moe2 P&amp;L'!AI19</f>
        <v/>
      </c>
      <c r="AJ19" s="138">
        <f>'KNL GROUP P&amp;L'!AJ19+'CCL GROUP P&amp;L'!AJ19+'YBHN GROUP P&amp;L'!AJ19+'YBN Group P&amp;L'!AJ19+'HAB P&amp;L'!AJ19+'Moe2 P&amp;L'!AJ19</f>
        <v/>
      </c>
      <c r="AK19" s="138">
        <f>'KNL GROUP P&amp;L'!AK19+'CCL GROUP P&amp;L'!AK19+'YBHN GROUP P&amp;L'!AK19+'YBN Group P&amp;L'!AK19+'HAB P&amp;L'!AK19+'Moe2 P&amp;L'!AK19</f>
        <v/>
      </c>
      <c r="AL19" s="138">
        <f>'KNL GROUP P&amp;L'!AL19+'CCL GROUP P&amp;L'!AL19+'YBHN GROUP P&amp;L'!AL19+'YBN Group P&amp;L'!AL19+'HAB P&amp;L'!AL19+'Moe2 P&amp;L'!AL19</f>
        <v/>
      </c>
      <c r="AM19" s="138">
        <f>'KNL GROUP P&amp;L'!AM19+'CCL GROUP P&amp;L'!AM19+'YBHN GROUP P&amp;L'!AM19+'YBN Group P&amp;L'!AM19+'HAB P&amp;L'!AM19+'Moe2 P&amp;L'!AM19</f>
        <v/>
      </c>
      <c r="AN19" s="137">
        <f>'KNL GROUP P&amp;L'!AN19+'CCL GROUP P&amp;L'!AN19+'YBHN GROUP P&amp;L'!AN19+'YBN Group P&amp;L'!AN19+'HAB P&amp;L'!AN19+'Moe2 P&amp;L'!AN19</f>
        <v/>
      </c>
      <c r="AO19" s="120">
        <f>SUM(AC19:AH19)+SUM(AI19:AN19)</f>
        <v/>
      </c>
      <c r="AP19" s="121">
        <f>IF(AB19&lt;&gt;0,(AO19-AB19)/ABS(AB19),0)</f>
        <v/>
      </c>
    </row>
    <row r="20">
      <c r="A20" s="34" t="inlineStr">
        <is>
          <t>Training</t>
        </is>
      </c>
      <c r="B20" s="35" t="n">
        <v>3002.69</v>
      </c>
      <c r="C20" s="35" t="n">
        <v>7435.83</v>
      </c>
      <c r="D20" s="35" t="n">
        <v>3502.93</v>
      </c>
      <c r="E20" s="35" t="n">
        <v>2684.03</v>
      </c>
      <c r="F20" s="35" t="n">
        <v>2743.9</v>
      </c>
      <c r="G20" s="35" t="n">
        <v>2823.33</v>
      </c>
      <c r="H20" s="35" t="n">
        <v>2879.48</v>
      </c>
      <c r="I20" s="35" t="n">
        <v>3400.09</v>
      </c>
      <c r="J20" s="35" t="n">
        <v>2908.1</v>
      </c>
      <c r="K20" s="35" t="n">
        <v>8817.889999999999</v>
      </c>
      <c r="L20" s="35" t="n">
        <v>3711.92</v>
      </c>
      <c r="M20" s="35" t="n">
        <v>1862.27</v>
      </c>
      <c r="N20" s="36">
        <f>SUM(B20:M20)</f>
        <v/>
      </c>
      <c r="O20" s="37">
        <f>'ABA'!O20+'BK'!O20+'BW'!O20+'CED'!O20+'HAB'!O20+'HB'!O20+'OD'!O20+'HDN'!O20+'KIN'!O20+'LE'!O20+'MER'!O20+'NDN'!O20+'SALT'!O20+'SDN'!O20+'SST'!O20+'WH'!O20+'FH'!O20+'KNL HO'!O20+'CCL HO'!O20+'YBHN HO'!O20+'YBN HO'!O20</f>
        <v/>
      </c>
      <c r="P20" s="37">
        <f>'ABA'!P20+'BK'!P20+'BW'!P20+'CED'!P20+'HAB'!P20+'HB'!P20+'OD'!P20+'HDN'!P20+'KIN'!P20+'LE'!P20+'MER'!P20+'NDN'!P20+'SALT'!P20+'SDN'!P20+'SST'!P20+'WH'!P20+'FH'!P20+'KNL HO'!P20+'CCL HO'!P20+'YBHN HO'!P20+'YBN HO'!P20</f>
        <v/>
      </c>
      <c r="Q20" s="37">
        <f>'ABA'!Q20+'BK'!Q20+'BW'!Q20+'CED'!Q20+'HAB'!Q20+'HB'!Q20+'OD'!Q20+'HDN'!Q20+'KIN'!Q20+'LE'!Q20+'MER'!Q20+'NDN'!Q20+'SALT'!Q20+'SDN'!Q20+'SST'!Q20+'WH'!Q20+'FH'!Q20+'KNL HO'!Q20+'CCL HO'!Q20+'YBHN HO'!Q20+'YBN HO'!Q20</f>
        <v/>
      </c>
      <c r="R20" s="37">
        <f>'ABA'!R20+'BK'!R20+'BW'!R20+'CED'!R20+'HAB'!R20+'HB'!R20+'OD'!R20+'HDN'!R20+'KIN'!R20+'LE'!R20+'MER'!R20+'NDN'!R20+'SALT'!R20+'SDN'!R20+'SST'!R20+'WH'!R20+'FH'!R20+'KNL HO'!R20+'CCL HO'!R20+'YBHN HO'!R20+'YBN HO'!R20</f>
        <v/>
      </c>
      <c r="S20" s="37">
        <f>'ABA'!S20+'BK'!S20+'BW'!S20+'CED'!S20+'HAB'!S20+'HB'!S20+'OD'!S20+'HDN'!S20+'KIN'!S20+'LE'!S20+'MER'!S20+'NDN'!S20+'SALT'!S20+'SDN'!S20+'SST'!S20+'WH'!S20+'FH'!S20+'KNL HO'!S20+'CCL HO'!S20+'YBHN HO'!S20+'YBN HO'!S20</f>
        <v/>
      </c>
      <c r="T20" s="37">
        <f>'ABA'!T20+'BK'!T20+'BW'!T20+'CED'!T20+'HAB'!T20+'HB'!T20+'OD'!T20+'HDN'!T20+'KIN'!T20+'LE'!T20+'MER'!T20+'NDN'!T20+'SALT'!T20+'SDN'!T20+'SST'!T20+'WH'!T20+'FH'!T20+'KNL HO'!T20+'CCL HO'!T20+'YBHN HO'!T20+'YBN HO'!T20</f>
        <v/>
      </c>
      <c r="U20" s="37">
        <f>'ABA'!U20+'BK'!U20+'BW'!U20+'CED'!U20+'HAB'!U20+'HB'!U20+'OD'!U20+'HDN'!U20+'KIN'!U20+'LE'!U20+'MER'!U20+'NDN'!U20+'SALT'!U20+'SDN'!U20+'SST'!U20+'WH'!U20+'FH'!U20+'KNL HO'!U20+'CCL HO'!U20+'YBHN HO'!U20+'YBN HO'!U20</f>
        <v/>
      </c>
      <c r="V20" s="38">
        <f>'KNL HO'!V20+'CCL GROUP P&amp;L'!V20+'YBHN GROUP P&amp;L'!V20+'YBN Group P&amp;L'!V20+'HAB'!V20+'Moe2 P&amp;L'!V20</f>
        <v/>
      </c>
      <c r="W20" s="38">
        <f>'KNL HO'!W20+'CCL GROUP P&amp;L'!W20+'YBHN GROUP P&amp;L'!W20+'YBN Group P&amp;L'!W20+'HAB'!W20+'Moe2 P&amp;L'!W20</f>
        <v/>
      </c>
      <c r="X20" s="38">
        <f>'KNL HO'!X20+'CCL GROUP P&amp;L'!X20+'YBHN GROUP P&amp;L'!X20+'YBN Group P&amp;L'!X20+'HAB'!X20+'Moe2 P&amp;L'!X20</f>
        <v/>
      </c>
      <c r="Y20" s="38">
        <f>'KNL HO'!Y20+'CCL GROUP P&amp;L'!Y20+'YBHN GROUP P&amp;L'!Y20+'YBN Group P&amp;L'!Y20+'HAB'!Y20+'Moe2 P&amp;L'!Y20</f>
        <v/>
      </c>
      <c r="Z20" s="38">
        <f>'KNL HO'!Z20+'CCL GROUP P&amp;L'!Z20+'YBHN GROUP P&amp;L'!Z20+'YBN Group P&amp;L'!Z20+'HAB'!Z20+'Moe2 P&amp;L'!Z20</f>
        <v/>
      </c>
      <c r="AA20" s="36">
        <f>SUM(O20:U20)</f>
        <v/>
      </c>
      <c r="AB20" s="36">
        <f>SUM(O20:Z20)</f>
        <v/>
      </c>
      <c r="AC20" s="38">
        <f>'KNL HO'!AC20+'CCL GROUP P&amp;L'!AC20+'YBHN GROUP P&amp;L'!AC20+'YBN Group P&amp;L'!AC20+'HAB'!AC20+'Moe2 P&amp;L'!AC20</f>
        <v/>
      </c>
      <c r="AD20" s="38">
        <f>'KNL HO'!AD20+'CCL GROUP P&amp;L'!AD20+'YBHN GROUP P&amp;L'!AD20+'YBN Group P&amp;L'!AD20+'HAB'!AD20+'Moe2 P&amp;L'!AD20</f>
        <v/>
      </c>
      <c r="AE20" s="38">
        <f>'KNL HO'!AE20+'CCL GROUP P&amp;L'!AE20+'YBHN GROUP P&amp;L'!AE20+'YBN Group P&amp;L'!AE20+'HAB'!AE20+'Moe2 P&amp;L'!AE20</f>
        <v/>
      </c>
      <c r="AF20" s="38">
        <f>'KNL HO'!AF20+'CCL GROUP P&amp;L'!AF20+'YBHN GROUP P&amp;L'!AF20+'YBN Group P&amp;L'!AF20+'HAB'!AF20+'Moe2 P&amp;L'!AF20</f>
        <v/>
      </c>
      <c r="AG20" s="38">
        <f>'KNL HO'!AG20+'CCL GROUP P&amp;L'!AG20+'YBHN GROUP P&amp;L'!AG20+'YBN Group P&amp;L'!AG20+'HAB'!AG20+'Moe2 P&amp;L'!AG20</f>
        <v/>
      </c>
      <c r="AH20" s="38">
        <f>'KNL HO'!AH20+'CCL GROUP P&amp;L'!AH20+'YBHN GROUP P&amp;L'!AH20+'YBN Group P&amp;L'!AH20+'HAB'!AH20+'Moe2 P&amp;L'!AH20</f>
        <v/>
      </c>
      <c r="AI20" s="137">
        <f>'KNL GROUP P&amp;L'!AI20+'CCL GROUP P&amp;L'!AI20+'YBHN GROUP P&amp;L'!AI20+'YBN Group P&amp;L'!AI20+'HAB P&amp;L'!AI20+'Moe2 P&amp;L'!AI20</f>
        <v/>
      </c>
      <c r="AJ20" s="138">
        <f>'KNL GROUP P&amp;L'!AJ20+'CCL GROUP P&amp;L'!AJ20+'YBHN GROUP P&amp;L'!AJ20+'YBN Group P&amp;L'!AJ20+'HAB P&amp;L'!AJ20+'Moe2 P&amp;L'!AJ20</f>
        <v/>
      </c>
      <c r="AK20" s="138">
        <f>'KNL GROUP P&amp;L'!AK20+'CCL GROUP P&amp;L'!AK20+'YBHN GROUP P&amp;L'!AK20+'YBN Group P&amp;L'!AK20+'HAB P&amp;L'!AK20+'Moe2 P&amp;L'!AK20</f>
        <v/>
      </c>
      <c r="AL20" s="138">
        <f>'KNL GROUP P&amp;L'!AL20+'CCL GROUP P&amp;L'!AL20+'YBHN GROUP P&amp;L'!AL20+'YBN Group P&amp;L'!AL20+'HAB P&amp;L'!AL20+'Moe2 P&amp;L'!AL20</f>
        <v/>
      </c>
      <c r="AM20" s="138">
        <f>'KNL GROUP P&amp;L'!AM20+'CCL GROUP P&amp;L'!AM20+'YBHN GROUP P&amp;L'!AM20+'YBN Group P&amp;L'!AM20+'HAB P&amp;L'!AM20+'Moe2 P&amp;L'!AM20</f>
        <v/>
      </c>
      <c r="AN20" s="137">
        <f>'KNL GROUP P&amp;L'!AN20+'CCL GROUP P&amp;L'!AN20+'YBHN GROUP P&amp;L'!AN20+'YBN Group P&amp;L'!AN20+'HAB P&amp;L'!AN20+'Moe2 P&amp;L'!AN20</f>
        <v/>
      </c>
      <c r="AO20" s="120">
        <f>SUM(AC20:AH20)+SUM(AI20:AN20)</f>
        <v/>
      </c>
      <c r="AP20" s="121">
        <f>IF(AB20&lt;&gt;0,(AO20-AB20)/ABS(AB20),0)</f>
        <v/>
      </c>
    </row>
    <row r="21">
      <c r="A21" s="34" t="inlineStr">
        <is>
          <t>Staff Welfare</t>
        </is>
      </c>
      <c r="B21" s="35" t="n">
        <v>5783.319999999999</v>
      </c>
      <c r="C21" s="35" t="n">
        <v>5492.109999999999</v>
      </c>
      <c r="D21" s="35" t="n">
        <v>3680.379999999999</v>
      </c>
      <c r="E21" s="35" t="n">
        <v>5121.319999999999</v>
      </c>
      <c r="F21" s="35" t="n">
        <v>5200.69</v>
      </c>
      <c r="G21" s="35" t="n">
        <v>3145.79</v>
      </c>
      <c r="H21" s="35" t="n">
        <v>4058.26</v>
      </c>
      <c r="I21" s="35" t="n">
        <v>2831.19</v>
      </c>
      <c r="J21" s="35" t="n">
        <v>2687.77</v>
      </c>
      <c r="K21" s="35" t="n">
        <v>3812.989999999999</v>
      </c>
      <c r="L21" s="35" t="n">
        <v>3586.34</v>
      </c>
      <c r="M21" s="35" t="n">
        <v>3285.859999999999</v>
      </c>
      <c r="N21" s="36">
        <f>SUM(B21:M21)</f>
        <v/>
      </c>
      <c r="O21" s="37">
        <f>'ABA'!O21+'BK'!O21+'BW'!O21+'CED'!O21+'HAB'!O21+'HB'!O21+'OD'!O21+'HDN'!O21+'KIN'!O21+'LE'!O21+'MER'!O21+'NDN'!O21+'SALT'!O21+'SDN'!O21+'SST'!O21+'WH'!O21+'FH'!O21+'KNL HO'!O21+'CCL HO'!O21+'YBHN HO'!O21+'YBN HO'!O21</f>
        <v/>
      </c>
      <c r="P21" s="37">
        <f>'ABA'!P21+'BK'!P21+'BW'!P21+'CED'!P21+'HAB'!P21+'HB'!P21+'OD'!P21+'HDN'!P21+'KIN'!P21+'LE'!P21+'MER'!P21+'NDN'!P21+'SALT'!P21+'SDN'!P21+'SST'!P21+'WH'!P21+'FH'!P21+'KNL HO'!P21+'CCL HO'!P21+'YBHN HO'!P21+'YBN HO'!P21</f>
        <v/>
      </c>
      <c r="Q21" s="37">
        <f>'ABA'!Q21+'BK'!Q21+'BW'!Q21+'CED'!Q21+'HAB'!Q21+'HB'!Q21+'OD'!Q21+'HDN'!Q21+'KIN'!Q21+'LE'!Q21+'MER'!Q21+'NDN'!Q21+'SALT'!Q21+'SDN'!Q21+'SST'!Q21+'WH'!Q21+'FH'!Q21+'KNL HO'!Q21+'CCL HO'!Q21+'YBHN HO'!Q21+'YBN HO'!Q21</f>
        <v/>
      </c>
      <c r="R21" s="37">
        <f>'ABA'!R21+'BK'!R21+'BW'!R21+'CED'!R21+'HAB'!R21+'HB'!R21+'OD'!R21+'HDN'!R21+'KIN'!R21+'LE'!R21+'MER'!R21+'NDN'!R21+'SALT'!R21+'SDN'!R21+'SST'!R21+'WH'!R21+'FH'!R21+'KNL HO'!R21+'CCL HO'!R21+'YBHN HO'!R21+'YBN HO'!R21</f>
        <v/>
      </c>
      <c r="S21" s="37">
        <f>'ABA'!S21+'BK'!S21+'BW'!S21+'CED'!S21+'HAB'!S21+'HB'!S21+'OD'!S21+'HDN'!S21+'KIN'!S21+'LE'!S21+'MER'!S21+'NDN'!S21+'SALT'!S21+'SDN'!S21+'SST'!S21+'WH'!S21+'FH'!S21+'KNL HO'!S21+'CCL HO'!S21+'YBHN HO'!S21+'YBN HO'!S21</f>
        <v/>
      </c>
      <c r="T21" s="37">
        <f>'ABA'!T21+'BK'!T21+'BW'!T21+'CED'!T21+'HAB'!T21+'HB'!T21+'OD'!T21+'HDN'!T21+'KIN'!T21+'LE'!T21+'MER'!T21+'NDN'!T21+'SALT'!T21+'SDN'!T21+'SST'!T21+'WH'!T21+'FH'!T21+'KNL HO'!T21+'CCL HO'!T21+'YBHN HO'!T21+'YBN HO'!T21</f>
        <v/>
      </c>
      <c r="U21" s="37">
        <f>'ABA'!U21+'BK'!U21+'BW'!U21+'CED'!U21+'HAB'!U21+'HB'!U21+'OD'!U21+'HDN'!U21+'KIN'!U21+'LE'!U21+'MER'!U21+'NDN'!U21+'SALT'!U21+'SDN'!U21+'SST'!U21+'WH'!U21+'FH'!U21+'KNL HO'!U21+'CCL HO'!U21+'YBHN HO'!U21+'YBN HO'!U21</f>
        <v/>
      </c>
      <c r="V21" s="38">
        <f>'KNL HO'!V21+'CCL GROUP P&amp;L'!V21+'YBHN GROUP P&amp;L'!V21+'YBN Group P&amp;L'!V21+'HAB'!V21+'Moe2 P&amp;L'!V21</f>
        <v/>
      </c>
      <c r="W21" s="38">
        <f>'KNL HO'!W21+'CCL GROUP P&amp;L'!W21+'YBHN GROUP P&amp;L'!W21+'YBN Group P&amp;L'!W21+'HAB'!W21+'Moe2 P&amp;L'!W21</f>
        <v/>
      </c>
      <c r="X21" s="38">
        <f>'KNL HO'!X21+'CCL GROUP P&amp;L'!X21+'YBHN GROUP P&amp;L'!X21+'YBN Group P&amp;L'!X21+'HAB'!X21+'Moe2 P&amp;L'!X21</f>
        <v/>
      </c>
      <c r="Y21" s="38">
        <f>'KNL HO'!Y21+'CCL GROUP P&amp;L'!Y21+'YBHN GROUP P&amp;L'!Y21+'YBN Group P&amp;L'!Y21+'HAB'!Y21+'Moe2 P&amp;L'!Y21</f>
        <v/>
      </c>
      <c r="Z21" s="38">
        <f>'KNL HO'!Z21+'CCL GROUP P&amp;L'!Z21+'YBHN GROUP P&amp;L'!Z21+'YBN Group P&amp;L'!Z21+'HAB'!Z21+'Moe2 P&amp;L'!Z21</f>
        <v/>
      </c>
      <c r="AA21" s="36">
        <f>SUM(O21:U21)</f>
        <v/>
      </c>
      <c r="AB21" s="36">
        <f>SUM(O21:Z21)</f>
        <v/>
      </c>
      <c r="AC21" s="38">
        <f>'KNL HO'!AC21+'CCL GROUP P&amp;L'!AC21+'YBHN GROUP P&amp;L'!AC21+'YBN Group P&amp;L'!AC21+'HAB'!AC21+'Moe2 P&amp;L'!AC21</f>
        <v/>
      </c>
      <c r="AD21" s="38">
        <f>'KNL HO'!AD21+'CCL GROUP P&amp;L'!AD21+'YBHN GROUP P&amp;L'!AD21+'YBN Group P&amp;L'!AD21+'HAB'!AD21+'Moe2 P&amp;L'!AD21</f>
        <v/>
      </c>
      <c r="AE21" s="38">
        <f>'KNL HO'!AE21+'CCL GROUP P&amp;L'!AE21+'YBHN GROUP P&amp;L'!AE21+'YBN Group P&amp;L'!AE21+'HAB'!AE21+'Moe2 P&amp;L'!AE21</f>
        <v/>
      </c>
      <c r="AF21" s="38">
        <f>'KNL HO'!AF21+'CCL GROUP P&amp;L'!AF21+'YBHN GROUP P&amp;L'!AF21+'YBN Group P&amp;L'!AF21+'HAB'!AF21+'Moe2 P&amp;L'!AF21</f>
        <v/>
      </c>
      <c r="AG21" s="38">
        <f>'KNL HO'!AG21+'CCL GROUP P&amp;L'!AG21+'YBHN GROUP P&amp;L'!AG21+'YBN Group P&amp;L'!AG21+'HAB'!AG21+'Moe2 P&amp;L'!AG21</f>
        <v/>
      </c>
      <c r="AH21" s="38">
        <f>'KNL HO'!AH21+'CCL GROUP P&amp;L'!AH21+'YBHN GROUP P&amp;L'!AH21+'YBN Group P&amp;L'!AH21+'HAB'!AH21+'Moe2 P&amp;L'!AH21</f>
        <v/>
      </c>
      <c r="AI21" s="137">
        <f>'KNL GROUP P&amp;L'!AI21+'CCL GROUP P&amp;L'!AI21+'YBHN GROUP P&amp;L'!AI21+'YBN Group P&amp;L'!AI21+'HAB P&amp;L'!AI21+'Moe2 P&amp;L'!AI21</f>
        <v/>
      </c>
      <c r="AJ21" s="138">
        <f>'KNL GROUP P&amp;L'!AJ21+'CCL GROUP P&amp;L'!AJ21+'YBHN GROUP P&amp;L'!AJ21+'YBN Group P&amp;L'!AJ21+'HAB P&amp;L'!AJ21+'Moe2 P&amp;L'!AJ21</f>
        <v/>
      </c>
      <c r="AK21" s="138">
        <f>'KNL GROUP P&amp;L'!AK21+'CCL GROUP P&amp;L'!AK21+'YBHN GROUP P&amp;L'!AK21+'YBN Group P&amp;L'!AK21+'HAB P&amp;L'!AK21+'Moe2 P&amp;L'!AK21</f>
        <v/>
      </c>
      <c r="AL21" s="138">
        <f>'KNL GROUP P&amp;L'!AL21+'CCL GROUP P&amp;L'!AL21+'YBHN GROUP P&amp;L'!AL21+'YBN Group P&amp;L'!AL21+'HAB P&amp;L'!AL21+'Moe2 P&amp;L'!AL21</f>
        <v/>
      </c>
      <c r="AM21" s="138">
        <f>'KNL GROUP P&amp;L'!AM21+'CCL GROUP P&amp;L'!AM21+'YBHN GROUP P&amp;L'!AM21+'YBN Group P&amp;L'!AM21+'HAB P&amp;L'!AM21+'Moe2 P&amp;L'!AM21</f>
        <v/>
      </c>
      <c r="AN21" s="137">
        <f>'KNL GROUP P&amp;L'!AN21+'CCL GROUP P&amp;L'!AN21+'YBHN GROUP P&amp;L'!AN21+'YBN Group P&amp;L'!AN21+'HAB P&amp;L'!AN21+'Moe2 P&amp;L'!AN21</f>
        <v/>
      </c>
      <c r="AO21" s="120">
        <f>SUM(AC21:AH21)+SUM(AI21:AN21)</f>
        <v/>
      </c>
      <c r="AP21" s="121">
        <f>IF(AB21&lt;&gt;0,(AO21-AB21)/ABS(AB21),0)</f>
        <v/>
      </c>
    </row>
    <row r="22">
      <c r="A22" s="34" t="inlineStr">
        <is>
          <t>Recruitment</t>
        </is>
      </c>
      <c r="B22" s="35" t="n">
        <v>7085.94</v>
      </c>
      <c r="C22" s="35" t="n">
        <v>7154.8</v>
      </c>
      <c r="D22" s="35" t="n">
        <v>1659.66</v>
      </c>
      <c r="E22" s="35" t="n">
        <v>4837.82</v>
      </c>
      <c r="F22" s="35" t="n">
        <v>7267.63</v>
      </c>
      <c r="G22" s="35" t="n">
        <v>8967.110000000001</v>
      </c>
      <c r="H22" s="35" t="n">
        <v>7748.5</v>
      </c>
      <c r="I22" s="35" t="n">
        <v>3434</v>
      </c>
      <c r="J22" s="35" t="n">
        <v>7084</v>
      </c>
      <c r="K22" s="35" t="n">
        <v>4044.5</v>
      </c>
      <c r="L22" s="35" t="n">
        <v>2527.46</v>
      </c>
      <c r="M22" s="35" t="n">
        <v>7930.110000000001</v>
      </c>
      <c r="N22" s="36">
        <f>SUM(B22:M22)</f>
        <v/>
      </c>
      <c r="O22" s="37">
        <f>'ABA'!O22+'BK'!O22+'BW'!O22+'CED'!O22+'HAB'!O22+'HB'!O22+'OD'!O22+'HDN'!O22+'KIN'!O22+'LE'!O22+'MER'!O22+'NDN'!O22+'SALT'!O22+'SDN'!O22+'SST'!O22+'WH'!O22+'FH'!O22+'KNL HO'!O22+'CCL HO'!O22+'YBHN HO'!O22+'YBN HO'!O22</f>
        <v/>
      </c>
      <c r="P22" s="37">
        <f>'ABA'!P22+'BK'!P22+'BW'!P22+'CED'!P22+'HAB'!P22+'HB'!P22+'OD'!P22+'HDN'!P22+'KIN'!P22+'LE'!P22+'MER'!P22+'NDN'!P22+'SALT'!P22+'SDN'!P22+'SST'!P22+'WH'!P22+'FH'!P22+'KNL HO'!P22+'CCL HO'!P22+'YBHN HO'!P22+'YBN HO'!P22</f>
        <v/>
      </c>
      <c r="Q22" s="37">
        <f>'ABA'!Q22+'BK'!Q22+'BW'!Q22+'CED'!Q22+'HAB'!Q22+'HB'!Q22+'OD'!Q22+'HDN'!Q22+'KIN'!Q22+'LE'!Q22+'MER'!Q22+'NDN'!Q22+'SALT'!Q22+'SDN'!Q22+'SST'!Q22+'WH'!Q22+'FH'!Q22+'KNL HO'!Q22+'CCL HO'!Q22+'YBHN HO'!Q22+'YBN HO'!Q22</f>
        <v/>
      </c>
      <c r="R22" s="37">
        <f>'ABA'!R22+'BK'!R22+'BW'!R22+'CED'!R22+'HAB'!R22+'HB'!R22+'OD'!R22+'HDN'!R22+'KIN'!R22+'LE'!R22+'MER'!R22+'NDN'!R22+'SALT'!R22+'SDN'!R22+'SST'!R22+'WH'!R22+'FH'!R22+'KNL HO'!R22+'CCL HO'!R22+'YBHN HO'!R22+'YBN HO'!R22</f>
        <v/>
      </c>
      <c r="S22" s="37">
        <f>'ABA'!S22+'BK'!S22+'BW'!S22+'CED'!S22+'HAB'!S22+'HB'!S22+'OD'!S22+'HDN'!S22+'KIN'!S22+'LE'!S22+'MER'!S22+'NDN'!S22+'SALT'!S22+'SDN'!S22+'SST'!S22+'WH'!S22+'FH'!S22+'KNL HO'!S22+'CCL HO'!S22+'YBHN HO'!S22+'YBN HO'!S22</f>
        <v/>
      </c>
      <c r="T22" s="37">
        <f>'ABA'!T22+'BK'!T22+'BW'!T22+'CED'!T22+'HAB'!T22+'HB'!T22+'OD'!T22+'HDN'!T22+'KIN'!T22+'LE'!T22+'MER'!T22+'NDN'!T22+'SALT'!T22+'SDN'!T22+'SST'!T22+'WH'!T22+'FH'!T22+'KNL HO'!T22+'CCL HO'!T22+'YBHN HO'!T22+'YBN HO'!T22</f>
        <v/>
      </c>
      <c r="U22" s="37">
        <f>'ABA'!U22+'BK'!U22+'BW'!U22+'CED'!U22+'HAB'!U22+'HB'!U22+'OD'!U22+'HDN'!U22+'KIN'!U22+'LE'!U22+'MER'!U22+'NDN'!U22+'SALT'!U22+'SDN'!U22+'SST'!U22+'WH'!U22+'FH'!U22+'KNL HO'!U22+'CCL HO'!U22+'YBHN HO'!U22+'YBN HO'!U22</f>
        <v/>
      </c>
      <c r="V22" s="38">
        <f>'KNL HO'!V22+'CCL GROUP P&amp;L'!V22+'YBHN GROUP P&amp;L'!V22+'YBN Group P&amp;L'!V22+'HAB'!V22+'Moe2 P&amp;L'!V22</f>
        <v/>
      </c>
      <c r="W22" s="38">
        <f>'KNL HO'!W22+'CCL GROUP P&amp;L'!W22+'YBHN GROUP P&amp;L'!W22+'YBN Group P&amp;L'!W22+'HAB'!W22+'Moe2 P&amp;L'!W22</f>
        <v/>
      </c>
      <c r="X22" s="38">
        <f>'KNL HO'!X22+'CCL GROUP P&amp;L'!X22+'YBHN GROUP P&amp;L'!X22+'YBN Group P&amp;L'!X22+'HAB'!X22+'Moe2 P&amp;L'!X22</f>
        <v/>
      </c>
      <c r="Y22" s="38">
        <f>'KNL HO'!Y22+'CCL GROUP P&amp;L'!Y22+'YBHN GROUP P&amp;L'!Y22+'YBN Group P&amp;L'!Y22+'HAB'!Y22+'Moe2 P&amp;L'!Y22</f>
        <v/>
      </c>
      <c r="Z22" s="38">
        <f>'KNL HO'!Z22+'CCL GROUP P&amp;L'!Z22+'YBHN GROUP P&amp;L'!Z22+'YBN Group P&amp;L'!Z22+'HAB'!Z22+'Moe2 P&amp;L'!Z22</f>
        <v/>
      </c>
      <c r="AA22" s="36">
        <f>SUM(O22:U22)</f>
        <v/>
      </c>
      <c r="AB22" s="36">
        <f>SUM(O22:Z22)</f>
        <v/>
      </c>
      <c r="AC22" s="38">
        <f>'KNL HO'!AC22+'CCL GROUP P&amp;L'!AC22+'YBHN GROUP P&amp;L'!AC22+'YBN Group P&amp;L'!AC22+'HAB'!AC22+'Moe2 P&amp;L'!AC22</f>
        <v/>
      </c>
      <c r="AD22" s="38">
        <f>'KNL HO'!AD22+'CCL GROUP P&amp;L'!AD22+'YBHN GROUP P&amp;L'!AD22+'YBN Group P&amp;L'!AD22+'HAB'!AD22+'Moe2 P&amp;L'!AD22</f>
        <v/>
      </c>
      <c r="AE22" s="38">
        <f>'KNL HO'!AE22+'CCL GROUP P&amp;L'!AE22+'YBHN GROUP P&amp;L'!AE22+'YBN Group P&amp;L'!AE22+'HAB'!AE22+'Moe2 P&amp;L'!AE22</f>
        <v/>
      </c>
      <c r="AF22" s="38">
        <f>'KNL HO'!AF22+'CCL GROUP P&amp;L'!AF22+'YBHN GROUP P&amp;L'!AF22+'YBN Group P&amp;L'!AF22+'HAB'!AF22+'Moe2 P&amp;L'!AF22</f>
        <v/>
      </c>
      <c r="AG22" s="38">
        <f>'KNL HO'!AG22+'CCL GROUP P&amp;L'!AG22+'YBHN GROUP P&amp;L'!AG22+'YBN Group P&amp;L'!AG22+'HAB'!AG22+'Moe2 P&amp;L'!AG22</f>
        <v/>
      </c>
      <c r="AH22" s="38">
        <f>'KNL HO'!AH22+'CCL GROUP P&amp;L'!AH22+'YBHN GROUP P&amp;L'!AH22+'YBN Group P&amp;L'!AH22+'HAB'!AH22+'Moe2 P&amp;L'!AH22</f>
        <v/>
      </c>
      <c r="AI22" s="137">
        <f>'KNL GROUP P&amp;L'!AI22+'CCL GROUP P&amp;L'!AI22+'YBHN GROUP P&amp;L'!AI22+'YBN Group P&amp;L'!AI22+'HAB P&amp;L'!AI22+'Moe2 P&amp;L'!AI22</f>
        <v/>
      </c>
      <c r="AJ22" s="138">
        <f>'KNL GROUP P&amp;L'!AJ22+'CCL GROUP P&amp;L'!AJ22+'YBHN GROUP P&amp;L'!AJ22+'YBN Group P&amp;L'!AJ22+'HAB P&amp;L'!AJ22+'Moe2 P&amp;L'!AJ22</f>
        <v/>
      </c>
      <c r="AK22" s="138">
        <f>'KNL GROUP P&amp;L'!AK22+'CCL GROUP P&amp;L'!AK22+'YBHN GROUP P&amp;L'!AK22+'YBN Group P&amp;L'!AK22+'HAB P&amp;L'!AK22+'Moe2 P&amp;L'!AK22</f>
        <v/>
      </c>
      <c r="AL22" s="138">
        <f>'KNL GROUP P&amp;L'!AL22+'CCL GROUP P&amp;L'!AL22+'YBHN GROUP P&amp;L'!AL22+'YBN Group P&amp;L'!AL22+'HAB P&amp;L'!AL22+'Moe2 P&amp;L'!AL22</f>
        <v/>
      </c>
      <c r="AM22" s="138">
        <f>'KNL GROUP P&amp;L'!AM22+'CCL GROUP P&amp;L'!AM22+'YBHN GROUP P&amp;L'!AM22+'YBN Group P&amp;L'!AM22+'HAB P&amp;L'!AM22+'Moe2 P&amp;L'!AM22</f>
        <v/>
      </c>
      <c r="AN22" s="137">
        <f>'KNL GROUP P&amp;L'!AN22+'CCL GROUP P&amp;L'!AN22+'YBHN GROUP P&amp;L'!AN22+'YBN Group P&amp;L'!AN22+'HAB P&amp;L'!AN22+'Moe2 P&amp;L'!AN22</f>
        <v/>
      </c>
      <c r="AO22" s="120">
        <f>SUM(AC22:AH22)+SUM(AI22:AN22)</f>
        <v/>
      </c>
      <c r="AP22" s="121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1630</v>
      </c>
      <c r="H23" s="35" t="n">
        <v>2423.57</v>
      </c>
      <c r="I23" s="35" t="n">
        <v>1238.7</v>
      </c>
      <c r="J23" s="35" t="n">
        <v>2444.67</v>
      </c>
      <c r="K23" s="35" t="n">
        <v>1251.27</v>
      </c>
      <c r="L23" s="35" t="n">
        <v>5222.39</v>
      </c>
      <c r="M23" s="35" t="n">
        <v>2416.64</v>
      </c>
      <c r="N23" s="36">
        <f>SUM(B23:M23)</f>
        <v/>
      </c>
      <c r="O23" s="37">
        <f>'ABA'!O23+'BK'!O23+'BW'!O23+'CED'!O23+'HAB'!O23+'HB'!O23+'OD'!O23+'HDN'!O23+'KIN'!O23+'LE'!O23+'MER'!O23+'NDN'!O23+'SALT'!O23+'SDN'!O23+'SST'!O23+'WH'!O23+'FH'!O23+'KNL HO'!O23+'CCL HO'!O23+'YBHN HO'!O23+'YBN HO'!O23</f>
        <v/>
      </c>
      <c r="P23" s="37">
        <f>'ABA'!P23+'BK'!P23+'BW'!P23+'CED'!P23+'HAB'!P23+'HB'!P23+'OD'!P23+'HDN'!P23+'KIN'!P23+'LE'!P23+'MER'!P23+'NDN'!P23+'SALT'!P23+'SDN'!P23+'SST'!P23+'WH'!P23+'FH'!P23+'KNL HO'!P23+'CCL HO'!P23+'YBHN HO'!P23+'YBN HO'!P23</f>
        <v/>
      </c>
      <c r="Q23" s="37">
        <f>'ABA'!Q23+'BK'!Q23+'BW'!Q23+'CED'!Q23+'HAB'!Q23+'HB'!Q23+'OD'!Q23+'HDN'!Q23+'KIN'!Q23+'LE'!Q23+'MER'!Q23+'NDN'!Q23+'SALT'!Q23+'SDN'!Q23+'SST'!Q23+'WH'!Q23+'FH'!Q23+'KNL HO'!Q23+'CCL HO'!Q23+'YBHN HO'!Q23+'YBN HO'!Q23</f>
        <v/>
      </c>
      <c r="R23" s="37">
        <f>'ABA'!R23+'BK'!R23+'BW'!R23+'CED'!R23+'HAB'!R23+'HB'!R23+'OD'!R23+'HDN'!R23+'KIN'!R23+'LE'!R23+'MER'!R23+'NDN'!R23+'SALT'!R23+'SDN'!R23+'SST'!R23+'WH'!R23+'FH'!R23+'KNL HO'!R23+'CCL HO'!R23+'YBHN HO'!R23+'YBN HO'!R23</f>
        <v/>
      </c>
      <c r="S23" s="37">
        <f>'ABA'!S23+'BK'!S23+'BW'!S23+'CED'!S23+'HAB'!S23+'HB'!S23+'OD'!S23+'HDN'!S23+'KIN'!S23+'LE'!S23+'MER'!S23+'NDN'!S23+'SALT'!S23+'SDN'!S23+'SST'!S23+'WH'!S23+'FH'!S23+'KNL HO'!S23+'CCL HO'!S23+'YBHN HO'!S23+'YBN HO'!S23</f>
        <v/>
      </c>
      <c r="T23" s="37">
        <f>'ABA'!T23+'BK'!T23+'BW'!T23+'CED'!T23+'HAB'!T23+'HB'!T23+'OD'!T23+'HDN'!T23+'KIN'!T23+'LE'!T23+'MER'!T23+'NDN'!T23+'SALT'!T23+'SDN'!T23+'SST'!T23+'WH'!T23+'FH'!T23+'KNL HO'!T23+'CCL HO'!T23+'YBHN HO'!T23+'YBN HO'!T23</f>
        <v/>
      </c>
      <c r="U23" s="37">
        <f>'ABA'!U23+'BK'!U23+'BW'!U23+'CED'!U23+'HAB'!U23+'HB'!U23+'OD'!U23+'HDN'!U23+'KIN'!U23+'LE'!U23+'MER'!U23+'NDN'!U23+'SALT'!U23+'SDN'!U23+'SST'!U23+'WH'!U23+'FH'!U23+'KNL HO'!U23+'CCL HO'!U23+'YBHN HO'!U23+'YBN HO'!U23</f>
        <v/>
      </c>
      <c r="V23" s="38">
        <f>'KNL HO'!V23+'CCL GROUP P&amp;L'!V23+'YBHN GROUP P&amp;L'!V23+'YBN Group P&amp;L'!V23+'HAB'!V23+'Moe2 P&amp;L'!V23</f>
        <v/>
      </c>
      <c r="W23" s="38">
        <f>'KNL HO'!W23+'CCL GROUP P&amp;L'!W23+'YBHN GROUP P&amp;L'!W23+'YBN Group P&amp;L'!W23+'HAB'!W23+'Moe2 P&amp;L'!W23</f>
        <v/>
      </c>
      <c r="X23" s="38">
        <f>'KNL HO'!X23+'CCL GROUP P&amp;L'!X23+'YBHN GROUP P&amp;L'!X23+'YBN Group P&amp;L'!X23+'HAB'!X23+'Moe2 P&amp;L'!X23</f>
        <v/>
      </c>
      <c r="Y23" s="38">
        <f>'KNL HO'!Y23+'CCL GROUP P&amp;L'!Y23+'YBHN GROUP P&amp;L'!Y23+'YBN Group P&amp;L'!Y23+'HAB'!Y23+'Moe2 P&amp;L'!Y23</f>
        <v/>
      </c>
      <c r="Z23" s="38">
        <f>'KNL HO'!Z23+'CCL GROUP P&amp;L'!Z23+'YBHN GROUP P&amp;L'!Z23+'YBN Group P&amp;L'!Z23+'HAB'!Z23+'Moe2 P&amp;L'!Z23</f>
        <v/>
      </c>
      <c r="AA23" s="36">
        <f>SUM(O23:U23)</f>
        <v/>
      </c>
      <c r="AB23" s="36">
        <f>SUM(O23:Z23)</f>
        <v/>
      </c>
      <c r="AC23" s="38">
        <f>'KNL HO'!AC23+'CCL GROUP P&amp;L'!AC23+'YBHN GROUP P&amp;L'!AC23+'YBN Group P&amp;L'!AC23+'HAB'!AC23+'Moe2 P&amp;L'!AC23</f>
        <v/>
      </c>
      <c r="AD23" s="38">
        <f>'KNL HO'!AD23+'CCL GROUP P&amp;L'!AD23+'YBHN GROUP P&amp;L'!AD23+'YBN Group P&amp;L'!AD23+'HAB'!AD23+'Moe2 P&amp;L'!AD23</f>
        <v/>
      </c>
      <c r="AE23" s="38">
        <f>'KNL HO'!AE23+'CCL GROUP P&amp;L'!AE23+'YBHN GROUP P&amp;L'!AE23+'YBN Group P&amp;L'!AE23+'HAB'!AE23+'Moe2 P&amp;L'!AE23</f>
        <v/>
      </c>
      <c r="AF23" s="38">
        <f>'KNL HO'!AF23+'CCL GROUP P&amp;L'!AF23+'YBHN GROUP P&amp;L'!AF23+'YBN Group P&amp;L'!AF23+'HAB'!AF23+'Moe2 P&amp;L'!AF23</f>
        <v/>
      </c>
      <c r="AG23" s="38">
        <f>'KNL HO'!AG23+'CCL GROUP P&amp;L'!AG23+'YBHN GROUP P&amp;L'!AG23+'YBN Group P&amp;L'!AG23+'HAB'!AG23+'Moe2 P&amp;L'!AG23</f>
        <v/>
      </c>
      <c r="AH23" s="38">
        <f>'KNL HO'!AH23+'CCL GROUP P&amp;L'!AH23+'YBHN GROUP P&amp;L'!AH23+'YBN Group P&amp;L'!AH23+'HAB'!AH23+'Moe2 P&amp;L'!AH23</f>
        <v/>
      </c>
      <c r="AI23" s="137">
        <f>'KNL GROUP P&amp;L'!AI23+'CCL GROUP P&amp;L'!AI23+'YBHN GROUP P&amp;L'!AI23+'YBN Group P&amp;L'!AI23+'HAB P&amp;L'!AI23+'Moe2 P&amp;L'!AI23</f>
        <v/>
      </c>
      <c r="AJ23" s="138">
        <f>'KNL GROUP P&amp;L'!AJ23+'CCL GROUP P&amp;L'!AJ23+'YBHN GROUP P&amp;L'!AJ23+'YBN Group P&amp;L'!AJ23+'HAB P&amp;L'!AJ23+'Moe2 P&amp;L'!AJ23</f>
        <v/>
      </c>
      <c r="AK23" s="138">
        <f>'KNL GROUP P&amp;L'!AK23+'CCL GROUP P&amp;L'!AK23+'YBHN GROUP P&amp;L'!AK23+'YBN Group P&amp;L'!AK23+'HAB P&amp;L'!AK23+'Moe2 P&amp;L'!AK23</f>
        <v/>
      </c>
      <c r="AL23" s="138">
        <f>'KNL GROUP P&amp;L'!AL23+'CCL GROUP P&amp;L'!AL23+'YBHN GROUP P&amp;L'!AL23+'YBN Group P&amp;L'!AL23+'HAB P&amp;L'!AL23+'Moe2 P&amp;L'!AL23</f>
        <v/>
      </c>
      <c r="AM23" s="138">
        <f>'KNL GROUP P&amp;L'!AM23+'CCL GROUP P&amp;L'!AM23+'YBHN GROUP P&amp;L'!AM23+'YBN Group P&amp;L'!AM23+'HAB P&amp;L'!AM23+'Moe2 P&amp;L'!AM23</f>
        <v/>
      </c>
      <c r="AN23" s="137">
        <f>'KNL GROUP P&amp;L'!AN23+'CCL GROUP P&amp;L'!AN23+'YBHN GROUP P&amp;L'!AN23+'YBN Group P&amp;L'!AN23+'HAB P&amp;L'!AN23+'Moe2 P&amp;L'!AN23</f>
        <v/>
      </c>
      <c r="AO23" s="120">
        <f>SUM(AC23:AH23)+SUM(AI23:AN23)</f>
        <v/>
      </c>
      <c r="AP23" s="121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217.33</v>
      </c>
      <c r="D24" s="35" t="n">
        <v>0</v>
      </c>
      <c r="E24" s="35" t="n">
        <v>0</v>
      </c>
      <c r="F24" s="35" t="n">
        <v>226.03</v>
      </c>
      <c r="G24" s="35" t="n">
        <v>0</v>
      </c>
      <c r="H24" s="35" t="n">
        <v>249.41</v>
      </c>
      <c r="I24" s="35" t="n">
        <v>0</v>
      </c>
      <c r="J24" s="35" t="n">
        <v>1410.72</v>
      </c>
      <c r="K24" s="35" t="n">
        <v>6211.84</v>
      </c>
      <c r="L24" s="35" t="n">
        <v>3008.5</v>
      </c>
      <c r="M24" s="35" t="n">
        <v>0</v>
      </c>
      <c r="N24" s="36">
        <f>SUM(B24:M24)</f>
        <v/>
      </c>
      <c r="O24" s="37">
        <f>'ABA'!O24+'BK'!O24+'BW'!O24+'CED'!O24+'HAB'!O24+'HB'!O24+'OD'!O24+'HDN'!O24+'KIN'!O24+'LE'!O24+'MER'!O24+'NDN'!O24+'SALT'!O24+'SDN'!O24+'SST'!O24+'WH'!O24+'FH'!O24+'KNL HO'!O24+'CCL HO'!O24+'YBHN HO'!O24+'YBN HO'!O24</f>
        <v/>
      </c>
      <c r="P24" s="37">
        <f>'ABA'!P24+'BK'!P24+'BW'!P24+'CED'!P24+'HAB'!P24+'HB'!P24+'OD'!P24+'HDN'!P24+'KIN'!P24+'LE'!P24+'MER'!P24+'NDN'!P24+'SALT'!P24+'SDN'!P24+'SST'!P24+'WH'!P24+'FH'!P24+'KNL HO'!P24+'CCL HO'!P24+'YBHN HO'!P24+'YBN HO'!P24</f>
        <v/>
      </c>
      <c r="Q24" s="37">
        <f>'ABA'!Q24+'BK'!Q24+'BW'!Q24+'CED'!Q24+'HAB'!Q24+'HB'!Q24+'OD'!Q24+'HDN'!Q24+'KIN'!Q24+'LE'!Q24+'MER'!Q24+'NDN'!Q24+'SALT'!Q24+'SDN'!Q24+'SST'!Q24+'WH'!Q24+'FH'!Q24+'KNL HO'!Q24+'CCL HO'!Q24+'YBHN HO'!Q24+'YBN HO'!Q24</f>
        <v/>
      </c>
      <c r="R24" s="37">
        <f>'ABA'!R24+'BK'!R24+'BW'!R24+'CED'!R24+'HAB'!R24+'HB'!R24+'OD'!R24+'HDN'!R24+'KIN'!R24+'LE'!R24+'MER'!R24+'NDN'!R24+'SALT'!R24+'SDN'!R24+'SST'!R24+'WH'!R24+'FH'!R24+'KNL HO'!R24+'CCL HO'!R24+'YBHN HO'!R24+'YBN HO'!R24</f>
        <v/>
      </c>
      <c r="S24" s="37">
        <f>'ABA'!S24+'BK'!S24+'BW'!S24+'CED'!S24+'HAB'!S24+'HB'!S24+'OD'!S24+'HDN'!S24+'KIN'!S24+'LE'!S24+'MER'!S24+'NDN'!S24+'SALT'!S24+'SDN'!S24+'SST'!S24+'WH'!S24+'FH'!S24+'KNL HO'!S24+'CCL HO'!S24+'YBHN HO'!S24+'YBN HO'!S24</f>
        <v/>
      </c>
      <c r="T24" s="37">
        <f>'ABA'!T24+'BK'!T24+'BW'!T24+'CED'!T24+'HAB'!T24+'HB'!T24+'OD'!T24+'HDN'!T24+'KIN'!T24+'LE'!T24+'MER'!T24+'NDN'!T24+'SALT'!T24+'SDN'!T24+'SST'!T24+'WH'!T24+'FH'!T24+'KNL HO'!T24+'CCL HO'!T24+'YBHN HO'!T24+'YBN HO'!T24</f>
        <v/>
      </c>
      <c r="U24" s="37">
        <f>'ABA'!U24+'BK'!U24+'BW'!U24+'CED'!U24+'HAB'!U24+'HB'!U24+'OD'!U24+'HDN'!U24+'KIN'!U24+'LE'!U24+'MER'!U24+'NDN'!U24+'SALT'!U24+'SDN'!U24+'SST'!U24+'WH'!U24+'FH'!U24+'KNL HO'!U24+'CCL HO'!U24+'YBHN HO'!U24+'YBN HO'!U24</f>
        <v/>
      </c>
      <c r="V24" s="38">
        <f>'KNL HO'!V24+'CCL GROUP P&amp;L'!V24+'YBHN GROUP P&amp;L'!V24+'YBN Group P&amp;L'!V24+'HAB'!V24+'Moe2 P&amp;L'!V24</f>
        <v/>
      </c>
      <c r="W24" s="38">
        <f>'KNL HO'!W24+'CCL GROUP P&amp;L'!W24+'YBHN GROUP P&amp;L'!W24+'YBN Group P&amp;L'!W24+'HAB'!W24+'Moe2 P&amp;L'!W24</f>
        <v/>
      </c>
      <c r="X24" s="38">
        <f>'KNL HO'!X24+'CCL GROUP P&amp;L'!X24+'YBHN GROUP P&amp;L'!X24+'YBN Group P&amp;L'!X24+'HAB'!X24+'Moe2 P&amp;L'!X24</f>
        <v/>
      </c>
      <c r="Y24" s="38">
        <f>'KNL HO'!Y24+'CCL GROUP P&amp;L'!Y24+'YBHN GROUP P&amp;L'!Y24+'YBN Group P&amp;L'!Y24+'HAB'!Y24+'Moe2 P&amp;L'!Y24</f>
        <v/>
      </c>
      <c r="Z24" s="38">
        <f>'KNL HO'!Z24+'CCL GROUP P&amp;L'!Z24+'YBHN GROUP P&amp;L'!Z24+'YBN Group P&amp;L'!Z24+'HAB'!Z24+'Moe2 P&amp;L'!Z24</f>
        <v/>
      </c>
      <c r="AA24" s="36">
        <f>SUM(O24:U24)</f>
        <v/>
      </c>
      <c r="AB24" s="36">
        <f>SUM(O24:Z24)</f>
        <v/>
      </c>
      <c r="AC24" s="38">
        <f>'KNL HO'!AC24+'CCL GROUP P&amp;L'!AC24+'YBHN GROUP P&amp;L'!AC24+'YBN Group P&amp;L'!AC24+'HAB'!AC24+'Moe2 P&amp;L'!AC24</f>
        <v/>
      </c>
      <c r="AD24" s="38">
        <f>'KNL HO'!AD24+'CCL GROUP P&amp;L'!AD24+'YBHN GROUP P&amp;L'!AD24+'YBN Group P&amp;L'!AD24+'HAB'!AD24+'Moe2 P&amp;L'!AD24</f>
        <v/>
      </c>
      <c r="AE24" s="38">
        <f>'KNL HO'!AE24+'CCL GROUP P&amp;L'!AE24+'YBHN GROUP P&amp;L'!AE24+'YBN Group P&amp;L'!AE24+'HAB'!AE24+'Moe2 P&amp;L'!AE24</f>
        <v/>
      </c>
      <c r="AF24" s="38">
        <f>'KNL HO'!AF24+'CCL GROUP P&amp;L'!AF24+'YBHN GROUP P&amp;L'!AF24+'YBN Group P&amp;L'!AF24+'HAB'!AF24+'Moe2 P&amp;L'!AF24</f>
        <v/>
      </c>
      <c r="AG24" s="38">
        <f>'KNL HO'!AG24+'CCL GROUP P&amp;L'!AG24+'YBHN GROUP P&amp;L'!AG24+'YBN Group P&amp;L'!AG24+'HAB'!AG24+'Moe2 P&amp;L'!AG24</f>
        <v/>
      </c>
      <c r="AH24" s="38">
        <f>'KNL HO'!AH24+'CCL GROUP P&amp;L'!AH24+'YBHN GROUP P&amp;L'!AH24+'YBN Group P&amp;L'!AH24+'HAB'!AH24+'Moe2 P&amp;L'!AH24</f>
        <v/>
      </c>
      <c r="AI24" s="137">
        <f>'KNL GROUP P&amp;L'!AI24+'CCL GROUP P&amp;L'!AI24+'YBHN GROUP P&amp;L'!AI24+'YBN Group P&amp;L'!AI24+'HAB P&amp;L'!AI24+'Moe2 P&amp;L'!AI24</f>
        <v/>
      </c>
      <c r="AJ24" s="138">
        <f>'KNL GROUP P&amp;L'!AJ24+'CCL GROUP P&amp;L'!AJ24+'YBHN GROUP P&amp;L'!AJ24+'YBN Group P&amp;L'!AJ24+'HAB P&amp;L'!AJ24+'Moe2 P&amp;L'!AJ24</f>
        <v/>
      </c>
      <c r="AK24" s="138">
        <f>'KNL GROUP P&amp;L'!AK24+'CCL GROUP P&amp;L'!AK24+'YBHN GROUP P&amp;L'!AK24+'YBN Group P&amp;L'!AK24+'HAB P&amp;L'!AK24+'Moe2 P&amp;L'!AK24</f>
        <v/>
      </c>
      <c r="AL24" s="138">
        <f>'KNL GROUP P&amp;L'!AL24+'CCL GROUP P&amp;L'!AL24+'YBHN GROUP P&amp;L'!AL24+'YBN Group P&amp;L'!AL24+'HAB P&amp;L'!AL24+'Moe2 P&amp;L'!AL24</f>
        <v/>
      </c>
      <c r="AM24" s="138">
        <f>'KNL GROUP P&amp;L'!AM24+'CCL GROUP P&amp;L'!AM24+'YBHN GROUP P&amp;L'!AM24+'YBN Group P&amp;L'!AM24+'HAB P&amp;L'!AM24+'Moe2 P&amp;L'!AM24</f>
        <v/>
      </c>
      <c r="AN24" s="137">
        <f>'KNL GROUP P&amp;L'!AN24+'CCL GROUP P&amp;L'!AN24+'YBHN GROUP P&amp;L'!AN24+'YBN Group P&amp;L'!AN24+'HAB P&amp;L'!AN24+'Moe2 P&amp;L'!AN24</f>
        <v/>
      </c>
      <c r="AO24" s="120">
        <f>SUM(AC24:AH24)+SUM(AI24:AN24)</f>
        <v/>
      </c>
      <c r="AP24" s="121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453315.68</v>
      </c>
      <c r="C25" s="42" t="n">
        <v>457131.66</v>
      </c>
      <c r="D25" s="42" t="n">
        <v>450046.64</v>
      </c>
      <c r="E25" s="42" t="n">
        <v>513439.7500000001</v>
      </c>
      <c r="F25" s="42" t="n">
        <v>520315.8300000001</v>
      </c>
      <c r="G25" s="42" t="n">
        <v>500062.94</v>
      </c>
      <c r="H25" s="42" t="n">
        <v>540450.8400000001</v>
      </c>
      <c r="I25" s="42" t="n">
        <v>494870.5800000001</v>
      </c>
      <c r="J25" s="42" t="n">
        <v>523267.4399999999</v>
      </c>
      <c r="K25" s="42" t="n">
        <v>528710.3</v>
      </c>
      <c r="L25" s="42" t="n">
        <v>502447.01</v>
      </c>
      <c r="M25" s="42" t="n">
        <v>516214.69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SUM(O25:U25)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2">
        <f>SUM(AI16:AI24)</f>
        <v/>
      </c>
      <c r="AJ25" s="123">
        <f>SUM(AJ16:AJ24)</f>
        <v/>
      </c>
      <c r="AK25" s="123">
        <f>SUM(AK16:AK24)</f>
        <v/>
      </c>
      <c r="AL25" s="123">
        <f>SUM(AL16:AL24)</f>
        <v/>
      </c>
      <c r="AM25" s="123">
        <f>SUM(AM16:AM24)</f>
        <v/>
      </c>
      <c r="AN25" s="122">
        <f>SUM(AN16:AN24)</f>
        <v/>
      </c>
      <c r="AO25" s="124">
        <f>SUM(AC25:AH25)+SUM(AI25:AN25)</f>
        <v/>
      </c>
      <c r="AP25" s="125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 t="n"/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SUM(O26:U26)</f>
        <v/>
      </c>
      <c r="AB26" s="36" t="n"/>
      <c r="AC26" s="32">
        <f>'KNL HO'!AC26+'CCL GROUP P&amp;L'!AC26+'YBHN GROUP P&amp;L'!AC26+'YBN Group P&amp;L'!AC26+'HAB'!AC26+'Moe2 P&amp;L'!AC26</f>
        <v/>
      </c>
      <c r="AD26" s="32">
        <f>'KNL HO'!AD26+'CCL GROUP P&amp;L'!AD26+'YBHN GROUP P&amp;L'!AD26+'YBN Group P&amp;L'!AD26+'HAB'!AD26+'Moe2 P&amp;L'!AD26</f>
        <v/>
      </c>
      <c r="AE26" s="32">
        <f>'KNL HO'!AE26+'CCL GROUP P&amp;L'!AE26+'YBHN GROUP P&amp;L'!AE26+'YBN Group P&amp;L'!AE26+'HAB'!AE26+'Moe2 P&amp;L'!AE26</f>
        <v/>
      </c>
      <c r="AF26" s="32">
        <f>'KNL HO'!AF26+'CCL GROUP P&amp;L'!AF26+'YBHN GROUP P&amp;L'!AF26+'YBN Group P&amp;L'!AF26+'HAB'!AF26+'Moe2 P&amp;L'!AF26</f>
        <v/>
      </c>
      <c r="AG26" s="32">
        <f>'KNL HO'!AG26+'CCL GROUP P&amp;L'!AG26+'YBHN GROUP P&amp;L'!AG26+'YBN Group P&amp;L'!AG26+'HAB'!AG26+'Moe2 P&amp;L'!AG26</f>
        <v/>
      </c>
      <c r="AH26" s="32">
        <f>'KNL HO'!AH26+'CCL GROUP P&amp;L'!AH26+'YBHN GROUP P&amp;L'!AH26+'YBN Group P&amp;L'!AH26+'HAB'!AH26+'Moe2 P&amp;L'!AH26</f>
        <v/>
      </c>
      <c r="AI26" s="141">
        <f>'KNL GROUP P&amp;L'!AI26+'CCL GROUP P&amp;L'!AI26+'YBHN GROUP P&amp;L'!AI26+'YBN Group P&amp;L'!AI26+'HAB P&amp;L'!AI26+'Moe2 P&amp;L'!AI26</f>
        <v/>
      </c>
      <c r="AJ26" s="142">
        <f>'KNL GROUP P&amp;L'!AJ26+'CCL GROUP P&amp;L'!AJ26+'YBHN GROUP P&amp;L'!AJ26+'YBN Group P&amp;L'!AJ26+'HAB P&amp;L'!AJ26+'Moe2 P&amp;L'!AJ26</f>
        <v/>
      </c>
      <c r="AK26" s="142">
        <f>'KNL GROUP P&amp;L'!AK26+'CCL GROUP P&amp;L'!AK26+'YBHN GROUP P&amp;L'!AK26+'YBN Group P&amp;L'!AK26+'HAB P&amp;L'!AK26+'Moe2 P&amp;L'!AK26</f>
        <v/>
      </c>
      <c r="AL26" s="142">
        <f>'KNL GROUP P&amp;L'!AL26+'CCL GROUP P&amp;L'!AL26+'YBHN GROUP P&amp;L'!AL26+'YBN Group P&amp;L'!AL26+'HAB P&amp;L'!AL26+'Moe2 P&amp;L'!AL26</f>
        <v/>
      </c>
      <c r="AM26" s="142">
        <f>'KNL GROUP P&amp;L'!AM26+'CCL GROUP P&amp;L'!AM26+'YBHN GROUP P&amp;L'!AM26+'YBN Group P&amp;L'!AM26+'HAB P&amp;L'!AM26+'Moe2 P&amp;L'!AM26</f>
        <v/>
      </c>
      <c r="AN26" s="141">
        <f>'KNL GROUP P&amp;L'!AN26+'CCL GROUP P&amp;L'!AN26+'YBHN GROUP P&amp;L'!AN26+'YBN Group P&amp;L'!AN26+'HAB P&amp;L'!AN26+'Moe2 P&amp;L'!AN26</f>
        <v/>
      </c>
      <c r="AO26" s="129">
        <f>SUM(AC26:AH26)+SUM(AI26:AN26)</f>
        <v/>
      </c>
      <c r="AP26" s="121">
        <f>IF(AB26&lt;&gt;0,(AO26-AB26)/ABS(AB26),0)</f>
        <v/>
      </c>
    </row>
    <row r="27">
      <c r="A27" s="34" t="inlineStr">
        <is>
          <t>Catering Costs</t>
        </is>
      </c>
      <c r="B27" s="35" t="n">
        <v>24984.97</v>
      </c>
      <c r="C27" s="35" t="n">
        <v>27639.25</v>
      </c>
      <c r="D27" s="35" t="n">
        <v>26273.28</v>
      </c>
      <c r="E27" s="35" t="n">
        <v>22057.36</v>
      </c>
      <c r="F27" s="35" t="n">
        <v>26275.7</v>
      </c>
      <c r="G27" s="35" t="n">
        <v>25972.10000000001</v>
      </c>
      <c r="H27" s="35" t="n">
        <v>25583.16</v>
      </c>
      <c r="I27" s="35" t="n">
        <v>25393.59</v>
      </c>
      <c r="J27" s="35" t="n">
        <v>23517.88000000001</v>
      </c>
      <c r="K27" s="35" t="n">
        <v>27113.72</v>
      </c>
      <c r="L27" s="35" t="n">
        <v>25194.74</v>
      </c>
      <c r="M27" s="35" t="n">
        <v>20081.97</v>
      </c>
      <c r="N27" s="36">
        <f>SUM(B27:M27)</f>
        <v/>
      </c>
      <c r="O27" s="37">
        <f>'ABA'!O27+'BK'!O27+'BW'!O27+'CED'!O27+'HAB'!O27+'HB'!O27+'OD'!O27+'HDN'!O27+'KIN'!O27+'LE'!O27+'MER'!O27+'NDN'!O27+'SALT'!O27+'SDN'!O27+'SST'!O27+'WH'!O27+'FH'!O27+'KNL HO'!O27+'CCL HO'!O27+'YBHN HO'!O27+'YBN HO'!O27</f>
        <v/>
      </c>
      <c r="P27" s="37">
        <f>'ABA'!P27+'BK'!P27+'BW'!P27+'CED'!P27+'HAB'!P27+'HB'!P27+'OD'!P27+'HDN'!P27+'KIN'!P27+'LE'!P27+'MER'!P27+'NDN'!P27+'SALT'!P27+'SDN'!P27+'SST'!P27+'WH'!P27+'FH'!P27+'KNL HO'!P27+'CCL HO'!P27+'YBHN HO'!P27+'YBN HO'!P27</f>
        <v/>
      </c>
      <c r="Q27" s="37">
        <f>'ABA'!Q27+'BK'!Q27+'BW'!Q27+'CED'!Q27+'HAB'!Q27+'HB'!Q27+'OD'!Q27+'HDN'!Q27+'KIN'!Q27+'LE'!Q27+'MER'!Q27+'NDN'!Q27+'SALT'!Q27+'SDN'!Q27+'SST'!Q27+'WH'!Q27+'FH'!Q27+'KNL HO'!Q27+'CCL HO'!Q27+'YBHN HO'!Q27+'YBN HO'!Q27</f>
        <v/>
      </c>
      <c r="R27" s="37">
        <f>'ABA'!R27+'BK'!R27+'BW'!R27+'CED'!R27+'HAB'!R27+'HB'!R27+'OD'!R27+'HDN'!R27+'KIN'!R27+'LE'!R27+'MER'!R27+'NDN'!R27+'SALT'!R27+'SDN'!R27+'SST'!R27+'WH'!R27+'FH'!R27+'KNL HO'!R27+'CCL HO'!R27+'YBHN HO'!R27+'YBN HO'!R27</f>
        <v/>
      </c>
      <c r="S27" s="37">
        <f>'ABA'!S27+'BK'!S27+'BW'!S27+'CED'!S27+'HAB'!S27+'HB'!S27+'OD'!S27+'HDN'!S27+'KIN'!S27+'LE'!S27+'MER'!S27+'NDN'!S27+'SALT'!S27+'SDN'!S27+'SST'!S27+'WH'!S27+'FH'!S27+'KNL HO'!S27+'CCL HO'!S27+'YBHN HO'!S27+'YBN HO'!S27</f>
        <v/>
      </c>
      <c r="T27" s="37">
        <f>'ABA'!T27+'BK'!T27+'BW'!T27+'CED'!T27+'HAB'!T27+'HB'!T27+'OD'!T27+'HDN'!T27+'KIN'!T27+'LE'!T27+'MER'!T27+'NDN'!T27+'SALT'!T27+'SDN'!T27+'SST'!T27+'WH'!T27+'FH'!T27+'KNL HO'!T27+'CCL HO'!T27+'YBHN HO'!T27+'YBN HO'!T27</f>
        <v/>
      </c>
      <c r="U27" s="37">
        <f>'ABA'!U27+'BK'!U27+'BW'!U27+'CED'!U27+'HAB'!U27+'HB'!U27+'OD'!U27+'HDN'!U27+'KIN'!U27+'LE'!U27+'MER'!U27+'NDN'!U27+'SALT'!U27+'SDN'!U27+'SST'!U27+'WH'!U27+'FH'!U27+'KNL HO'!U27+'CCL HO'!U27+'YBHN HO'!U27+'YBN HO'!U27</f>
        <v/>
      </c>
      <c r="V27" s="38">
        <f>'KNL HO'!V27+'CCL GROUP P&amp;L'!V27+'YBHN GROUP P&amp;L'!V27+'YBN Group P&amp;L'!V27+'HAB'!V27+'Moe2 P&amp;L'!V27</f>
        <v/>
      </c>
      <c r="W27" s="38">
        <f>'KNL HO'!W27+'CCL GROUP P&amp;L'!W27+'YBHN GROUP P&amp;L'!W27+'YBN Group P&amp;L'!W27+'HAB'!W27+'Moe2 P&amp;L'!W27</f>
        <v/>
      </c>
      <c r="X27" s="38">
        <f>'KNL HO'!X27+'CCL GROUP P&amp;L'!X27+'YBHN GROUP P&amp;L'!X27+'YBN Group P&amp;L'!X27+'HAB'!X27+'Moe2 P&amp;L'!X27</f>
        <v/>
      </c>
      <c r="Y27" s="38">
        <f>'KNL HO'!Y27+'CCL GROUP P&amp;L'!Y27+'YBHN GROUP P&amp;L'!Y27+'YBN Group P&amp;L'!Y27+'HAB'!Y27+'Moe2 P&amp;L'!Y27</f>
        <v/>
      </c>
      <c r="Z27" s="38">
        <f>'KNL HO'!Z27+'CCL GROUP P&amp;L'!Z27+'YBHN GROUP P&amp;L'!Z27+'YBN Group P&amp;L'!Z27+'HAB'!Z27+'Moe2 P&amp;L'!Z27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37">
        <f>Z$8*$AI27</f>
        <v/>
      </c>
      <c r="AJ27" s="138">
        <f>Z$8*$AI27</f>
        <v/>
      </c>
      <c r="AK27" s="138">
        <f>Z$8*$AI27</f>
        <v/>
      </c>
      <c r="AL27" s="138">
        <f>Z$8*$AI27</f>
        <v/>
      </c>
      <c r="AM27" s="138">
        <f>Z$8*$AI27</f>
        <v/>
      </c>
      <c r="AN27" s="137">
        <f>Z$8*$AI27</f>
        <v/>
      </c>
      <c r="AO27" s="120">
        <f>SUM(AC27:AH27)+SUM(AI27:AN27)</f>
        <v/>
      </c>
      <c r="AP27" s="121">
        <f>IF(AB27&lt;&gt;0,(AO27-AB27)/ABS(AB27),0)</f>
        <v/>
      </c>
    </row>
    <row r="28">
      <c r="A28" s="34" t="inlineStr">
        <is>
          <t>Toys and Games</t>
        </is>
      </c>
      <c r="B28" s="35" t="n">
        <v>2910.13</v>
      </c>
      <c r="C28" s="35" t="n">
        <v>6069.44</v>
      </c>
      <c r="D28" s="35" t="n">
        <v>2457.96</v>
      </c>
      <c r="E28" s="35" t="n">
        <v>3203.4</v>
      </c>
      <c r="F28" s="35" t="n">
        <v>6842.979999999998</v>
      </c>
      <c r="G28" s="35" t="n">
        <v>5934.230000000001</v>
      </c>
      <c r="H28" s="35" t="n">
        <v>5852.02</v>
      </c>
      <c r="I28" s="35" t="n">
        <v>6516.69</v>
      </c>
      <c r="J28" s="35" t="n">
        <v>6590.410000000001</v>
      </c>
      <c r="K28" s="35" t="n">
        <v>2549.79</v>
      </c>
      <c r="L28" s="35" t="n">
        <v>2219.75</v>
      </c>
      <c r="M28" s="35" t="n">
        <v>1504.69</v>
      </c>
      <c r="N28" s="36">
        <f>SUM(B28:M28)</f>
        <v/>
      </c>
      <c r="O28" s="37">
        <f>'ABA'!O28+'BK'!O28+'BW'!O28+'CED'!O28+'HAB'!O28+'HB'!O28+'OD'!O28+'HDN'!O28+'KIN'!O28+'LE'!O28+'MER'!O28+'NDN'!O28+'SALT'!O28+'SDN'!O28+'SST'!O28+'WH'!O28+'FH'!O28+'KNL HO'!O28+'CCL HO'!O28+'YBHN HO'!O28+'YBN HO'!O28</f>
        <v/>
      </c>
      <c r="P28" s="37">
        <f>'ABA'!P28+'BK'!P28+'BW'!P28+'CED'!P28+'HAB'!P28+'HB'!P28+'OD'!P28+'HDN'!P28+'KIN'!P28+'LE'!P28+'MER'!P28+'NDN'!P28+'SALT'!P28+'SDN'!P28+'SST'!P28+'WH'!P28+'FH'!P28+'KNL HO'!P28+'CCL HO'!P28+'YBHN HO'!P28+'YBN HO'!P28</f>
        <v/>
      </c>
      <c r="Q28" s="37">
        <f>'ABA'!Q28+'BK'!Q28+'BW'!Q28+'CED'!Q28+'HAB'!Q28+'HB'!Q28+'OD'!Q28+'HDN'!Q28+'KIN'!Q28+'LE'!Q28+'MER'!Q28+'NDN'!Q28+'SALT'!Q28+'SDN'!Q28+'SST'!Q28+'WH'!Q28+'FH'!Q28+'KNL HO'!Q28+'CCL HO'!Q28+'YBHN HO'!Q28+'YBN HO'!Q28</f>
        <v/>
      </c>
      <c r="R28" s="37">
        <f>'ABA'!R28+'BK'!R28+'BW'!R28+'CED'!R28+'HAB'!R28+'HB'!R28+'OD'!R28+'HDN'!R28+'KIN'!R28+'LE'!R28+'MER'!R28+'NDN'!R28+'SALT'!R28+'SDN'!R28+'SST'!R28+'WH'!R28+'FH'!R28+'KNL HO'!R28+'CCL HO'!R28+'YBHN HO'!R28+'YBN HO'!R28</f>
        <v/>
      </c>
      <c r="S28" s="37">
        <f>'ABA'!S28+'BK'!S28+'BW'!S28+'CED'!S28+'HAB'!S28+'HB'!S28+'OD'!S28+'HDN'!S28+'KIN'!S28+'LE'!S28+'MER'!S28+'NDN'!S28+'SALT'!S28+'SDN'!S28+'SST'!S28+'WH'!S28+'FH'!S28+'KNL HO'!S28+'CCL HO'!S28+'YBHN HO'!S28+'YBN HO'!S28</f>
        <v/>
      </c>
      <c r="T28" s="37">
        <f>'ABA'!T28+'BK'!T28+'BW'!T28+'CED'!T28+'HAB'!T28+'HB'!T28+'OD'!T28+'HDN'!T28+'KIN'!T28+'LE'!T28+'MER'!T28+'NDN'!T28+'SALT'!T28+'SDN'!T28+'SST'!T28+'WH'!T28+'FH'!T28+'KNL HO'!T28+'CCL HO'!T28+'YBHN HO'!T28+'YBN HO'!T28</f>
        <v/>
      </c>
      <c r="U28" s="37">
        <f>'ABA'!U28+'BK'!U28+'BW'!U28+'CED'!U28+'HAB'!U28+'HB'!U28+'OD'!U28+'HDN'!U28+'KIN'!U28+'LE'!U28+'MER'!U28+'NDN'!U28+'SALT'!U28+'SDN'!U28+'SST'!U28+'WH'!U28+'FH'!U28+'KNL HO'!U28+'CCL HO'!U28+'YBHN HO'!U28+'YBN HO'!U28</f>
        <v/>
      </c>
      <c r="V28" s="38">
        <f>'KNL HO'!V28+'CCL GROUP P&amp;L'!V28+'YBHN GROUP P&amp;L'!V28+'YBN Group P&amp;L'!V28+'HAB'!V28+'Moe2 P&amp;L'!V28</f>
        <v/>
      </c>
      <c r="W28" s="38">
        <f>'KNL HO'!W28+'CCL GROUP P&amp;L'!W28+'YBHN GROUP P&amp;L'!W28+'YBN Group P&amp;L'!W28+'HAB'!W28+'Moe2 P&amp;L'!W28</f>
        <v/>
      </c>
      <c r="X28" s="38">
        <f>'KNL HO'!X28+'CCL GROUP P&amp;L'!X28+'YBHN GROUP P&amp;L'!X28+'YBN Group P&amp;L'!X28+'HAB'!X28+'Moe2 P&amp;L'!X28</f>
        <v/>
      </c>
      <c r="Y28" s="38">
        <f>'KNL HO'!Y28+'CCL GROUP P&amp;L'!Y28+'YBHN GROUP P&amp;L'!Y28+'YBN Group P&amp;L'!Y28+'HAB'!Y28+'Moe2 P&amp;L'!Y28</f>
        <v/>
      </c>
      <c r="Z28" s="38">
        <f>'KNL HO'!Z28+'CCL GROUP P&amp;L'!Z28+'YBHN GROUP P&amp;L'!Z28+'YBN Group P&amp;L'!Z28+'HAB'!Z28+'Moe2 P&amp;L'!Z28</f>
        <v/>
      </c>
      <c r="AA28" s="36">
        <f>SUM(O28:U28)</f>
        <v/>
      </c>
      <c r="AB28" s="36">
        <f>SUM(O28:Z28)</f>
        <v/>
      </c>
      <c r="AC28" s="38">
        <f>'KNL HO'!AC28+'CCL GROUP P&amp;L'!AC28+'YBHN GROUP P&amp;L'!AC28+'YBN Group P&amp;L'!AC28+'HAB'!AC28+'Moe2 P&amp;L'!AC28</f>
        <v/>
      </c>
      <c r="AD28" s="38">
        <f>'KNL HO'!AD28+'CCL GROUP P&amp;L'!AD28+'YBHN GROUP P&amp;L'!AD28+'YBN Group P&amp;L'!AD28+'HAB'!AD28+'Moe2 P&amp;L'!AD28</f>
        <v/>
      </c>
      <c r="AE28" s="38">
        <f>'KNL HO'!AE28+'CCL GROUP P&amp;L'!AE28+'YBHN GROUP P&amp;L'!AE28+'YBN Group P&amp;L'!AE28+'HAB'!AE28+'Moe2 P&amp;L'!AE28</f>
        <v/>
      </c>
      <c r="AF28" s="38">
        <f>'KNL HO'!AF28+'CCL GROUP P&amp;L'!AF28+'YBHN GROUP P&amp;L'!AF28+'YBN Group P&amp;L'!AF28+'HAB'!AF28+'Moe2 P&amp;L'!AF28</f>
        <v/>
      </c>
      <c r="AG28" s="38">
        <f>'KNL HO'!AG28+'CCL GROUP P&amp;L'!AG28+'YBHN GROUP P&amp;L'!AG28+'YBN Group P&amp;L'!AG28+'HAB'!AG28+'Moe2 P&amp;L'!AG28</f>
        <v/>
      </c>
      <c r="AH28" s="38">
        <f>'KNL HO'!AH28+'CCL GROUP P&amp;L'!AH28+'YBHN GROUP P&amp;L'!AH28+'YBN Group P&amp;L'!AH28+'HAB'!AH28+'Moe2 P&amp;L'!AH28</f>
        <v/>
      </c>
      <c r="AI28" s="137">
        <f>'KNL GROUP P&amp;L'!AI28+'CCL GROUP P&amp;L'!AI28+'YBHN GROUP P&amp;L'!AI28+'YBN Group P&amp;L'!AI28+'HAB P&amp;L'!AI28+'Moe2 P&amp;L'!AI28</f>
        <v/>
      </c>
      <c r="AJ28" s="138">
        <f>'KNL GROUP P&amp;L'!AJ28+'CCL GROUP P&amp;L'!AJ28+'YBHN GROUP P&amp;L'!AJ28+'YBN Group P&amp;L'!AJ28+'HAB P&amp;L'!AJ28+'Moe2 P&amp;L'!AJ28</f>
        <v/>
      </c>
      <c r="AK28" s="138">
        <f>'KNL GROUP P&amp;L'!AK28+'CCL GROUP P&amp;L'!AK28+'YBHN GROUP P&amp;L'!AK28+'YBN Group P&amp;L'!AK28+'HAB P&amp;L'!AK28+'Moe2 P&amp;L'!AK28</f>
        <v/>
      </c>
      <c r="AL28" s="138">
        <f>'KNL GROUP P&amp;L'!AL28+'CCL GROUP P&amp;L'!AL28+'YBHN GROUP P&amp;L'!AL28+'YBN Group P&amp;L'!AL28+'HAB P&amp;L'!AL28+'Moe2 P&amp;L'!AL28</f>
        <v/>
      </c>
      <c r="AM28" s="138">
        <f>'KNL GROUP P&amp;L'!AM28+'CCL GROUP P&amp;L'!AM28+'YBHN GROUP P&amp;L'!AM28+'YBN Group P&amp;L'!AM28+'HAB P&amp;L'!AM28+'Moe2 P&amp;L'!AM28</f>
        <v/>
      </c>
      <c r="AN28" s="137">
        <f>'KNL GROUP P&amp;L'!AN28+'CCL GROUP P&amp;L'!AN28+'YBHN GROUP P&amp;L'!AN28+'YBN Group P&amp;L'!AN28+'HAB P&amp;L'!AN28+'Moe2 P&amp;L'!AN28</f>
        <v/>
      </c>
      <c r="AO28" s="120">
        <f>SUM(AC28:AH28)+SUM(AI28:AN28)</f>
        <v/>
      </c>
      <c r="AP28" s="121">
        <f>IF(AB28&lt;&gt;0,(AO28-AB28)/ABS(AB28),0)</f>
        <v/>
      </c>
    </row>
    <row r="29">
      <c r="A29" s="34" t="inlineStr">
        <is>
          <t>Art Materials</t>
        </is>
      </c>
      <c r="B29" s="35" t="n">
        <v>2078.88</v>
      </c>
      <c r="C29" s="35" t="n">
        <v>2785.349999999999</v>
      </c>
      <c r="D29" s="35" t="n">
        <v>2438.17</v>
      </c>
      <c r="E29" s="35" t="n">
        <v>1709.05</v>
      </c>
      <c r="F29" s="35" t="n">
        <v>984.5300000000001</v>
      </c>
      <c r="G29" s="35" t="n">
        <v>1918.57</v>
      </c>
      <c r="H29" s="35" t="n">
        <v>908.9400000000001</v>
      </c>
      <c r="I29" s="35" t="n">
        <v>1193.92</v>
      </c>
      <c r="J29" s="35" t="n">
        <v>1427.96</v>
      </c>
      <c r="K29" s="35" t="n">
        <v>2445.34</v>
      </c>
      <c r="L29" s="35" t="n">
        <v>3087.5</v>
      </c>
      <c r="M29" s="35" t="n">
        <v>1610.05</v>
      </c>
      <c r="N29" s="36">
        <f>SUM(B29:M29)</f>
        <v/>
      </c>
      <c r="O29" s="37">
        <f>'ABA'!O29+'BK'!O29+'BW'!O29+'CED'!O29+'HAB'!O29+'HB'!O29+'OD'!O29+'HDN'!O29+'KIN'!O29+'LE'!O29+'MER'!O29+'NDN'!O29+'SALT'!O29+'SDN'!O29+'SST'!O29+'WH'!O29+'FH'!O29+'KNL HO'!O29+'CCL HO'!O29+'YBHN HO'!O29+'YBN HO'!O29</f>
        <v/>
      </c>
      <c r="P29" s="37">
        <f>'ABA'!P29+'BK'!P29+'BW'!P29+'CED'!P29+'HAB'!P29+'HB'!P29+'OD'!P29+'HDN'!P29+'KIN'!P29+'LE'!P29+'MER'!P29+'NDN'!P29+'SALT'!P29+'SDN'!P29+'SST'!P29+'WH'!P29+'FH'!P29+'KNL HO'!P29+'CCL HO'!P29+'YBHN HO'!P29+'YBN HO'!P29</f>
        <v/>
      </c>
      <c r="Q29" s="37">
        <f>'ABA'!Q29+'BK'!Q29+'BW'!Q29+'CED'!Q29+'HAB'!Q29+'HB'!Q29+'OD'!Q29+'HDN'!Q29+'KIN'!Q29+'LE'!Q29+'MER'!Q29+'NDN'!Q29+'SALT'!Q29+'SDN'!Q29+'SST'!Q29+'WH'!Q29+'FH'!Q29+'KNL HO'!Q29+'CCL HO'!Q29+'YBHN HO'!Q29+'YBN HO'!Q29</f>
        <v/>
      </c>
      <c r="R29" s="37">
        <f>'ABA'!R29+'BK'!R29+'BW'!R29+'CED'!R29+'HAB'!R29+'HB'!R29+'OD'!R29+'HDN'!R29+'KIN'!R29+'LE'!R29+'MER'!R29+'NDN'!R29+'SALT'!R29+'SDN'!R29+'SST'!R29+'WH'!R29+'FH'!R29+'KNL HO'!R29+'CCL HO'!R29+'YBHN HO'!R29+'YBN HO'!R29</f>
        <v/>
      </c>
      <c r="S29" s="37">
        <f>'ABA'!S29+'BK'!S29+'BW'!S29+'CED'!S29+'HAB'!S29+'HB'!S29+'OD'!S29+'HDN'!S29+'KIN'!S29+'LE'!S29+'MER'!S29+'NDN'!S29+'SALT'!S29+'SDN'!S29+'SST'!S29+'WH'!S29+'FH'!S29+'KNL HO'!S29+'CCL HO'!S29+'YBHN HO'!S29+'YBN HO'!S29</f>
        <v/>
      </c>
      <c r="T29" s="37">
        <f>'ABA'!T29+'BK'!T29+'BW'!T29+'CED'!T29+'HAB'!T29+'HB'!T29+'OD'!T29+'HDN'!T29+'KIN'!T29+'LE'!T29+'MER'!T29+'NDN'!T29+'SALT'!T29+'SDN'!T29+'SST'!T29+'WH'!T29+'FH'!T29+'KNL HO'!T29+'CCL HO'!T29+'YBHN HO'!T29+'YBN HO'!T29</f>
        <v/>
      </c>
      <c r="U29" s="37">
        <f>'ABA'!U29+'BK'!U29+'BW'!U29+'CED'!U29+'HAB'!U29+'HB'!U29+'OD'!U29+'HDN'!U29+'KIN'!U29+'LE'!U29+'MER'!U29+'NDN'!U29+'SALT'!U29+'SDN'!U29+'SST'!U29+'WH'!U29+'FH'!U29+'KNL HO'!U29+'CCL HO'!U29+'YBHN HO'!U29+'YBN HO'!U29</f>
        <v/>
      </c>
      <c r="V29" s="38">
        <f>'KNL HO'!V29+'CCL GROUP P&amp;L'!V29+'YBHN GROUP P&amp;L'!V29+'YBN Group P&amp;L'!V29+'HAB'!V29+'Moe2 P&amp;L'!V29</f>
        <v/>
      </c>
      <c r="W29" s="38">
        <f>'KNL HO'!W29+'CCL GROUP P&amp;L'!W29+'YBHN GROUP P&amp;L'!W29+'YBN Group P&amp;L'!W29+'HAB'!W29+'Moe2 P&amp;L'!W29</f>
        <v/>
      </c>
      <c r="X29" s="38">
        <f>'KNL HO'!X29+'CCL GROUP P&amp;L'!X29+'YBHN GROUP P&amp;L'!X29+'YBN Group P&amp;L'!X29+'HAB'!X29+'Moe2 P&amp;L'!X29</f>
        <v/>
      </c>
      <c r="Y29" s="38">
        <f>'KNL HO'!Y29+'CCL GROUP P&amp;L'!Y29+'YBHN GROUP P&amp;L'!Y29+'YBN Group P&amp;L'!Y29+'HAB'!Y29+'Moe2 P&amp;L'!Y29</f>
        <v/>
      </c>
      <c r="Z29" s="38">
        <f>'KNL HO'!Z29+'CCL GROUP P&amp;L'!Z29+'YBHN GROUP P&amp;L'!Z29+'YBN Group P&amp;L'!Z29+'HAB'!Z29+'Moe2 P&amp;L'!Z29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37">
        <f>Z$8*$AI29</f>
        <v/>
      </c>
      <c r="AJ29" s="138">
        <f>Z$8*$AI29</f>
        <v/>
      </c>
      <c r="AK29" s="138">
        <f>Z$8*$AI29</f>
        <v/>
      </c>
      <c r="AL29" s="138">
        <f>Z$8*$AI29</f>
        <v/>
      </c>
      <c r="AM29" s="138">
        <f>Z$8*$AI29</f>
        <v/>
      </c>
      <c r="AN29" s="137">
        <f>Z$8*$AI29</f>
        <v/>
      </c>
      <c r="AO29" s="120">
        <f>SUM(AC29:AH29)+SUM(AI29:AN29)</f>
        <v/>
      </c>
      <c r="AP29" s="121">
        <f>IF(AB29&lt;&gt;0,(AO29-AB29)/ABS(AB29),0)</f>
        <v/>
      </c>
    </row>
    <row r="30">
      <c r="A30" s="34" t="inlineStr">
        <is>
          <t>Nursery Stationery</t>
        </is>
      </c>
      <c r="B30" s="35" t="n">
        <v>905.8899999999999</v>
      </c>
      <c r="C30" s="35" t="n">
        <v>604.79</v>
      </c>
      <c r="D30" s="35" t="n">
        <v>401.75</v>
      </c>
      <c r="E30" s="35" t="n">
        <v>311.2400000000001</v>
      </c>
      <c r="F30" s="35" t="n">
        <v>436.3</v>
      </c>
      <c r="G30" s="35" t="n">
        <v>472.72</v>
      </c>
      <c r="H30" s="35" t="n">
        <v>1053.14</v>
      </c>
      <c r="I30" s="35" t="n">
        <v>628.5100000000001</v>
      </c>
      <c r="J30" s="35" t="n">
        <v>630.03</v>
      </c>
      <c r="K30" s="35" t="n">
        <v>554.97</v>
      </c>
      <c r="L30" s="35" t="n">
        <v>806.9100000000001</v>
      </c>
      <c r="M30" s="35" t="n">
        <v>463.1799999999999</v>
      </c>
      <c r="N30" s="36">
        <f>SUM(B30:M30)</f>
        <v/>
      </c>
      <c r="O30" s="37">
        <f>'ABA'!O30+'BK'!O30+'BW'!O30+'CED'!O30+'HAB'!O30+'HB'!O30+'OD'!O30+'HDN'!O30+'KIN'!O30+'LE'!O30+'MER'!O30+'NDN'!O30+'SALT'!O30+'SDN'!O30+'SST'!O30+'WH'!O30+'FH'!O30+'KNL HO'!O30+'CCL HO'!O30+'YBHN HO'!O30+'YBN HO'!O30</f>
        <v/>
      </c>
      <c r="P30" s="37">
        <f>'ABA'!P30+'BK'!P30+'BW'!P30+'CED'!P30+'HAB'!P30+'HB'!P30+'OD'!P30+'HDN'!P30+'KIN'!P30+'LE'!P30+'MER'!P30+'NDN'!P30+'SALT'!P30+'SDN'!P30+'SST'!P30+'WH'!P30+'FH'!P30+'KNL HO'!P30+'CCL HO'!P30+'YBHN HO'!P30+'YBN HO'!P30</f>
        <v/>
      </c>
      <c r="Q30" s="37">
        <f>'ABA'!Q30+'BK'!Q30+'BW'!Q30+'CED'!Q30+'HAB'!Q30+'HB'!Q30+'OD'!Q30+'HDN'!Q30+'KIN'!Q30+'LE'!Q30+'MER'!Q30+'NDN'!Q30+'SALT'!Q30+'SDN'!Q30+'SST'!Q30+'WH'!Q30+'FH'!Q30+'KNL HO'!Q30+'CCL HO'!Q30+'YBHN HO'!Q30+'YBN HO'!Q30</f>
        <v/>
      </c>
      <c r="R30" s="37">
        <f>'ABA'!R30+'BK'!R30+'BW'!R30+'CED'!R30+'HAB'!R30+'HB'!R30+'OD'!R30+'HDN'!R30+'KIN'!R30+'LE'!R30+'MER'!R30+'NDN'!R30+'SALT'!R30+'SDN'!R30+'SST'!R30+'WH'!R30+'FH'!R30+'KNL HO'!R30+'CCL HO'!R30+'YBHN HO'!R30+'YBN HO'!R30</f>
        <v/>
      </c>
      <c r="S30" s="37">
        <f>'ABA'!S30+'BK'!S30+'BW'!S30+'CED'!S30+'HAB'!S30+'HB'!S30+'OD'!S30+'HDN'!S30+'KIN'!S30+'LE'!S30+'MER'!S30+'NDN'!S30+'SALT'!S30+'SDN'!S30+'SST'!S30+'WH'!S30+'FH'!S30+'KNL HO'!S30+'CCL HO'!S30+'YBHN HO'!S30+'YBN HO'!S30</f>
        <v/>
      </c>
      <c r="T30" s="37">
        <f>'ABA'!T30+'BK'!T30+'BW'!T30+'CED'!T30+'HAB'!T30+'HB'!T30+'OD'!T30+'HDN'!T30+'KIN'!T30+'LE'!T30+'MER'!T30+'NDN'!T30+'SALT'!T30+'SDN'!T30+'SST'!T30+'WH'!T30+'FH'!T30+'KNL HO'!T30+'CCL HO'!T30+'YBHN HO'!T30+'YBN HO'!T30</f>
        <v/>
      </c>
      <c r="U30" s="37">
        <f>'ABA'!U30+'BK'!U30+'BW'!U30+'CED'!U30+'HAB'!U30+'HB'!U30+'OD'!U30+'HDN'!U30+'KIN'!U30+'LE'!U30+'MER'!U30+'NDN'!U30+'SALT'!U30+'SDN'!U30+'SST'!U30+'WH'!U30+'FH'!U30+'KNL HO'!U30+'CCL HO'!U30+'YBHN HO'!U30+'YBN HO'!U30</f>
        <v/>
      </c>
      <c r="V30" s="38">
        <f>'KNL HO'!V30+'CCL GROUP P&amp;L'!V30+'YBHN GROUP P&amp;L'!V30+'YBN Group P&amp;L'!V30+'HAB'!V30+'Moe2 P&amp;L'!V30</f>
        <v/>
      </c>
      <c r="W30" s="38">
        <f>'KNL HO'!W30+'CCL GROUP P&amp;L'!W30+'YBHN GROUP P&amp;L'!W30+'YBN Group P&amp;L'!W30+'HAB'!W30+'Moe2 P&amp;L'!W30</f>
        <v/>
      </c>
      <c r="X30" s="38">
        <f>'KNL HO'!X30+'CCL GROUP P&amp;L'!X30+'YBHN GROUP P&amp;L'!X30+'YBN Group P&amp;L'!X30+'HAB'!X30+'Moe2 P&amp;L'!X30</f>
        <v/>
      </c>
      <c r="Y30" s="38">
        <f>'KNL HO'!Y30+'CCL GROUP P&amp;L'!Y30+'YBHN GROUP P&amp;L'!Y30+'YBN Group P&amp;L'!Y30+'HAB'!Y30+'Moe2 P&amp;L'!Y30</f>
        <v/>
      </c>
      <c r="Z30" s="38">
        <f>'KNL HO'!Z30+'CCL GROUP P&amp;L'!Z30+'YBHN GROUP P&amp;L'!Z30+'YBN Group P&amp;L'!Z30+'HAB'!Z30+'Moe2 P&amp;L'!Z30</f>
        <v/>
      </c>
      <c r="AA30" s="36">
        <f>SUM(O30:U30)</f>
        <v/>
      </c>
      <c r="AB30" s="36">
        <f>SUM(O30:Z30)</f>
        <v/>
      </c>
      <c r="AC30" s="38">
        <f>'KNL HO'!AC30+'CCL GROUP P&amp;L'!AC30+'YBHN GROUP P&amp;L'!AC30+'YBN Group P&amp;L'!AC30+'HAB'!AC30+'Moe2 P&amp;L'!AC30</f>
        <v/>
      </c>
      <c r="AD30" s="38">
        <f>'KNL HO'!AD30+'CCL GROUP P&amp;L'!AD30+'YBHN GROUP P&amp;L'!AD30+'YBN Group P&amp;L'!AD30+'HAB'!AD30+'Moe2 P&amp;L'!AD30</f>
        <v/>
      </c>
      <c r="AE30" s="38">
        <f>'KNL HO'!AE30+'CCL GROUP P&amp;L'!AE30+'YBHN GROUP P&amp;L'!AE30+'YBN Group P&amp;L'!AE30+'HAB'!AE30+'Moe2 P&amp;L'!AE30</f>
        <v/>
      </c>
      <c r="AF30" s="38">
        <f>'KNL HO'!AF30+'CCL GROUP P&amp;L'!AF30+'YBHN GROUP P&amp;L'!AF30+'YBN Group P&amp;L'!AF30+'HAB'!AF30+'Moe2 P&amp;L'!AF30</f>
        <v/>
      </c>
      <c r="AG30" s="38">
        <f>'KNL HO'!AG30+'CCL GROUP P&amp;L'!AG30+'YBHN GROUP P&amp;L'!AG30+'YBN Group P&amp;L'!AG30+'HAB'!AG30+'Moe2 P&amp;L'!AG30</f>
        <v/>
      </c>
      <c r="AH30" s="38">
        <f>'KNL HO'!AH30+'CCL GROUP P&amp;L'!AH30+'YBHN GROUP P&amp;L'!AH30+'YBN Group P&amp;L'!AH30+'HAB'!AH30+'Moe2 P&amp;L'!AH30</f>
        <v/>
      </c>
      <c r="AI30" s="137">
        <f>'KNL GROUP P&amp;L'!AI30+'CCL GROUP P&amp;L'!AI30+'YBHN GROUP P&amp;L'!AI30+'YBN Group P&amp;L'!AI30+'HAB P&amp;L'!AI30+'Moe2 P&amp;L'!AI30</f>
        <v/>
      </c>
      <c r="AJ30" s="138">
        <f>'KNL GROUP P&amp;L'!AJ30+'CCL GROUP P&amp;L'!AJ30+'YBHN GROUP P&amp;L'!AJ30+'YBN Group P&amp;L'!AJ30+'HAB P&amp;L'!AJ30+'Moe2 P&amp;L'!AJ30</f>
        <v/>
      </c>
      <c r="AK30" s="138">
        <f>'KNL GROUP P&amp;L'!AK30+'CCL GROUP P&amp;L'!AK30+'YBHN GROUP P&amp;L'!AK30+'YBN Group P&amp;L'!AK30+'HAB P&amp;L'!AK30+'Moe2 P&amp;L'!AK30</f>
        <v/>
      </c>
      <c r="AL30" s="138">
        <f>'KNL GROUP P&amp;L'!AL30+'CCL GROUP P&amp;L'!AL30+'YBHN GROUP P&amp;L'!AL30+'YBN Group P&amp;L'!AL30+'HAB P&amp;L'!AL30+'Moe2 P&amp;L'!AL30</f>
        <v/>
      </c>
      <c r="AM30" s="138">
        <f>'KNL GROUP P&amp;L'!AM30+'CCL GROUP P&amp;L'!AM30+'YBHN GROUP P&amp;L'!AM30+'YBN Group P&amp;L'!AM30+'HAB P&amp;L'!AM30+'Moe2 P&amp;L'!AM30</f>
        <v/>
      </c>
      <c r="AN30" s="137">
        <f>'KNL GROUP P&amp;L'!AN30+'CCL GROUP P&amp;L'!AN30+'YBHN GROUP P&amp;L'!AN30+'YBN Group P&amp;L'!AN30+'HAB P&amp;L'!AN30+'Moe2 P&amp;L'!AN30</f>
        <v/>
      </c>
      <c r="AO30" s="120">
        <f>SUM(AC30:AH30)+SUM(AI30:AN30)</f>
        <v/>
      </c>
      <c r="AP30" s="121">
        <f>IF(AB30&lt;&gt;0,(AO30-AB30)/ABS(AB30),0)</f>
        <v/>
      </c>
    </row>
    <row r="31">
      <c r="A31" s="34" t="inlineStr">
        <is>
          <t>Nursery Equipment</t>
        </is>
      </c>
      <c r="B31" s="35" t="n">
        <v>1805.54</v>
      </c>
      <c r="C31" s="35" t="n">
        <v>2396.420000000001</v>
      </c>
      <c r="D31" s="35" t="n">
        <v>1848.84</v>
      </c>
      <c r="E31" s="35" t="n">
        <v>937.2900000000001</v>
      </c>
      <c r="F31" s="35" t="n">
        <v>2885.59</v>
      </c>
      <c r="G31" s="35" t="n">
        <v>2723.09</v>
      </c>
      <c r="H31" s="35" t="n">
        <v>1841.28</v>
      </c>
      <c r="I31" s="35" t="n">
        <v>1245.73</v>
      </c>
      <c r="J31" s="35" t="n">
        <v>2141.08</v>
      </c>
      <c r="K31" s="35" t="n">
        <v>3949.709999999999</v>
      </c>
      <c r="L31" s="35" t="n">
        <v>2043.07</v>
      </c>
      <c r="M31" s="35" t="n">
        <v>1155.26</v>
      </c>
      <c r="N31" s="36">
        <f>SUM(B31:M31)</f>
        <v/>
      </c>
      <c r="O31" s="37">
        <f>'ABA'!O31+'BK'!O31+'BW'!O31+'CED'!O31+'HAB'!O31+'HB'!O31+'OD'!O31+'HDN'!O31+'KIN'!O31+'LE'!O31+'MER'!O31+'NDN'!O31+'SALT'!O31+'SDN'!O31+'SST'!O31+'WH'!O31+'FH'!O31+'KNL HO'!O31+'CCL HO'!O31+'YBHN HO'!O31+'YBN HO'!O31</f>
        <v/>
      </c>
      <c r="P31" s="37">
        <f>'ABA'!P31+'BK'!P31+'BW'!P31+'CED'!P31+'HAB'!P31+'HB'!P31+'OD'!P31+'HDN'!P31+'KIN'!P31+'LE'!P31+'MER'!P31+'NDN'!P31+'SALT'!P31+'SDN'!P31+'SST'!P31+'WH'!P31+'FH'!P31+'KNL HO'!P31+'CCL HO'!P31+'YBHN HO'!P31+'YBN HO'!P31</f>
        <v/>
      </c>
      <c r="Q31" s="37">
        <f>'ABA'!Q31+'BK'!Q31+'BW'!Q31+'CED'!Q31+'HAB'!Q31+'HB'!Q31+'OD'!Q31+'HDN'!Q31+'KIN'!Q31+'LE'!Q31+'MER'!Q31+'NDN'!Q31+'SALT'!Q31+'SDN'!Q31+'SST'!Q31+'WH'!Q31+'FH'!Q31+'KNL HO'!Q31+'CCL HO'!Q31+'YBHN HO'!Q31+'YBN HO'!Q31</f>
        <v/>
      </c>
      <c r="R31" s="37">
        <f>'ABA'!R31+'BK'!R31+'BW'!R31+'CED'!R31+'HAB'!R31+'HB'!R31+'OD'!R31+'HDN'!R31+'KIN'!R31+'LE'!R31+'MER'!R31+'NDN'!R31+'SALT'!R31+'SDN'!R31+'SST'!R31+'WH'!R31+'FH'!R31+'KNL HO'!R31+'CCL HO'!R31+'YBHN HO'!R31+'YBN HO'!R31</f>
        <v/>
      </c>
      <c r="S31" s="37">
        <f>'ABA'!S31+'BK'!S31+'BW'!S31+'CED'!S31+'HAB'!S31+'HB'!S31+'OD'!S31+'HDN'!S31+'KIN'!S31+'LE'!S31+'MER'!S31+'NDN'!S31+'SALT'!S31+'SDN'!S31+'SST'!S31+'WH'!S31+'FH'!S31+'KNL HO'!S31+'CCL HO'!S31+'YBHN HO'!S31+'YBN HO'!S31</f>
        <v/>
      </c>
      <c r="T31" s="37">
        <f>'ABA'!T31+'BK'!T31+'BW'!T31+'CED'!T31+'HAB'!T31+'HB'!T31+'OD'!T31+'HDN'!T31+'KIN'!T31+'LE'!T31+'MER'!T31+'NDN'!T31+'SALT'!T31+'SDN'!T31+'SST'!T31+'WH'!T31+'FH'!T31+'KNL HO'!T31+'CCL HO'!T31+'YBHN HO'!T31+'YBN HO'!T31</f>
        <v/>
      </c>
      <c r="U31" s="37">
        <f>'ABA'!U31+'BK'!U31+'BW'!U31+'CED'!U31+'HAB'!U31+'HB'!U31+'OD'!U31+'HDN'!U31+'KIN'!U31+'LE'!U31+'MER'!U31+'NDN'!U31+'SALT'!U31+'SDN'!U31+'SST'!U31+'WH'!U31+'FH'!U31+'KNL HO'!U31+'CCL HO'!U31+'YBHN HO'!U31+'YBN HO'!U31</f>
        <v/>
      </c>
      <c r="V31" s="38">
        <f>'KNL HO'!V31+'CCL GROUP P&amp;L'!V31+'YBHN GROUP P&amp;L'!V31+'YBN Group P&amp;L'!V31+'HAB'!V31+'Moe2 P&amp;L'!V31</f>
        <v/>
      </c>
      <c r="W31" s="38">
        <f>'KNL HO'!W31+'CCL GROUP P&amp;L'!W31+'YBHN GROUP P&amp;L'!W31+'YBN Group P&amp;L'!W31+'HAB'!W31+'Moe2 P&amp;L'!W31</f>
        <v/>
      </c>
      <c r="X31" s="38">
        <f>'KNL HO'!X31+'CCL GROUP P&amp;L'!X31+'YBHN GROUP P&amp;L'!X31+'YBN Group P&amp;L'!X31+'HAB'!X31+'Moe2 P&amp;L'!X31</f>
        <v/>
      </c>
      <c r="Y31" s="38">
        <f>'KNL HO'!Y31+'CCL GROUP P&amp;L'!Y31+'YBHN GROUP P&amp;L'!Y31+'YBN Group P&amp;L'!Y31+'HAB'!Y31+'Moe2 P&amp;L'!Y31</f>
        <v/>
      </c>
      <c r="Z31" s="38">
        <f>'KNL HO'!Z31+'CCL GROUP P&amp;L'!Z31+'YBHN GROUP P&amp;L'!Z31+'YBN Group P&amp;L'!Z31+'HAB'!Z31+'Moe2 P&amp;L'!Z31</f>
        <v/>
      </c>
      <c r="AA31" s="36">
        <f>SUM(O31:U31)</f>
        <v/>
      </c>
      <c r="AB31" s="36">
        <f>SUM(O31:Z31)</f>
        <v/>
      </c>
      <c r="AC31" s="38">
        <f>'KNL HO'!AC31+'CCL GROUP P&amp;L'!AC31+'YBHN GROUP P&amp;L'!AC31+'YBN Group P&amp;L'!AC31+'HAB'!AC31+'Moe2 P&amp;L'!AC31</f>
        <v/>
      </c>
      <c r="AD31" s="38">
        <f>'KNL HO'!AD31+'CCL GROUP P&amp;L'!AD31+'YBHN GROUP P&amp;L'!AD31+'YBN Group P&amp;L'!AD31+'HAB'!AD31+'Moe2 P&amp;L'!AD31</f>
        <v/>
      </c>
      <c r="AE31" s="38">
        <f>'KNL HO'!AE31+'CCL GROUP P&amp;L'!AE31+'YBHN GROUP P&amp;L'!AE31+'YBN Group P&amp;L'!AE31+'HAB'!AE31+'Moe2 P&amp;L'!AE31</f>
        <v/>
      </c>
      <c r="AF31" s="38">
        <f>'KNL HO'!AF31+'CCL GROUP P&amp;L'!AF31+'YBHN GROUP P&amp;L'!AF31+'YBN Group P&amp;L'!AF31+'HAB'!AF31+'Moe2 P&amp;L'!AF31</f>
        <v/>
      </c>
      <c r="AG31" s="38">
        <f>'KNL HO'!AG31+'CCL GROUP P&amp;L'!AG31+'YBHN GROUP P&amp;L'!AG31+'YBN Group P&amp;L'!AG31+'HAB'!AG31+'Moe2 P&amp;L'!AG31</f>
        <v/>
      </c>
      <c r="AH31" s="38">
        <f>'KNL HO'!AH31+'CCL GROUP P&amp;L'!AH31+'YBHN GROUP P&amp;L'!AH31+'YBN Group P&amp;L'!AH31+'HAB'!AH31+'Moe2 P&amp;L'!AH31</f>
        <v/>
      </c>
      <c r="AI31" s="137">
        <f>'KNL GROUP P&amp;L'!AI31+'CCL GROUP P&amp;L'!AI31+'YBHN GROUP P&amp;L'!AI31+'YBN Group P&amp;L'!AI31+'HAB P&amp;L'!AI31+'Moe2 P&amp;L'!AI31</f>
        <v/>
      </c>
      <c r="AJ31" s="138">
        <f>'KNL GROUP P&amp;L'!AJ31+'CCL GROUP P&amp;L'!AJ31+'YBHN GROUP P&amp;L'!AJ31+'YBN Group P&amp;L'!AJ31+'HAB P&amp;L'!AJ31+'Moe2 P&amp;L'!AJ31</f>
        <v/>
      </c>
      <c r="AK31" s="138">
        <f>'KNL GROUP P&amp;L'!AK31+'CCL GROUP P&amp;L'!AK31+'YBHN GROUP P&amp;L'!AK31+'YBN Group P&amp;L'!AK31+'HAB P&amp;L'!AK31+'Moe2 P&amp;L'!AK31</f>
        <v/>
      </c>
      <c r="AL31" s="138">
        <f>'KNL GROUP P&amp;L'!AL31+'CCL GROUP P&amp;L'!AL31+'YBHN GROUP P&amp;L'!AL31+'YBN Group P&amp;L'!AL31+'HAB P&amp;L'!AL31+'Moe2 P&amp;L'!AL31</f>
        <v/>
      </c>
      <c r="AM31" s="138">
        <f>'KNL GROUP P&amp;L'!AM31+'CCL GROUP P&amp;L'!AM31+'YBHN GROUP P&amp;L'!AM31+'YBN Group P&amp;L'!AM31+'HAB P&amp;L'!AM31+'Moe2 P&amp;L'!AM31</f>
        <v/>
      </c>
      <c r="AN31" s="137">
        <f>'KNL GROUP P&amp;L'!AN31+'CCL GROUP P&amp;L'!AN31+'YBHN GROUP P&amp;L'!AN31+'YBN Group P&amp;L'!AN31+'HAB P&amp;L'!AN31+'Moe2 P&amp;L'!AN31</f>
        <v/>
      </c>
      <c r="AO31" s="120">
        <f>SUM(AC31:AH31)+SUM(AI31:AN31)</f>
        <v/>
      </c>
      <c r="AP31" s="121">
        <f>IF(AB31&lt;&gt;0,(AO31-AB31)/ABS(AB31),0)</f>
        <v/>
      </c>
    </row>
    <row r="32">
      <c r="A32" s="34" t="inlineStr">
        <is>
          <t>Nursery Consumables</t>
        </is>
      </c>
      <c r="B32" s="35" t="n">
        <v>2520.27</v>
      </c>
      <c r="C32" s="35" t="n">
        <v>2090.12</v>
      </c>
      <c r="D32" s="35" t="n">
        <v>2268.76</v>
      </c>
      <c r="E32" s="35" t="n">
        <v>2641.3</v>
      </c>
      <c r="F32" s="35" t="n">
        <v>3217.589999999999</v>
      </c>
      <c r="G32" s="35" t="n">
        <v>3269.62</v>
      </c>
      <c r="H32" s="35" t="n">
        <v>3287.580000000001</v>
      </c>
      <c r="I32" s="35" t="n">
        <v>2952.940000000001</v>
      </c>
      <c r="J32" s="35" t="n">
        <v>2387.23</v>
      </c>
      <c r="K32" s="35" t="n">
        <v>2719.25</v>
      </c>
      <c r="L32" s="35" t="n">
        <v>3359.61</v>
      </c>
      <c r="M32" s="35" t="n">
        <v>4011.29</v>
      </c>
      <c r="N32" s="36">
        <f>SUM(B32:M32)</f>
        <v/>
      </c>
      <c r="O32" s="37">
        <f>'ABA'!O32+'BK'!O32+'BW'!O32+'CED'!O32+'HAB'!O32+'HB'!O32+'OD'!O32+'HDN'!O32+'KIN'!O32+'LE'!O32+'MER'!O32+'NDN'!O32+'SALT'!O32+'SDN'!O32+'SST'!O32+'WH'!O32+'FH'!O32+'KNL HO'!O32+'CCL HO'!O32+'YBHN HO'!O32+'YBN HO'!O32</f>
        <v/>
      </c>
      <c r="P32" s="37">
        <f>'ABA'!P32+'BK'!P32+'BW'!P32+'CED'!P32+'HAB'!P32+'HB'!P32+'OD'!P32+'HDN'!P32+'KIN'!P32+'LE'!P32+'MER'!P32+'NDN'!P32+'SALT'!P32+'SDN'!P32+'SST'!P32+'WH'!P32+'FH'!P32+'KNL HO'!P32+'CCL HO'!P32+'YBHN HO'!P32+'YBN HO'!P32</f>
        <v/>
      </c>
      <c r="Q32" s="37">
        <f>'ABA'!Q32+'BK'!Q32+'BW'!Q32+'CED'!Q32+'HAB'!Q32+'HB'!Q32+'OD'!Q32+'HDN'!Q32+'KIN'!Q32+'LE'!Q32+'MER'!Q32+'NDN'!Q32+'SALT'!Q32+'SDN'!Q32+'SST'!Q32+'WH'!Q32+'FH'!Q32+'KNL HO'!Q32+'CCL HO'!Q32+'YBHN HO'!Q32+'YBN HO'!Q32</f>
        <v/>
      </c>
      <c r="R32" s="37">
        <f>'ABA'!R32+'BK'!R32+'BW'!R32+'CED'!R32+'HAB'!R32+'HB'!R32+'OD'!R32+'HDN'!R32+'KIN'!R32+'LE'!R32+'MER'!R32+'NDN'!R32+'SALT'!R32+'SDN'!R32+'SST'!R32+'WH'!R32+'FH'!R32+'KNL HO'!R32+'CCL HO'!R32+'YBHN HO'!R32+'YBN HO'!R32</f>
        <v/>
      </c>
      <c r="S32" s="37">
        <f>'ABA'!S32+'BK'!S32+'BW'!S32+'CED'!S32+'HAB'!S32+'HB'!S32+'OD'!S32+'HDN'!S32+'KIN'!S32+'LE'!S32+'MER'!S32+'NDN'!S32+'SALT'!S32+'SDN'!S32+'SST'!S32+'WH'!S32+'FH'!S32+'KNL HO'!S32+'CCL HO'!S32+'YBHN HO'!S32+'YBN HO'!S32</f>
        <v/>
      </c>
      <c r="T32" s="37">
        <f>'ABA'!T32+'BK'!T32+'BW'!T32+'CED'!T32+'HAB'!T32+'HB'!T32+'OD'!T32+'HDN'!T32+'KIN'!T32+'LE'!T32+'MER'!T32+'NDN'!T32+'SALT'!T32+'SDN'!T32+'SST'!T32+'WH'!T32+'FH'!T32+'KNL HO'!T32+'CCL HO'!T32+'YBHN HO'!T32+'YBN HO'!T32</f>
        <v/>
      </c>
      <c r="U32" s="37">
        <f>'ABA'!U32+'BK'!U32+'BW'!U32+'CED'!U32+'HAB'!U32+'HB'!U32+'OD'!U32+'HDN'!U32+'KIN'!U32+'LE'!U32+'MER'!U32+'NDN'!U32+'SALT'!U32+'SDN'!U32+'SST'!U32+'WH'!U32+'FH'!U32+'KNL HO'!U32+'CCL HO'!U32+'YBHN HO'!U32+'YBN HO'!U32</f>
        <v/>
      </c>
      <c r="V32" s="38">
        <f>'KNL HO'!V32+'CCL GROUP P&amp;L'!V32+'YBHN GROUP P&amp;L'!V32+'YBN Group P&amp;L'!V32+'HAB'!V32+'Moe2 P&amp;L'!V32</f>
        <v/>
      </c>
      <c r="W32" s="38">
        <f>'KNL HO'!W32+'CCL GROUP P&amp;L'!W32+'YBHN GROUP P&amp;L'!W32+'YBN Group P&amp;L'!W32+'HAB'!W32+'Moe2 P&amp;L'!W32</f>
        <v/>
      </c>
      <c r="X32" s="38">
        <f>'KNL HO'!X32+'CCL GROUP P&amp;L'!X32+'YBHN GROUP P&amp;L'!X32+'YBN Group P&amp;L'!X32+'HAB'!X32+'Moe2 P&amp;L'!X32</f>
        <v/>
      </c>
      <c r="Y32" s="38">
        <f>'KNL HO'!Y32+'CCL GROUP P&amp;L'!Y32+'YBHN GROUP P&amp;L'!Y32+'YBN Group P&amp;L'!Y32+'HAB'!Y32+'Moe2 P&amp;L'!Y32</f>
        <v/>
      </c>
      <c r="Z32" s="38">
        <f>'KNL HO'!Z32+'CCL GROUP P&amp;L'!Z32+'YBHN GROUP P&amp;L'!Z32+'YBN Group P&amp;L'!Z32+'HAB'!Z32+'Moe2 P&amp;L'!Z32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37">
        <f>Z$8*$AI32</f>
        <v/>
      </c>
      <c r="AJ32" s="138">
        <f>Z$8*$AI32</f>
        <v/>
      </c>
      <c r="AK32" s="138">
        <f>Z$8*$AI32</f>
        <v/>
      </c>
      <c r="AL32" s="138">
        <f>Z$8*$AI32</f>
        <v/>
      </c>
      <c r="AM32" s="138">
        <f>Z$8*$AI32</f>
        <v/>
      </c>
      <c r="AN32" s="137">
        <f>Z$8*$AI32</f>
        <v/>
      </c>
      <c r="AO32" s="120">
        <f>SUM(AC32:AH32)+SUM(AI32:AN32)</f>
        <v/>
      </c>
      <c r="AP32" s="121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'ABA'!O33+'BK'!O33+'BW'!O33+'CED'!O33+'HAB'!O33+'HB'!O33+'OD'!O33+'HDN'!O33+'KIN'!O33+'LE'!O33+'MER'!O33+'NDN'!O33+'SALT'!O33+'SDN'!O33+'SST'!O33+'WH'!O33+'FH'!O33+'KNL HO'!O33+'CCL HO'!O33+'YBHN HO'!O33+'YBN HO'!O33</f>
        <v/>
      </c>
      <c r="P33" s="37">
        <f>'ABA'!P33+'BK'!P33+'BW'!P33+'CED'!P33+'HAB'!P33+'HB'!P33+'OD'!P33+'HDN'!P33+'KIN'!P33+'LE'!P33+'MER'!P33+'NDN'!P33+'SALT'!P33+'SDN'!P33+'SST'!P33+'WH'!P33+'FH'!P33+'KNL HO'!P33+'CCL HO'!P33+'YBHN HO'!P33+'YBN HO'!P33</f>
        <v/>
      </c>
      <c r="Q33" s="37">
        <f>'ABA'!Q33+'BK'!Q33+'BW'!Q33+'CED'!Q33+'HAB'!Q33+'HB'!Q33+'OD'!Q33+'HDN'!Q33+'KIN'!Q33+'LE'!Q33+'MER'!Q33+'NDN'!Q33+'SALT'!Q33+'SDN'!Q33+'SST'!Q33+'WH'!Q33+'FH'!Q33+'KNL HO'!Q33+'CCL HO'!Q33+'YBHN HO'!Q33+'YBN HO'!Q33</f>
        <v/>
      </c>
      <c r="R33" s="37">
        <f>'ABA'!R33+'BK'!R33+'BW'!R33+'CED'!R33+'HAB'!R33+'HB'!R33+'OD'!R33+'HDN'!R33+'KIN'!R33+'LE'!R33+'MER'!R33+'NDN'!R33+'SALT'!R33+'SDN'!R33+'SST'!R33+'WH'!R33+'FH'!R33+'KNL HO'!R33+'CCL HO'!R33+'YBHN HO'!R33+'YBN HO'!R33</f>
        <v/>
      </c>
      <c r="S33" s="37">
        <f>'ABA'!S33+'BK'!S33+'BW'!S33+'CED'!S33+'HAB'!S33+'HB'!S33+'OD'!S33+'HDN'!S33+'KIN'!S33+'LE'!S33+'MER'!S33+'NDN'!S33+'SALT'!S33+'SDN'!S33+'SST'!S33+'WH'!S33+'FH'!S33+'KNL HO'!S33+'CCL HO'!S33+'YBHN HO'!S33+'YBN HO'!S33</f>
        <v/>
      </c>
      <c r="T33" s="37">
        <f>'ABA'!T33+'BK'!T33+'BW'!T33+'CED'!T33+'HAB'!T33+'HB'!T33+'OD'!T33+'HDN'!T33+'KIN'!T33+'LE'!T33+'MER'!T33+'NDN'!T33+'SALT'!T33+'SDN'!T33+'SST'!T33+'WH'!T33+'FH'!T33+'KNL HO'!T33+'CCL HO'!T33+'YBHN HO'!T33+'YBN HO'!T33</f>
        <v/>
      </c>
      <c r="U33" s="37">
        <f>'ABA'!U33+'BK'!U33+'BW'!U33+'CED'!U33+'HAB'!U33+'HB'!U33+'OD'!U33+'HDN'!U33+'KIN'!U33+'LE'!U33+'MER'!U33+'NDN'!U33+'SALT'!U33+'SDN'!U33+'SST'!U33+'WH'!U33+'FH'!U33+'KNL HO'!U33+'CCL HO'!U33+'YBHN HO'!U33+'YBN HO'!U33</f>
        <v/>
      </c>
      <c r="V33" s="38">
        <f>'KNL HO'!V33+'CCL GROUP P&amp;L'!V33+'YBHN GROUP P&amp;L'!V33+'YBN Group P&amp;L'!V33+'HAB'!V33+'Moe2 P&amp;L'!V33</f>
        <v/>
      </c>
      <c r="W33" s="38">
        <f>'KNL HO'!W33+'CCL GROUP P&amp;L'!W33+'YBHN GROUP P&amp;L'!W33+'YBN Group P&amp;L'!W33+'HAB'!W33+'Moe2 P&amp;L'!W33</f>
        <v/>
      </c>
      <c r="X33" s="38">
        <f>'KNL HO'!X33+'CCL GROUP P&amp;L'!X33+'YBHN GROUP P&amp;L'!X33+'YBN Group P&amp;L'!X33+'HAB'!X33+'Moe2 P&amp;L'!X33</f>
        <v/>
      </c>
      <c r="Y33" s="38">
        <f>'KNL HO'!Y33+'CCL GROUP P&amp;L'!Y33+'YBHN GROUP P&amp;L'!Y33+'YBN Group P&amp;L'!Y33+'HAB'!Y33+'Moe2 P&amp;L'!Y33</f>
        <v/>
      </c>
      <c r="Z33" s="38">
        <f>'KNL HO'!Z33+'CCL GROUP P&amp;L'!Z33+'YBHN GROUP P&amp;L'!Z33+'YBN Group P&amp;L'!Z33+'HAB'!Z33+'Moe2 P&amp;L'!Z33</f>
        <v/>
      </c>
      <c r="AA33" s="36">
        <f>SUM(O33:U33)</f>
        <v/>
      </c>
      <c r="AB33" s="36">
        <f>SUM(O33:Z33)</f>
        <v/>
      </c>
      <c r="AC33" s="38">
        <f>'KNL HO'!AC33+'CCL GROUP P&amp;L'!AC33+'YBHN GROUP P&amp;L'!AC33+'YBN Group P&amp;L'!AC33+'HAB'!AC33+'Moe2 P&amp;L'!AC33</f>
        <v/>
      </c>
      <c r="AD33" s="38">
        <f>'KNL HO'!AD33+'CCL GROUP P&amp;L'!AD33+'YBHN GROUP P&amp;L'!AD33+'YBN Group P&amp;L'!AD33+'HAB'!AD33+'Moe2 P&amp;L'!AD33</f>
        <v/>
      </c>
      <c r="AE33" s="38">
        <f>'KNL HO'!AE33+'CCL GROUP P&amp;L'!AE33+'YBHN GROUP P&amp;L'!AE33+'YBN Group P&amp;L'!AE33+'HAB'!AE33+'Moe2 P&amp;L'!AE33</f>
        <v/>
      </c>
      <c r="AF33" s="38">
        <f>'KNL HO'!AF33+'CCL GROUP P&amp;L'!AF33+'YBHN GROUP P&amp;L'!AF33+'YBN Group P&amp;L'!AF33+'HAB'!AF33+'Moe2 P&amp;L'!AF33</f>
        <v/>
      </c>
      <c r="AG33" s="38">
        <f>'KNL HO'!AG33+'CCL GROUP P&amp;L'!AG33+'YBHN GROUP P&amp;L'!AG33+'YBN Group P&amp;L'!AG33+'HAB'!AG33+'Moe2 P&amp;L'!AG33</f>
        <v/>
      </c>
      <c r="AH33" s="38">
        <f>'KNL HO'!AH33+'CCL GROUP P&amp;L'!AH33+'YBHN GROUP P&amp;L'!AH33+'YBN Group P&amp;L'!AH33+'HAB'!AH33+'Moe2 P&amp;L'!AH33</f>
        <v/>
      </c>
      <c r="AI33" s="137">
        <f>'KNL GROUP P&amp;L'!AI33+'CCL GROUP P&amp;L'!AI33+'YBHN GROUP P&amp;L'!AI33+'YBN Group P&amp;L'!AI33+'HAB P&amp;L'!AI33+'Moe2 P&amp;L'!AI33</f>
        <v/>
      </c>
      <c r="AJ33" s="138">
        <f>'KNL GROUP P&amp;L'!AJ33+'CCL GROUP P&amp;L'!AJ33+'YBHN GROUP P&amp;L'!AJ33+'YBN Group P&amp;L'!AJ33+'HAB P&amp;L'!AJ33+'Moe2 P&amp;L'!AJ33</f>
        <v/>
      </c>
      <c r="AK33" s="138">
        <f>'KNL GROUP P&amp;L'!AK33+'CCL GROUP P&amp;L'!AK33+'YBHN GROUP P&amp;L'!AK33+'YBN Group P&amp;L'!AK33+'HAB P&amp;L'!AK33+'Moe2 P&amp;L'!AK33</f>
        <v/>
      </c>
      <c r="AL33" s="138">
        <f>'KNL GROUP P&amp;L'!AL33+'CCL GROUP P&amp;L'!AL33+'YBHN GROUP P&amp;L'!AL33+'YBN Group P&amp;L'!AL33+'HAB P&amp;L'!AL33+'Moe2 P&amp;L'!AL33</f>
        <v/>
      </c>
      <c r="AM33" s="138">
        <f>'KNL GROUP P&amp;L'!AM33+'CCL GROUP P&amp;L'!AM33+'YBHN GROUP P&amp;L'!AM33+'YBN Group P&amp;L'!AM33+'HAB P&amp;L'!AM33+'Moe2 P&amp;L'!AM33</f>
        <v/>
      </c>
      <c r="AN33" s="137">
        <f>'KNL GROUP P&amp;L'!AN33+'CCL GROUP P&amp;L'!AN33+'YBHN GROUP P&amp;L'!AN33+'YBN Group P&amp;L'!AN33+'HAB P&amp;L'!AN33+'Moe2 P&amp;L'!AN33</f>
        <v/>
      </c>
      <c r="AO33" s="120">
        <f>SUM(AC33:AH33)+SUM(AI33:AN33)</f>
        <v/>
      </c>
      <c r="AP33" s="121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35205.68</v>
      </c>
      <c r="C34" s="42" t="n">
        <v>41585.37</v>
      </c>
      <c r="D34" s="42" t="n">
        <v>35688.76</v>
      </c>
      <c r="E34" s="42" t="n">
        <v>30859.64</v>
      </c>
      <c r="F34" s="42" t="n">
        <v>40642.69</v>
      </c>
      <c r="G34" s="42" t="n">
        <v>40290.33000000001</v>
      </c>
      <c r="H34" s="42" t="n">
        <v>38526.12</v>
      </c>
      <c r="I34" s="42" t="n">
        <v>37931.38</v>
      </c>
      <c r="J34" s="42" t="n">
        <v>36694.59000000001</v>
      </c>
      <c r="K34" s="42" t="n">
        <v>39332.78</v>
      </c>
      <c r="L34" s="42" t="n">
        <v>36711.58</v>
      </c>
      <c r="M34" s="42" t="n">
        <v>28826.44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SUM(O34:U34)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2">
        <f>SUM(AI27:AI33)</f>
        <v/>
      </c>
      <c r="AJ34" s="123">
        <f>SUM(AJ27:AJ33)</f>
        <v/>
      </c>
      <c r="AK34" s="123">
        <f>SUM(AK27:AK33)</f>
        <v/>
      </c>
      <c r="AL34" s="123">
        <f>SUM(AL27:AL33)</f>
        <v/>
      </c>
      <c r="AM34" s="123">
        <f>SUM(AM27:AM33)</f>
        <v/>
      </c>
      <c r="AN34" s="122">
        <f>SUM(AN27:AN33)</f>
        <v/>
      </c>
      <c r="AO34" s="124">
        <f>SUM(AC34:AH34)+SUM(AI34:AN34)</f>
        <v/>
      </c>
      <c r="AP34" s="125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 t="n"/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SUM(O35:U35)</f>
        <v/>
      </c>
      <c r="AB35" s="36" t="n"/>
      <c r="AC35" s="32">
        <f>'KNL HO'!AC35+'CCL GROUP P&amp;L'!AC35+'YBHN GROUP P&amp;L'!AC35+'YBN Group P&amp;L'!AC35+'HAB'!AC35+'Moe2 P&amp;L'!AC35</f>
        <v/>
      </c>
      <c r="AD35" s="32">
        <f>'KNL HO'!AD35+'CCL GROUP P&amp;L'!AD35+'YBHN GROUP P&amp;L'!AD35+'YBN Group P&amp;L'!AD35+'HAB'!AD35+'Moe2 P&amp;L'!AD35</f>
        <v/>
      </c>
      <c r="AE35" s="32">
        <f>'KNL HO'!AE35+'CCL GROUP P&amp;L'!AE35+'YBHN GROUP P&amp;L'!AE35+'YBN Group P&amp;L'!AE35+'HAB'!AE35+'Moe2 P&amp;L'!AE35</f>
        <v/>
      </c>
      <c r="AF35" s="32">
        <f>'KNL HO'!AF35+'CCL GROUP P&amp;L'!AF35+'YBHN GROUP P&amp;L'!AF35+'YBN Group P&amp;L'!AF35+'HAB'!AF35+'Moe2 P&amp;L'!AF35</f>
        <v/>
      </c>
      <c r="AG35" s="32">
        <f>'KNL HO'!AG35+'CCL GROUP P&amp;L'!AG35+'YBHN GROUP P&amp;L'!AG35+'YBN Group P&amp;L'!AG35+'HAB'!AG35+'Moe2 P&amp;L'!AG35</f>
        <v/>
      </c>
      <c r="AH35" s="32">
        <f>'KNL HO'!AH35+'CCL GROUP P&amp;L'!AH35+'YBHN GROUP P&amp;L'!AH35+'YBN Group P&amp;L'!AH35+'HAB'!AH35+'Moe2 P&amp;L'!AH35</f>
        <v/>
      </c>
      <c r="AI35" s="141">
        <f>'KNL GROUP P&amp;L'!AI35+'CCL GROUP P&amp;L'!AI35+'YBHN GROUP P&amp;L'!AI35+'YBN Group P&amp;L'!AI35+'HAB P&amp;L'!AI35+'Moe2 P&amp;L'!AI35</f>
        <v/>
      </c>
      <c r="AJ35" s="142">
        <f>'KNL GROUP P&amp;L'!AJ35+'CCL GROUP P&amp;L'!AJ35+'YBHN GROUP P&amp;L'!AJ35+'YBN Group P&amp;L'!AJ35+'HAB P&amp;L'!AJ35+'Moe2 P&amp;L'!AJ35</f>
        <v/>
      </c>
      <c r="AK35" s="142">
        <f>'KNL GROUP P&amp;L'!AK35+'CCL GROUP P&amp;L'!AK35+'YBHN GROUP P&amp;L'!AK35+'YBN Group P&amp;L'!AK35+'HAB P&amp;L'!AK35+'Moe2 P&amp;L'!AK35</f>
        <v/>
      </c>
      <c r="AL35" s="142">
        <f>'KNL GROUP P&amp;L'!AL35+'CCL GROUP P&amp;L'!AL35+'YBHN GROUP P&amp;L'!AL35+'YBN Group P&amp;L'!AL35+'HAB P&amp;L'!AL35+'Moe2 P&amp;L'!AL35</f>
        <v/>
      </c>
      <c r="AM35" s="142">
        <f>'KNL GROUP P&amp;L'!AM35+'CCL GROUP P&amp;L'!AM35+'YBHN GROUP P&amp;L'!AM35+'YBN Group P&amp;L'!AM35+'HAB P&amp;L'!AM35+'Moe2 P&amp;L'!AM35</f>
        <v/>
      </c>
      <c r="AN35" s="141">
        <f>'KNL GROUP P&amp;L'!AN35+'CCL GROUP P&amp;L'!AN35+'YBHN GROUP P&amp;L'!AN35+'YBN Group P&amp;L'!AN35+'HAB P&amp;L'!AN35+'Moe2 P&amp;L'!AN35</f>
        <v/>
      </c>
      <c r="AO35" s="129">
        <f>SUM(AC35:AH35)+SUM(AI35:AN35)</f>
        <v/>
      </c>
      <c r="AP35" s="121">
        <f>IF(AB35&lt;&gt;0,(AO35-AB35)/ABS(AB35),0)</f>
        <v/>
      </c>
    </row>
    <row r="36">
      <c r="A36" s="34" t="inlineStr">
        <is>
          <t>Rent</t>
        </is>
      </c>
      <c r="B36" s="35" t="n">
        <v>10898</v>
      </c>
      <c r="C36" s="35" t="n">
        <v>10898</v>
      </c>
      <c r="D36" s="35" t="n">
        <v>10898</v>
      </c>
      <c r="E36" s="35" t="n">
        <v>10898</v>
      </c>
      <c r="F36" s="35" t="n">
        <v>10897.99</v>
      </c>
      <c r="G36" s="35" t="n">
        <v>10898</v>
      </c>
      <c r="H36" s="35" t="n">
        <v>10898.02</v>
      </c>
      <c r="I36" s="35" t="n">
        <v>10898</v>
      </c>
      <c r="J36" s="35" t="n">
        <v>10897.99</v>
      </c>
      <c r="K36" s="35" t="n">
        <v>10898</v>
      </c>
      <c r="L36" s="35" t="n">
        <v>10898</v>
      </c>
      <c r="M36" s="35" t="n">
        <v>10898</v>
      </c>
      <c r="N36" s="36">
        <f>SUM(B36:M36)</f>
        <v/>
      </c>
      <c r="O36" s="37">
        <f>'ABA'!O36+'BK'!O36+'BW'!O36+'CED'!O36+'HAB'!O36+'HB'!O36+'OD'!O36+'HDN'!O36+'KIN'!O36+'LE'!O36+'MER'!O36+'NDN'!O36+'SALT'!O36+'SDN'!O36+'SST'!O36+'WH'!O36+'FH'!O36+'KNL HO'!O36+'CCL HO'!O36+'YBHN HO'!O36+'YBN HO'!O36</f>
        <v/>
      </c>
      <c r="P36" s="37">
        <f>'ABA'!P36+'BK'!P36+'BW'!P36+'CED'!P36+'HAB'!P36+'HB'!P36+'OD'!P36+'HDN'!P36+'KIN'!P36+'LE'!P36+'MER'!P36+'NDN'!P36+'SALT'!P36+'SDN'!P36+'SST'!P36+'WH'!P36+'FH'!P36+'KNL HO'!P36+'CCL HO'!P36+'YBHN HO'!P36+'YBN HO'!P36</f>
        <v/>
      </c>
      <c r="Q36" s="37">
        <f>'ABA'!Q36+'BK'!Q36+'BW'!Q36+'CED'!Q36+'HAB'!Q36+'HB'!Q36+'OD'!Q36+'HDN'!Q36+'KIN'!Q36+'LE'!Q36+'MER'!Q36+'NDN'!Q36+'SALT'!Q36+'SDN'!Q36+'SST'!Q36+'WH'!Q36+'FH'!Q36+'KNL HO'!Q36+'CCL HO'!Q36+'YBHN HO'!Q36+'YBN HO'!Q36</f>
        <v/>
      </c>
      <c r="R36" s="37">
        <f>'ABA'!R36+'BK'!R36+'BW'!R36+'CED'!R36+'HAB'!R36+'HB'!R36+'OD'!R36+'HDN'!R36+'KIN'!R36+'LE'!R36+'MER'!R36+'NDN'!R36+'SALT'!R36+'SDN'!R36+'SST'!R36+'WH'!R36+'FH'!R36+'KNL HO'!R36+'CCL HO'!R36+'YBHN HO'!R36+'YBN HO'!R36</f>
        <v/>
      </c>
      <c r="S36" s="37">
        <f>'ABA'!S36+'BK'!S36+'BW'!S36+'CED'!S36+'HAB'!S36+'HB'!S36+'OD'!S36+'HDN'!S36+'KIN'!S36+'LE'!S36+'MER'!S36+'NDN'!S36+'SALT'!S36+'SDN'!S36+'SST'!S36+'WH'!S36+'FH'!S36+'KNL HO'!S36+'CCL HO'!S36+'YBHN HO'!S36+'YBN HO'!S36</f>
        <v/>
      </c>
      <c r="T36" s="37">
        <f>'ABA'!T36+'BK'!T36+'BW'!T36+'CED'!T36+'HAB'!T36+'HB'!T36+'OD'!T36+'HDN'!T36+'KIN'!T36+'LE'!T36+'MER'!T36+'NDN'!T36+'SALT'!T36+'SDN'!T36+'SST'!T36+'WH'!T36+'FH'!T36+'KNL HO'!T36+'CCL HO'!T36+'YBHN HO'!T36+'YBN HO'!T36</f>
        <v/>
      </c>
      <c r="U36" s="37">
        <f>'ABA'!U36+'BK'!U36+'BW'!U36+'CED'!U36+'HAB'!U36+'HB'!U36+'OD'!U36+'HDN'!U36+'KIN'!U36+'LE'!U36+'MER'!U36+'NDN'!U36+'SALT'!U36+'SDN'!U36+'SST'!U36+'WH'!U36+'FH'!U36+'KNL HO'!U36+'CCL HO'!U36+'YBHN HO'!U36+'YBN HO'!U36</f>
        <v/>
      </c>
      <c r="V36" s="38">
        <f>'KNL HO'!V36+'CCL GROUP P&amp;L'!V36+'YBHN GROUP P&amp;L'!V36+'YBN Group P&amp;L'!V36+'HAB'!V36+'Moe2 P&amp;L'!V36</f>
        <v/>
      </c>
      <c r="W36" s="38">
        <f>'KNL HO'!W36+'CCL GROUP P&amp;L'!W36+'YBHN GROUP P&amp;L'!W36+'YBN Group P&amp;L'!W36+'HAB'!W36+'Moe2 P&amp;L'!W36</f>
        <v/>
      </c>
      <c r="X36" s="38">
        <f>'KNL HO'!X36+'CCL GROUP P&amp;L'!X36+'YBHN GROUP P&amp;L'!X36+'YBN Group P&amp;L'!X36+'HAB'!X36+'Moe2 P&amp;L'!X36</f>
        <v/>
      </c>
      <c r="Y36" s="38">
        <f>'KNL HO'!Y36+'CCL GROUP P&amp;L'!Y36+'YBHN GROUP P&amp;L'!Y36+'YBN Group P&amp;L'!Y36+'HAB'!Y36+'Moe2 P&amp;L'!Y36</f>
        <v/>
      </c>
      <c r="Z36" s="38">
        <f>'KNL HO'!Z36+'CCL GROUP P&amp;L'!Z36+'YBHN GROUP P&amp;L'!Z36+'YBN Group P&amp;L'!Z36+'HAB'!Z36+'Moe2 P&amp;L'!Z36</f>
        <v/>
      </c>
      <c r="AA36" s="36">
        <f>SUM(O36:U36)</f>
        <v/>
      </c>
      <c r="AB36" s="36">
        <f>SUM(O36:Z36)</f>
        <v/>
      </c>
      <c r="AC36" s="38">
        <f>'KNL HO'!AC36+'CCL GROUP P&amp;L'!AC36+'YBHN GROUP P&amp;L'!AC36+'YBN Group P&amp;L'!AC36+'HAB'!AC36+'Moe2 P&amp;L'!AC36</f>
        <v/>
      </c>
      <c r="AD36" s="38">
        <f>'KNL HO'!AD36+'CCL GROUP P&amp;L'!AD36+'YBHN GROUP P&amp;L'!AD36+'YBN Group P&amp;L'!AD36+'HAB'!AD36+'Moe2 P&amp;L'!AD36</f>
        <v/>
      </c>
      <c r="AE36" s="38">
        <f>'KNL HO'!AE36+'CCL GROUP P&amp;L'!AE36+'YBHN GROUP P&amp;L'!AE36+'YBN Group P&amp;L'!AE36+'HAB'!AE36+'Moe2 P&amp;L'!AE36</f>
        <v/>
      </c>
      <c r="AF36" s="38">
        <f>'KNL HO'!AF36+'CCL GROUP P&amp;L'!AF36+'YBHN GROUP P&amp;L'!AF36+'YBN Group P&amp;L'!AF36+'HAB'!AF36+'Moe2 P&amp;L'!AF36</f>
        <v/>
      </c>
      <c r="AG36" s="38">
        <f>'KNL HO'!AG36+'CCL GROUP P&amp;L'!AG36+'YBHN GROUP P&amp;L'!AG36+'YBN Group P&amp;L'!AG36+'HAB'!AG36+'Moe2 P&amp;L'!AG36</f>
        <v/>
      </c>
      <c r="AH36" s="38">
        <f>'KNL HO'!AH36+'CCL GROUP P&amp;L'!AH36+'YBHN GROUP P&amp;L'!AH36+'YBN Group P&amp;L'!AH36+'HAB'!AH36+'Moe2 P&amp;L'!AH36</f>
        <v/>
      </c>
      <c r="AI36" s="137">
        <f>'KNL GROUP P&amp;L'!AI36+'CCL GROUP P&amp;L'!AI36+'YBHN GROUP P&amp;L'!AI36+'YBN Group P&amp;L'!AI36+'HAB P&amp;L'!AI36+'Moe2 P&amp;L'!AI36</f>
        <v/>
      </c>
      <c r="AJ36" s="138">
        <f>'KNL GROUP P&amp;L'!AJ36+'CCL GROUP P&amp;L'!AJ36+'YBHN GROUP P&amp;L'!AJ36+'YBN Group P&amp;L'!AJ36+'HAB P&amp;L'!AJ36+'Moe2 P&amp;L'!AJ36</f>
        <v/>
      </c>
      <c r="AK36" s="138">
        <f>'KNL GROUP P&amp;L'!AK36+'CCL GROUP P&amp;L'!AK36+'YBHN GROUP P&amp;L'!AK36+'YBN Group P&amp;L'!AK36+'HAB P&amp;L'!AK36+'Moe2 P&amp;L'!AK36</f>
        <v/>
      </c>
      <c r="AL36" s="138">
        <f>'KNL GROUP P&amp;L'!AL36+'CCL GROUP P&amp;L'!AL36+'YBHN GROUP P&amp;L'!AL36+'YBN Group P&amp;L'!AL36+'HAB P&amp;L'!AL36+'Moe2 P&amp;L'!AL36</f>
        <v/>
      </c>
      <c r="AM36" s="138">
        <f>'KNL GROUP P&amp;L'!AM36+'CCL GROUP P&amp;L'!AM36+'YBHN GROUP P&amp;L'!AM36+'YBN Group P&amp;L'!AM36+'HAB P&amp;L'!AM36+'Moe2 P&amp;L'!AM36</f>
        <v/>
      </c>
      <c r="AN36" s="137">
        <f>'KNL GROUP P&amp;L'!AN36+'CCL GROUP P&amp;L'!AN36+'YBHN GROUP P&amp;L'!AN36+'YBN Group P&amp;L'!AN36+'HAB P&amp;L'!AN36+'Moe2 P&amp;L'!AN36</f>
        <v/>
      </c>
      <c r="AO36" s="120">
        <f>SUM(AC36:AH36)+SUM(AI36:AN36)</f>
        <v/>
      </c>
      <c r="AP36" s="121">
        <f>IF(AB36&lt;&gt;0,(AO36-AB36)/ABS(AB36),0)</f>
        <v/>
      </c>
    </row>
    <row r="37">
      <c r="A37" s="34" t="inlineStr">
        <is>
          <t>Business Rates</t>
        </is>
      </c>
      <c r="B37" s="35" t="n">
        <v>22097.3</v>
      </c>
      <c r="C37" s="35" t="n">
        <v>24976.87</v>
      </c>
      <c r="D37" s="35" t="n">
        <v>25013.75</v>
      </c>
      <c r="E37" s="35" t="n">
        <v>28671.32</v>
      </c>
      <c r="F37" s="35" t="n">
        <v>25222.92</v>
      </c>
      <c r="G37" s="35" t="n">
        <v>25222.94</v>
      </c>
      <c r="H37" s="35" t="n">
        <v>25222.94</v>
      </c>
      <c r="I37" s="35" t="n">
        <v>25222.94</v>
      </c>
      <c r="J37" s="35" t="n">
        <v>25222.94</v>
      </c>
      <c r="K37" s="35" t="n">
        <v>25222.94</v>
      </c>
      <c r="L37" s="35" t="n">
        <v>25222.94</v>
      </c>
      <c r="M37" s="35" t="n">
        <v>25222.94</v>
      </c>
      <c r="N37" s="36">
        <f>SUM(B37:M37)</f>
        <v/>
      </c>
      <c r="O37" s="37">
        <f>'ABA'!O37+'BK'!O37+'BW'!O37+'CED'!O37+'HAB'!O37+'HB'!O37+'OD'!O37+'HDN'!O37+'KIN'!O37+'LE'!O37+'MER'!O37+'NDN'!O37+'SALT'!O37+'SDN'!O37+'SST'!O37+'WH'!O37+'FH'!O37+'KNL HO'!O37+'CCL HO'!O37+'YBHN HO'!O37+'YBN HO'!O37</f>
        <v/>
      </c>
      <c r="P37" s="37">
        <f>'ABA'!P37+'BK'!P37+'BW'!P37+'CED'!P37+'HAB'!P37+'HB'!P37+'OD'!P37+'HDN'!P37+'KIN'!P37+'LE'!P37+'MER'!P37+'NDN'!P37+'SALT'!P37+'SDN'!P37+'SST'!P37+'WH'!P37+'FH'!P37+'KNL HO'!P37+'CCL HO'!P37+'YBHN HO'!P37+'YBN HO'!P37</f>
        <v/>
      </c>
      <c r="Q37" s="37">
        <f>'ABA'!Q37+'BK'!Q37+'BW'!Q37+'CED'!Q37+'HAB'!Q37+'HB'!Q37+'OD'!Q37+'HDN'!Q37+'KIN'!Q37+'LE'!Q37+'MER'!Q37+'NDN'!Q37+'SALT'!Q37+'SDN'!Q37+'SST'!Q37+'WH'!Q37+'FH'!Q37+'KNL HO'!Q37+'CCL HO'!Q37+'YBHN HO'!Q37+'YBN HO'!Q37</f>
        <v/>
      </c>
      <c r="R37" s="37">
        <f>'ABA'!R37+'BK'!R37+'BW'!R37+'CED'!R37+'HAB'!R37+'HB'!R37+'OD'!R37+'HDN'!R37+'KIN'!R37+'LE'!R37+'MER'!R37+'NDN'!R37+'SALT'!R37+'SDN'!R37+'SST'!R37+'WH'!R37+'FH'!R37+'KNL HO'!R37+'CCL HO'!R37+'YBHN HO'!R37+'YBN HO'!R37</f>
        <v/>
      </c>
      <c r="S37" s="37">
        <f>'ABA'!S37+'BK'!S37+'BW'!S37+'CED'!S37+'HAB'!S37+'HB'!S37+'OD'!S37+'HDN'!S37+'KIN'!S37+'LE'!S37+'MER'!S37+'NDN'!S37+'SALT'!S37+'SDN'!S37+'SST'!S37+'WH'!S37+'FH'!S37+'KNL HO'!S37+'CCL HO'!S37+'YBHN HO'!S37+'YBN HO'!S37</f>
        <v/>
      </c>
      <c r="T37" s="37">
        <f>'ABA'!T37+'BK'!T37+'BW'!T37+'CED'!T37+'HAB'!T37+'HB'!T37+'OD'!T37+'HDN'!T37+'KIN'!T37+'LE'!T37+'MER'!T37+'NDN'!T37+'SALT'!T37+'SDN'!T37+'SST'!T37+'WH'!T37+'FH'!T37+'KNL HO'!T37+'CCL HO'!T37+'YBHN HO'!T37+'YBN HO'!T37</f>
        <v/>
      </c>
      <c r="U37" s="37">
        <f>'ABA'!U37+'BK'!U37+'BW'!U37+'CED'!U37+'HAB'!U37+'HB'!U37+'OD'!U37+'HDN'!U37+'KIN'!U37+'LE'!U37+'MER'!U37+'NDN'!U37+'SALT'!U37+'SDN'!U37+'SST'!U37+'WH'!U37+'FH'!U37+'KNL HO'!U37+'CCL HO'!U37+'YBHN HO'!U37+'YBN HO'!U37</f>
        <v/>
      </c>
      <c r="V37" s="38">
        <f>'KNL HO'!V37+'CCL GROUP P&amp;L'!V37+'YBHN GROUP P&amp;L'!V37+'YBN Group P&amp;L'!V37+'HAB'!V37+'Moe2 P&amp;L'!V37</f>
        <v/>
      </c>
      <c r="W37" s="38">
        <f>'KNL HO'!W37+'CCL GROUP P&amp;L'!W37+'YBHN GROUP P&amp;L'!W37+'YBN Group P&amp;L'!W37+'HAB'!W37+'Moe2 P&amp;L'!W37</f>
        <v/>
      </c>
      <c r="X37" s="38">
        <f>'KNL HO'!X37+'CCL GROUP P&amp;L'!X37+'YBHN GROUP P&amp;L'!X37+'YBN Group P&amp;L'!X37+'HAB'!X37+'Moe2 P&amp;L'!X37</f>
        <v/>
      </c>
      <c r="Y37" s="38">
        <f>'KNL HO'!Y37+'CCL GROUP P&amp;L'!Y37+'YBHN GROUP P&amp;L'!Y37+'YBN Group P&amp;L'!Y37+'HAB'!Y37+'Moe2 P&amp;L'!Y37</f>
        <v/>
      </c>
      <c r="Z37" s="38">
        <f>'KNL HO'!Z37+'CCL GROUP P&amp;L'!Z37+'YBHN GROUP P&amp;L'!Z37+'YBN Group P&amp;L'!Z37+'HAB'!Z37+'Moe2 P&amp;L'!Z37</f>
        <v/>
      </c>
      <c r="AA37" s="36">
        <f>SUM(O37:U37)</f>
        <v/>
      </c>
      <c r="AB37" s="36">
        <f>SUM(O37:Z37)</f>
        <v/>
      </c>
      <c r="AC37" s="38">
        <f>'KNL HO'!AC37+'CCL GROUP P&amp;L'!AC37+'YBHN GROUP P&amp;L'!AC37+'YBN Group P&amp;L'!AC37+'HAB'!AC37+'Moe2 P&amp;L'!AC37</f>
        <v/>
      </c>
      <c r="AD37" s="38">
        <f>'KNL HO'!AD37+'CCL GROUP P&amp;L'!AD37+'YBHN GROUP P&amp;L'!AD37+'YBN Group P&amp;L'!AD37+'HAB'!AD37+'Moe2 P&amp;L'!AD37</f>
        <v/>
      </c>
      <c r="AE37" s="38">
        <f>'KNL HO'!AE37+'CCL GROUP P&amp;L'!AE37+'YBHN GROUP P&amp;L'!AE37+'YBN Group P&amp;L'!AE37+'HAB'!AE37+'Moe2 P&amp;L'!AE37</f>
        <v/>
      </c>
      <c r="AF37" s="38">
        <f>'KNL HO'!AF37+'CCL GROUP P&amp;L'!AF37+'YBHN GROUP P&amp;L'!AF37+'YBN Group P&amp;L'!AF37+'HAB'!AF37+'Moe2 P&amp;L'!AF37</f>
        <v/>
      </c>
      <c r="AG37" s="38">
        <f>'KNL HO'!AG37+'CCL GROUP P&amp;L'!AG37+'YBHN GROUP P&amp;L'!AG37+'YBN Group P&amp;L'!AG37+'HAB'!AG37+'Moe2 P&amp;L'!AG37</f>
        <v/>
      </c>
      <c r="AH37" s="38">
        <f>'KNL HO'!AH37+'CCL GROUP P&amp;L'!AH37+'YBHN GROUP P&amp;L'!AH37+'YBN Group P&amp;L'!AH37+'HAB'!AH37+'Moe2 P&amp;L'!AH37</f>
        <v/>
      </c>
      <c r="AI37" s="137">
        <f>'KNL GROUP P&amp;L'!AI37+'CCL GROUP P&amp;L'!AI37+'YBHN GROUP P&amp;L'!AI37+'YBN Group P&amp;L'!AI37+'HAB P&amp;L'!AI37+'Moe2 P&amp;L'!AI37</f>
        <v/>
      </c>
      <c r="AJ37" s="138">
        <f>'KNL GROUP P&amp;L'!AJ37+'CCL GROUP P&amp;L'!AJ37+'YBHN GROUP P&amp;L'!AJ37+'YBN Group P&amp;L'!AJ37+'HAB P&amp;L'!AJ37+'Moe2 P&amp;L'!AJ37</f>
        <v/>
      </c>
      <c r="AK37" s="138">
        <f>'KNL GROUP P&amp;L'!AK37+'CCL GROUP P&amp;L'!AK37+'YBHN GROUP P&amp;L'!AK37+'YBN Group P&amp;L'!AK37+'HAB P&amp;L'!AK37+'Moe2 P&amp;L'!AK37</f>
        <v/>
      </c>
      <c r="AL37" s="138">
        <f>'KNL GROUP P&amp;L'!AL37+'CCL GROUP P&amp;L'!AL37+'YBHN GROUP P&amp;L'!AL37+'YBN Group P&amp;L'!AL37+'HAB P&amp;L'!AL37+'Moe2 P&amp;L'!AL37</f>
        <v/>
      </c>
      <c r="AM37" s="138">
        <f>'KNL GROUP P&amp;L'!AM37+'CCL GROUP P&amp;L'!AM37+'YBHN GROUP P&amp;L'!AM37+'YBN Group P&amp;L'!AM37+'HAB P&amp;L'!AM37+'Moe2 P&amp;L'!AM37</f>
        <v/>
      </c>
      <c r="AN37" s="137">
        <f>'KNL GROUP P&amp;L'!AN37+'CCL GROUP P&amp;L'!AN37+'YBHN GROUP P&amp;L'!AN37+'YBN Group P&amp;L'!AN37+'HAB P&amp;L'!AN37+'Moe2 P&amp;L'!AN37</f>
        <v/>
      </c>
      <c r="AO37" s="120">
        <f>SUM(AC37:AH37)+SUM(AI37:AN37)</f>
        <v/>
      </c>
      <c r="AP37" s="121">
        <f>IF(AB37&lt;&gt;0,(AO37-AB37)/ABS(AB37),0)</f>
        <v/>
      </c>
    </row>
    <row r="38">
      <c r="A38" s="34" t="inlineStr">
        <is>
          <t>Utilities</t>
        </is>
      </c>
      <c r="B38" s="35" t="n">
        <v>23901.58</v>
      </c>
      <c r="C38" s="35" t="n">
        <v>17614.66000000001</v>
      </c>
      <c r="D38" s="35" t="n">
        <v>28808.85</v>
      </c>
      <c r="E38" s="35" t="n">
        <v>30196.26</v>
      </c>
      <c r="F38" s="35" t="n">
        <v>23564.18</v>
      </c>
      <c r="G38" s="35" t="n">
        <v>14467.65</v>
      </c>
      <c r="H38" s="35" t="n">
        <v>10835.39</v>
      </c>
      <c r="I38" s="35" t="n">
        <v>12394.58</v>
      </c>
      <c r="J38" s="35" t="n">
        <v>6370.99</v>
      </c>
      <c r="K38" s="35" t="n">
        <v>20867.28</v>
      </c>
      <c r="L38" s="35" t="n">
        <v>18692.77</v>
      </c>
      <c r="M38" s="35" t="n">
        <v>19125.53</v>
      </c>
      <c r="N38" s="36">
        <f>SUM(B38:M38)</f>
        <v/>
      </c>
      <c r="O38" s="37">
        <f>'ABA'!O38+'BK'!O38+'BW'!O38+'CED'!O38+'HAB'!O38+'HB'!O38+'OD'!O38+'HDN'!O38+'KIN'!O38+'LE'!O38+'MER'!O38+'NDN'!O38+'SALT'!O38+'SDN'!O38+'SST'!O38+'WH'!O38+'FH'!O38+'KNL HO'!O38+'CCL HO'!O38+'YBHN HO'!O38+'YBN HO'!O38</f>
        <v/>
      </c>
      <c r="P38" s="37">
        <f>'ABA'!P38+'BK'!P38+'BW'!P38+'CED'!P38+'HAB'!P38+'HB'!P38+'OD'!P38+'HDN'!P38+'KIN'!P38+'LE'!P38+'MER'!P38+'NDN'!P38+'SALT'!P38+'SDN'!P38+'SST'!P38+'WH'!P38+'FH'!P38+'KNL HO'!P38+'CCL HO'!P38+'YBHN HO'!P38+'YBN HO'!P38</f>
        <v/>
      </c>
      <c r="Q38" s="37">
        <f>'ABA'!Q38+'BK'!Q38+'BW'!Q38+'CED'!Q38+'HAB'!Q38+'HB'!Q38+'OD'!Q38+'HDN'!Q38+'KIN'!Q38+'LE'!Q38+'MER'!Q38+'NDN'!Q38+'SALT'!Q38+'SDN'!Q38+'SST'!Q38+'WH'!Q38+'FH'!Q38+'KNL HO'!Q38+'CCL HO'!Q38+'YBHN HO'!Q38+'YBN HO'!Q38</f>
        <v/>
      </c>
      <c r="R38" s="37">
        <f>'ABA'!R38+'BK'!R38+'BW'!R38+'CED'!R38+'HAB'!R38+'HB'!R38+'OD'!R38+'HDN'!R38+'KIN'!R38+'LE'!R38+'MER'!R38+'NDN'!R38+'SALT'!R38+'SDN'!R38+'SST'!R38+'WH'!R38+'FH'!R38+'KNL HO'!R38+'CCL HO'!R38+'YBHN HO'!R38+'YBN HO'!R38</f>
        <v/>
      </c>
      <c r="S38" s="37">
        <f>'ABA'!S38+'BK'!S38+'BW'!S38+'CED'!S38+'HAB'!S38+'HB'!S38+'OD'!S38+'HDN'!S38+'KIN'!S38+'LE'!S38+'MER'!S38+'NDN'!S38+'SALT'!S38+'SDN'!S38+'SST'!S38+'WH'!S38+'FH'!S38+'KNL HO'!S38+'CCL HO'!S38+'YBHN HO'!S38+'YBN HO'!S38</f>
        <v/>
      </c>
      <c r="T38" s="37">
        <f>'ABA'!T38+'BK'!T38+'BW'!T38+'CED'!T38+'HAB'!T38+'HB'!T38+'OD'!T38+'HDN'!T38+'KIN'!T38+'LE'!T38+'MER'!T38+'NDN'!T38+'SALT'!T38+'SDN'!T38+'SST'!T38+'WH'!T38+'FH'!T38+'KNL HO'!T38+'CCL HO'!T38+'YBHN HO'!T38+'YBN HO'!T38</f>
        <v/>
      </c>
      <c r="U38" s="37">
        <f>'ABA'!U38+'BK'!U38+'BW'!U38+'CED'!U38+'HAB'!U38+'HB'!U38+'OD'!U38+'HDN'!U38+'KIN'!U38+'LE'!U38+'MER'!U38+'NDN'!U38+'SALT'!U38+'SDN'!U38+'SST'!U38+'WH'!U38+'FH'!U38+'KNL HO'!U38+'CCL HO'!U38+'YBHN HO'!U38+'YBN HO'!U38</f>
        <v/>
      </c>
      <c r="V38" s="38">
        <f>'KNL HO'!V38+'CCL GROUP P&amp;L'!V38+'YBHN GROUP P&amp;L'!V38+'YBN Group P&amp;L'!V38+'HAB'!V38+'Moe2 P&amp;L'!V38</f>
        <v/>
      </c>
      <c r="W38" s="38">
        <f>'KNL HO'!W38+'CCL GROUP P&amp;L'!W38+'YBHN GROUP P&amp;L'!W38+'YBN Group P&amp;L'!W38+'HAB'!W38+'Moe2 P&amp;L'!W38</f>
        <v/>
      </c>
      <c r="X38" s="38">
        <f>'KNL HO'!X38+'CCL GROUP P&amp;L'!X38+'YBHN GROUP P&amp;L'!X38+'YBN Group P&amp;L'!X38+'HAB'!X38+'Moe2 P&amp;L'!X38</f>
        <v/>
      </c>
      <c r="Y38" s="38">
        <f>'KNL HO'!Y38+'CCL GROUP P&amp;L'!Y38+'YBHN GROUP P&amp;L'!Y38+'YBN Group P&amp;L'!Y38+'HAB'!Y38+'Moe2 P&amp;L'!Y38</f>
        <v/>
      </c>
      <c r="Z38" s="38">
        <f>'KNL HO'!Z38+'CCL GROUP P&amp;L'!Z38+'YBHN GROUP P&amp;L'!Z38+'YBN Group P&amp;L'!Z38+'HAB'!Z38+'Moe2 P&amp;L'!Z38</f>
        <v/>
      </c>
      <c r="AA38" s="36">
        <f>SUM(O38:U38)</f>
        <v/>
      </c>
      <c r="AB38" s="36">
        <f>SUM(O38:Z38)</f>
        <v/>
      </c>
      <c r="AC38" s="38">
        <f>'KNL HO'!AC38+'CCL GROUP P&amp;L'!AC38+'YBHN GROUP P&amp;L'!AC38+'YBN Group P&amp;L'!AC38+'HAB'!AC38+'Moe2 P&amp;L'!AC38</f>
        <v/>
      </c>
      <c r="AD38" s="38">
        <f>'KNL HO'!AD38+'CCL GROUP P&amp;L'!AD38+'YBHN GROUP P&amp;L'!AD38+'YBN Group P&amp;L'!AD38+'HAB'!AD38+'Moe2 P&amp;L'!AD38</f>
        <v/>
      </c>
      <c r="AE38" s="38">
        <f>'KNL HO'!AE38+'CCL GROUP P&amp;L'!AE38+'YBHN GROUP P&amp;L'!AE38+'YBN Group P&amp;L'!AE38+'HAB'!AE38+'Moe2 P&amp;L'!AE38</f>
        <v/>
      </c>
      <c r="AF38" s="38">
        <f>'KNL HO'!AF38+'CCL GROUP P&amp;L'!AF38+'YBHN GROUP P&amp;L'!AF38+'YBN Group P&amp;L'!AF38+'HAB'!AF38+'Moe2 P&amp;L'!AF38</f>
        <v/>
      </c>
      <c r="AG38" s="38">
        <f>'KNL HO'!AG38+'CCL GROUP P&amp;L'!AG38+'YBHN GROUP P&amp;L'!AG38+'YBN Group P&amp;L'!AG38+'HAB'!AG38+'Moe2 P&amp;L'!AG38</f>
        <v/>
      </c>
      <c r="AH38" s="38">
        <f>'KNL HO'!AH38+'CCL GROUP P&amp;L'!AH38+'YBHN GROUP P&amp;L'!AH38+'YBN Group P&amp;L'!AH38+'HAB'!AH38+'Moe2 P&amp;L'!AH38</f>
        <v/>
      </c>
      <c r="AI38" s="137">
        <f>'KNL GROUP P&amp;L'!AI38+'CCL GROUP P&amp;L'!AI38+'YBHN GROUP P&amp;L'!AI38+'YBN Group P&amp;L'!AI38+'HAB P&amp;L'!AI38+'Moe2 P&amp;L'!AI38</f>
        <v/>
      </c>
      <c r="AJ38" s="138">
        <f>'KNL GROUP P&amp;L'!AJ38+'CCL GROUP P&amp;L'!AJ38+'YBHN GROUP P&amp;L'!AJ38+'YBN Group P&amp;L'!AJ38+'HAB P&amp;L'!AJ38+'Moe2 P&amp;L'!AJ38</f>
        <v/>
      </c>
      <c r="AK38" s="138">
        <f>'KNL GROUP P&amp;L'!AK38+'CCL GROUP P&amp;L'!AK38+'YBHN GROUP P&amp;L'!AK38+'YBN Group P&amp;L'!AK38+'HAB P&amp;L'!AK38+'Moe2 P&amp;L'!AK38</f>
        <v/>
      </c>
      <c r="AL38" s="138">
        <f>'KNL GROUP P&amp;L'!AL38+'CCL GROUP P&amp;L'!AL38+'YBHN GROUP P&amp;L'!AL38+'YBN Group P&amp;L'!AL38+'HAB P&amp;L'!AL38+'Moe2 P&amp;L'!AL38</f>
        <v/>
      </c>
      <c r="AM38" s="138">
        <f>'KNL GROUP P&amp;L'!AM38+'CCL GROUP P&amp;L'!AM38+'YBHN GROUP P&amp;L'!AM38+'YBN Group P&amp;L'!AM38+'HAB P&amp;L'!AM38+'Moe2 P&amp;L'!AM38</f>
        <v/>
      </c>
      <c r="AN38" s="137">
        <f>'KNL GROUP P&amp;L'!AN38+'CCL GROUP P&amp;L'!AN38+'YBHN GROUP P&amp;L'!AN38+'YBN Group P&amp;L'!AN38+'HAB P&amp;L'!AN38+'Moe2 P&amp;L'!AN38</f>
        <v/>
      </c>
      <c r="AO38" s="120">
        <f>SUM(AC38:AH38)+SUM(AI38:AN38)</f>
        <v/>
      </c>
      <c r="AP38" s="121">
        <f>IF(AB38&lt;&gt;0,(AO38-AB38)/ABS(AB38),0)</f>
        <v/>
      </c>
    </row>
    <row r="39">
      <c r="A39" s="34" t="inlineStr">
        <is>
          <t>Repairs &amp; Maintenance</t>
        </is>
      </c>
      <c r="B39" s="35" t="n">
        <v>11114.23</v>
      </c>
      <c r="C39" s="35" t="n">
        <v>18471.26000000001</v>
      </c>
      <c r="D39" s="35" t="n">
        <v>14037.75</v>
      </c>
      <c r="E39" s="35" t="n">
        <v>8588.49</v>
      </c>
      <c r="F39" s="35" t="n">
        <v>7696.630000000002</v>
      </c>
      <c r="G39" s="35" t="n">
        <v>13958.22999999999</v>
      </c>
      <c r="H39" s="35" t="n">
        <v>9486.02</v>
      </c>
      <c r="I39" s="35" t="n">
        <v>6643.38</v>
      </c>
      <c r="J39" s="35" t="n">
        <v>5464.089999999999</v>
      </c>
      <c r="K39" s="35" t="n">
        <v>6059.099999999999</v>
      </c>
      <c r="L39" s="35" t="n">
        <v>2967.100000000001</v>
      </c>
      <c r="M39" s="35" t="n">
        <v>4343.8</v>
      </c>
      <c r="N39" s="36">
        <f>SUM(B39:M39)</f>
        <v/>
      </c>
      <c r="O39" s="37">
        <f>'ABA'!O39+'BK'!O39+'BW'!O39+'CED'!O39+'HAB'!O39+'HB'!O39+'OD'!O39+'HDN'!O39+'KIN'!O39+'LE'!O39+'MER'!O39+'NDN'!O39+'SALT'!O39+'SDN'!O39+'SST'!O39+'WH'!O39+'FH'!O39+'KNL HO'!O39+'CCL HO'!O39+'YBHN HO'!O39+'YBN HO'!O39</f>
        <v/>
      </c>
      <c r="P39" s="37">
        <f>'ABA'!P39+'BK'!P39+'BW'!P39+'CED'!P39+'HAB'!P39+'HB'!P39+'OD'!P39+'HDN'!P39+'KIN'!P39+'LE'!P39+'MER'!P39+'NDN'!P39+'SALT'!P39+'SDN'!P39+'SST'!P39+'WH'!P39+'FH'!P39+'KNL HO'!P39+'CCL HO'!P39+'YBHN HO'!P39+'YBN HO'!P39</f>
        <v/>
      </c>
      <c r="Q39" s="37">
        <f>'ABA'!Q39+'BK'!Q39+'BW'!Q39+'CED'!Q39+'HAB'!Q39+'HB'!Q39+'OD'!Q39+'HDN'!Q39+'KIN'!Q39+'LE'!Q39+'MER'!Q39+'NDN'!Q39+'SALT'!Q39+'SDN'!Q39+'SST'!Q39+'WH'!Q39+'FH'!Q39+'KNL HO'!Q39+'CCL HO'!Q39+'YBHN HO'!Q39+'YBN HO'!Q39</f>
        <v/>
      </c>
      <c r="R39" s="37">
        <f>'ABA'!R39+'BK'!R39+'BW'!R39+'CED'!R39+'HAB'!R39+'HB'!R39+'OD'!R39+'HDN'!R39+'KIN'!R39+'LE'!R39+'MER'!R39+'NDN'!R39+'SALT'!R39+'SDN'!R39+'SST'!R39+'WH'!R39+'FH'!R39+'KNL HO'!R39+'CCL HO'!R39+'YBHN HO'!R39+'YBN HO'!R39</f>
        <v/>
      </c>
      <c r="S39" s="37">
        <f>'ABA'!S39+'BK'!S39+'BW'!S39+'CED'!S39+'HAB'!S39+'HB'!S39+'OD'!S39+'HDN'!S39+'KIN'!S39+'LE'!S39+'MER'!S39+'NDN'!S39+'SALT'!S39+'SDN'!S39+'SST'!S39+'WH'!S39+'FH'!S39+'KNL HO'!S39+'CCL HO'!S39+'YBHN HO'!S39+'YBN HO'!S39</f>
        <v/>
      </c>
      <c r="T39" s="37">
        <f>'ABA'!T39+'BK'!T39+'BW'!T39+'CED'!T39+'HAB'!T39+'HB'!T39+'OD'!T39+'HDN'!T39+'KIN'!T39+'LE'!T39+'MER'!T39+'NDN'!T39+'SALT'!T39+'SDN'!T39+'SST'!T39+'WH'!T39+'FH'!T39+'KNL HO'!T39+'CCL HO'!T39+'YBHN HO'!T39+'YBN HO'!T39</f>
        <v/>
      </c>
      <c r="U39" s="37">
        <f>'ABA'!U39+'BK'!U39+'BW'!U39+'CED'!U39+'HAB'!U39+'HB'!U39+'OD'!U39+'HDN'!U39+'KIN'!U39+'LE'!U39+'MER'!U39+'NDN'!U39+'SALT'!U39+'SDN'!U39+'SST'!U39+'WH'!U39+'FH'!U39+'KNL HO'!U39+'CCL HO'!U39+'YBHN HO'!U39+'YBN HO'!U39</f>
        <v/>
      </c>
      <c r="V39" s="38">
        <f>'KNL HO'!V39+'CCL GROUP P&amp;L'!V39+'YBHN GROUP P&amp;L'!V39+'YBN Group P&amp;L'!V39+'HAB'!V39+'Moe2 P&amp;L'!V39</f>
        <v/>
      </c>
      <c r="W39" s="38">
        <f>'KNL HO'!W39+'CCL GROUP P&amp;L'!W39+'YBHN GROUP P&amp;L'!W39+'YBN Group P&amp;L'!W39+'HAB'!W39+'Moe2 P&amp;L'!W39</f>
        <v/>
      </c>
      <c r="X39" s="38">
        <f>'KNL HO'!X39+'CCL GROUP P&amp;L'!X39+'YBHN GROUP P&amp;L'!X39+'YBN Group P&amp;L'!X39+'HAB'!X39+'Moe2 P&amp;L'!X39</f>
        <v/>
      </c>
      <c r="Y39" s="38">
        <f>'KNL HO'!Y39+'CCL GROUP P&amp;L'!Y39+'YBHN GROUP P&amp;L'!Y39+'YBN Group P&amp;L'!Y39+'HAB'!Y39+'Moe2 P&amp;L'!Y39</f>
        <v/>
      </c>
      <c r="Z39" s="38">
        <f>'KNL HO'!Z39+'CCL GROUP P&amp;L'!Z39+'YBHN GROUP P&amp;L'!Z39+'YBN Group P&amp;L'!Z39+'HAB'!Z39+'Moe2 P&amp;L'!Z39</f>
        <v/>
      </c>
      <c r="AA39" s="36">
        <f>SUM(O39:U39)</f>
        <v/>
      </c>
      <c r="AB39" s="36">
        <f>SUM(O39:Z39)</f>
        <v/>
      </c>
      <c r="AC39" s="38">
        <f>'KNL HO'!AC39+'CCL GROUP P&amp;L'!AC39+'YBHN GROUP P&amp;L'!AC39+'YBN Group P&amp;L'!AC39+'HAB'!AC39+'Moe2 P&amp;L'!AC39</f>
        <v/>
      </c>
      <c r="AD39" s="38">
        <f>'KNL HO'!AD39+'CCL GROUP P&amp;L'!AD39+'YBHN GROUP P&amp;L'!AD39+'YBN Group P&amp;L'!AD39+'HAB'!AD39+'Moe2 P&amp;L'!AD39</f>
        <v/>
      </c>
      <c r="AE39" s="38">
        <f>'KNL HO'!AE39+'CCL GROUP P&amp;L'!AE39+'YBHN GROUP P&amp;L'!AE39+'YBN Group P&amp;L'!AE39+'HAB'!AE39+'Moe2 P&amp;L'!AE39</f>
        <v/>
      </c>
      <c r="AF39" s="38">
        <f>'KNL HO'!AF39+'CCL GROUP P&amp;L'!AF39+'YBHN GROUP P&amp;L'!AF39+'YBN Group P&amp;L'!AF39+'HAB'!AF39+'Moe2 P&amp;L'!AF39</f>
        <v/>
      </c>
      <c r="AG39" s="38">
        <f>'KNL HO'!AG39+'CCL GROUP P&amp;L'!AG39+'YBHN GROUP P&amp;L'!AG39+'YBN Group P&amp;L'!AG39+'HAB'!AG39+'Moe2 P&amp;L'!AG39</f>
        <v/>
      </c>
      <c r="AH39" s="38">
        <f>'KNL HO'!AH39+'CCL GROUP P&amp;L'!AH39+'YBHN GROUP P&amp;L'!AH39+'YBN Group P&amp;L'!AH39+'HAB'!AH39+'Moe2 P&amp;L'!AH39</f>
        <v/>
      </c>
      <c r="AI39" s="137">
        <f>'KNL GROUP P&amp;L'!AI39+'CCL GROUP P&amp;L'!AI39+'YBHN GROUP P&amp;L'!AI39+'YBN Group P&amp;L'!AI39+'HAB P&amp;L'!AI39+'Moe2 P&amp;L'!AI39</f>
        <v/>
      </c>
      <c r="AJ39" s="138">
        <f>'KNL GROUP P&amp;L'!AJ39+'CCL GROUP P&amp;L'!AJ39+'YBHN GROUP P&amp;L'!AJ39+'YBN Group P&amp;L'!AJ39+'HAB P&amp;L'!AJ39+'Moe2 P&amp;L'!AJ39</f>
        <v/>
      </c>
      <c r="AK39" s="138">
        <f>'KNL GROUP P&amp;L'!AK39+'CCL GROUP P&amp;L'!AK39+'YBHN GROUP P&amp;L'!AK39+'YBN Group P&amp;L'!AK39+'HAB P&amp;L'!AK39+'Moe2 P&amp;L'!AK39</f>
        <v/>
      </c>
      <c r="AL39" s="138">
        <f>'KNL GROUP P&amp;L'!AL39+'CCL GROUP P&amp;L'!AL39+'YBHN GROUP P&amp;L'!AL39+'YBN Group P&amp;L'!AL39+'HAB P&amp;L'!AL39+'Moe2 P&amp;L'!AL39</f>
        <v/>
      </c>
      <c r="AM39" s="138">
        <f>'KNL GROUP P&amp;L'!AM39+'CCL GROUP P&amp;L'!AM39+'YBHN GROUP P&amp;L'!AM39+'YBN Group P&amp;L'!AM39+'HAB P&amp;L'!AM39+'Moe2 P&amp;L'!AM39</f>
        <v/>
      </c>
      <c r="AN39" s="137">
        <f>'KNL GROUP P&amp;L'!AN39+'CCL GROUP P&amp;L'!AN39+'YBHN GROUP P&amp;L'!AN39+'YBN Group P&amp;L'!AN39+'HAB P&amp;L'!AN39+'Moe2 P&amp;L'!AN39</f>
        <v/>
      </c>
      <c r="AO39" s="120">
        <f>SUM(AC39:AH39)+SUM(AI39:AN39)</f>
        <v/>
      </c>
      <c r="AP39" s="121">
        <f>IF(AB39&lt;&gt;0,(AO39-AB39)/ABS(AB39),0)</f>
        <v/>
      </c>
    </row>
    <row r="40">
      <c r="A40" s="34" t="inlineStr">
        <is>
          <t>Cleaning</t>
        </is>
      </c>
      <c r="B40" s="35" t="n">
        <v>11641.05</v>
      </c>
      <c r="C40" s="35" t="n">
        <v>9634.059999999999</v>
      </c>
      <c r="D40" s="35" t="n">
        <v>11426.53</v>
      </c>
      <c r="E40" s="35" t="n">
        <v>12071.57</v>
      </c>
      <c r="F40" s="35" t="n">
        <v>11361.53</v>
      </c>
      <c r="G40" s="35" t="n">
        <v>11411.72</v>
      </c>
      <c r="H40" s="35" t="n">
        <v>12333.27</v>
      </c>
      <c r="I40" s="35" t="n">
        <v>14180.48</v>
      </c>
      <c r="J40" s="35" t="n">
        <v>12105.65</v>
      </c>
      <c r="K40" s="35" t="n">
        <v>8093.239999999999</v>
      </c>
      <c r="L40" s="35" t="n">
        <v>9954.890000000001</v>
      </c>
      <c r="M40" s="35" t="n">
        <v>9045.290000000001</v>
      </c>
      <c r="N40" s="36">
        <f>SUM(B40:M40)</f>
        <v/>
      </c>
      <c r="O40" s="37">
        <f>'ABA'!O40+'BK'!O40+'BW'!O40+'CED'!O40+'HAB'!O40+'HB'!O40+'OD'!O40+'HDN'!O40+'KIN'!O40+'LE'!O40+'MER'!O40+'NDN'!O40+'SALT'!O40+'SDN'!O40+'SST'!O40+'WH'!O40+'FH'!O40+'KNL HO'!O40+'CCL HO'!O40+'YBHN HO'!O40+'YBN HO'!O40</f>
        <v/>
      </c>
      <c r="P40" s="37">
        <f>'ABA'!P40+'BK'!P40+'BW'!P40+'CED'!P40+'HAB'!P40+'HB'!P40+'OD'!P40+'HDN'!P40+'KIN'!P40+'LE'!P40+'MER'!P40+'NDN'!P40+'SALT'!P40+'SDN'!P40+'SST'!P40+'WH'!P40+'FH'!P40+'KNL HO'!P40+'CCL HO'!P40+'YBHN HO'!P40+'YBN HO'!P40</f>
        <v/>
      </c>
      <c r="Q40" s="37">
        <f>'ABA'!Q40+'BK'!Q40+'BW'!Q40+'CED'!Q40+'HAB'!Q40+'HB'!Q40+'OD'!Q40+'HDN'!Q40+'KIN'!Q40+'LE'!Q40+'MER'!Q40+'NDN'!Q40+'SALT'!Q40+'SDN'!Q40+'SST'!Q40+'WH'!Q40+'FH'!Q40+'KNL HO'!Q40+'CCL HO'!Q40+'YBHN HO'!Q40+'YBN HO'!Q40</f>
        <v/>
      </c>
      <c r="R40" s="37">
        <f>'ABA'!R40+'BK'!R40+'BW'!R40+'CED'!R40+'HAB'!R40+'HB'!R40+'OD'!R40+'HDN'!R40+'KIN'!R40+'LE'!R40+'MER'!R40+'NDN'!R40+'SALT'!R40+'SDN'!R40+'SST'!R40+'WH'!R40+'FH'!R40+'KNL HO'!R40+'CCL HO'!R40+'YBHN HO'!R40+'YBN HO'!R40</f>
        <v/>
      </c>
      <c r="S40" s="37">
        <f>'ABA'!S40+'BK'!S40+'BW'!S40+'CED'!S40+'HAB'!S40+'HB'!S40+'OD'!S40+'HDN'!S40+'KIN'!S40+'LE'!S40+'MER'!S40+'NDN'!S40+'SALT'!S40+'SDN'!S40+'SST'!S40+'WH'!S40+'FH'!S40+'KNL HO'!S40+'CCL HO'!S40+'YBHN HO'!S40+'YBN HO'!S40</f>
        <v/>
      </c>
      <c r="T40" s="37">
        <f>'ABA'!T40+'BK'!T40+'BW'!T40+'CED'!T40+'HAB'!T40+'HB'!T40+'OD'!T40+'HDN'!T40+'KIN'!T40+'LE'!T40+'MER'!T40+'NDN'!T40+'SALT'!T40+'SDN'!T40+'SST'!T40+'WH'!T40+'FH'!T40+'KNL HO'!T40+'CCL HO'!T40+'YBHN HO'!T40+'YBN HO'!T40</f>
        <v/>
      </c>
      <c r="U40" s="37">
        <f>'ABA'!U40+'BK'!U40+'BW'!U40+'CED'!U40+'HAB'!U40+'HB'!U40+'OD'!U40+'HDN'!U40+'KIN'!U40+'LE'!U40+'MER'!U40+'NDN'!U40+'SALT'!U40+'SDN'!U40+'SST'!U40+'WH'!U40+'FH'!U40+'KNL HO'!U40+'CCL HO'!U40+'YBHN HO'!U40+'YBN HO'!U40</f>
        <v/>
      </c>
      <c r="V40" s="38">
        <f>'KNL HO'!V40+'CCL GROUP P&amp;L'!V40+'YBHN GROUP P&amp;L'!V40+'YBN Group P&amp;L'!V40+'HAB'!V40+'Moe2 P&amp;L'!V40</f>
        <v/>
      </c>
      <c r="W40" s="38">
        <f>'KNL HO'!W40+'CCL GROUP P&amp;L'!W40+'YBHN GROUP P&amp;L'!W40+'YBN Group P&amp;L'!W40+'HAB'!W40+'Moe2 P&amp;L'!W40</f>
        <v/>
      </c>
      <c r="X40" s="38">
        <f>'KNL HO'!X40+'CCL GROUP P&amp;L'!X40+'YBHN GROUP P&amp;L'!X40+'YBN Group P&amp;L'!X40+'HAB'!X40+'Moe2 P&amp;L'!X40</f>
        <v/>
      </c>
      <c r="Y40" s="38">
        <f>'KNL HO'!Y40+'CCL GROUP P&amp;L'!Y40+'YBHN GROUP P&amp;L'!Y40+'YBN Group P&amp;L'!Y40+'HAB'!Y40+'Moe2 P&amp;L'!Y40</f>
        <v/>
      </c>
      <c r="Z40" s="38">
        <f>'KNL HO'!Z40+'CCL GROUP P&amp;L'!Z40+'YBHN GROUP P&amp;L'!Z40+'YBN Group P&amp;L'!Z40+'HAB'!Z40+'Moe2 P&amp;L'!Z40</f>
        <v/>
      </c>
      <c r="AA40" s="36">
        <f>SUM(O40:U40)</f>
        <v/>
      </c>
      <c r="AB40" s="36">
        <f>SUM(O40:Z40)</f>
        <v/>
      </c>
      <c r="AC40" s="38">
        <f>'KNL HO'!AC40+'CCL GROUP P&amp;L'!AC40+'YBHN GROUP P&amp;L'!AC40+'YBN Group P&amp;L'!AC40+'HAB'!AC40+'Moe2 P&amp;L'!AC40</f>
        <v/>
      </c>
      <c r="AD40" s="38">
        <f>'KNL HO'!AD40+'CCL GROUP P&amp;L'!AD40+'YBHN GROUP P&amp;L'!AD40+'YBN Group P&amp;L'!AD40+'HAB'!AD40+'Moe2 P&amp;L'!AD40</f>
        <v/>
      </c>
      <c r="AE40" s="38">
        <f>'KNL HO'!AE40+'CCL GROUP P&amp;L'!AE40+'YBHN GROUP P&amp;L'!AE40+'YBN Group P&amp;L'!AE40+'HAB'!AE40+'Moe2 P&amp;L'!AE40</f>
        <v/>
      </c>
      <c r="AF40" s="38">
        <f>'KNL HO'!AF40+'CCL GROUP P&amp;L'!AF40+'YBHN GROUP P&amp;L'!AF40+'YBN Group P&amp;L'!AF40+'HAB'!AF40+'Moe2 P&amp;L'!AF40</f>
        <v/>
      </c>
      <c r="AG40" s="38">
        <f>'KNL HO'!AG40+'CCL GROUP P&amp;L'!AG40+'YBHN GROUP P&amp;L'!AG40+'YBN Group P&amp;L'!AG40+'HAB'!AG40+'Moe2 P&amp;L'!AG40</f>
        <v/>
      </c>
      <c r="AH40" s="38">
        <f>'KNL HO'!AH40+'CCL GROUP P&amp;L'!AH40+'YBHN GROUP P&amp;L'!AH40+'YBN Group P&amp;L'!AH40+'HAB'!AH40+'Moe2 P&amp;L'!AH40</f>
        <v/>
      </c>
      <c r="AI40" s="137">
        <f>'KNL GROUP P&amp;L'!AI40+'CCL GROUP P&amp;L'!AI40+'YBHN GROUP P&amp;L'!AI40+'YBN Group P&amp;L'!AI40+'HAB P&amp;L'!AI40+'Moe2 P&amp;L'!AI40</f>
        <v/>
      </c>
      <c r="AJ40" s="138">
        <f>'KNL GROUP P&amp;L'!AJ40+'CCL GROUP P&amp;L'!AJ40+'YBHN GROUP P&amp;L'!AJ40+'YBN Group P&amp;L'!AJ40+'HAB P&amp;L'!AJ40+'Moe2 P&amp;L'!AJ40</f>
        <v/>
      </c>
      <c r="AK40" s="138">
        <f>'KNL GROUP P&amp;L'!AK40+'CCL GROUP P&amp;L'!AK40+'YBHN GROUP P&amp;L'!AK40+'YBN Group P&amp;L'!AK40+'HAB P&amp;L'!AK40+'Moe2 P&amp;L'!AK40</f>
        <v/>
      </c>
      <c r="AL40" s="138">
        <f>'KNL GROUP P&amp;L'!AL40+'CCL GROUP P&amp;L'!AL40+'YBHN GROUP P&amp;L'!AL40+'YBN Group P&amp;L'!AL40+'HAB P&amp;L'!AL40+'Moe2 P&amp;L'!AL40</f>
        <v/>
      </c>
      <c r="AM40" s="138">
        <f>'KNL GROUP P&amp;L'!AM40+'CCL GROUP P&amp;L'!AM40+'YBHN GROUP P&amp;L'!AM40+'YBN Group P&amp;L'!AM40+'HAB P&amp;L'!AM40+'Moe2 P&amp;L'!AM40</f>
        <v/>
      </c>
      <c r="AN40" s="137">
        <f>'KNL GROUP P&amp;L'!AN40+'CCL GROUP P&amp;L'!AN40+'YBHN GROUP P&amp;L'!AN40+'YBN Group P&amp;L'!AN40+'HAB P&amp;L'!AN40+'Moe2 P&amp;L'!AN40</f>
        <v/>
      </c>
      <c r="AO40" s="120">
        <f>SUM(AC40:AH40)+SUM(AI40:AN40)</f>
        <v/>
      </c>
      <c r="AP40" s="121">
        <f>IF(AB40&lt;&gt;0,(AO40-AB40)/ABS(AB40),0)</f>
        <v/>
      </c>
    </row>
    <row r="41">
      <c r="A41" s="34" t="inlineStr">
        <is>
          <t>Waste Disposal</t>
        </is>
      </c>
      <c r="B41" s="35" t="n">
        <v>5544.93</v>
      </c>
      <c r="C41" s="35" t="n">
        <v>7251.28</v>
      </c>
      <c r="D41" s="35" t="n">
        <v>7231.240000000001</v>
      </c>
      <c r="E41" s="35" t="n">
        <v>5993.5</v>
      </c>
      <c r="F41" s="35" t="n">
        <v>6657.23</v>
      </c>
      <c r="G41" s="35" t="n">
        <v>6820.349999999999</v>
      </c>
      <c r="H41" s="35" t="n">
        <v>6262.35</v>
      </c>
      <c r="I41" s="35" t="n">
        <v>6673.51</v>
      </c>
      <c r="J41" s="35" t="n">
        <v>9575.159999999998</v>
      </c>
      <c r="K41" s="35" t="n">
        <v>6475.05</v>
      </c>
      <c r="L41" s="35" t="n">
        <v>6558.4</v>
      </c>
      <c r="M41" s="35" t="n">
        <v>7620.139999999999</v>
      </c>
      <c r="N41" s="36">
        <f>SUM(B41:M41)</f>
        <v/>
      </c>
      <c r="O41" s="37">
        <f>'ABA'!O41+'BK'!O41+'BW'!O41+'CED'!O41+'HAB'!O41+'HB'!O41+'OD'!O41+'HDN'!O41+'KIN'!O41+'LE'!O41+'MER'!O41+'NDN'!O41+'SALT'!O41+'SDN'!O41+'SST'!O41+'WH'!O41+'FH'!O41+'KNL HO'!O41+'CCL HO'!O41+'YBHN HO'!O41+'YBN HO'!O41</f>
        <v/>
      </c>
      <c r="P41" s="37">
        <f>'ABA'!P41+'BK'!P41+'BW'!P41+'CED'!P41+'HAB'!P41+'HB'!P41+'OD'!P41+'HDN'!P41+'KIN'!P41+'LE'!P41+'MER'!P41+'NDN'!P41+'SALT'!P41+'SDN'!P41+'SST'!P41+'WH'!P41+'FH'!P41+'KNL HO'!P41+'CCL HO'!P41+'YBHN HO'!P41+'YBN HO'!P41</f>
        <v/>
      </c>
      <c r="Q41" s="37">
        <f>'ABA'!Q41+'BK'!Q41+'BW'!Q41+'CED'!Q41+'HAB'!Q41+'HB'!Q41+'OD'!Q41+'HDN'!Q41+'KIN'!Q41+'LE'!Q41+'MER'!Q41+'NDN'!Q41+'SALT'!Q41+'SDN'!Q41+'SST'!Q41+'WH'!Q41+'FH'!Q41+'KNL HO'!Q41+'CCL HO'!Q41+'YBHN HO'!Q41+'YBN HO'!Q41</f>
        <v/>
      </c>
      <c r="R41" s="37">
        <f>'ABA'!R41+'BK'!R41+'BW'!R41+'CED'!R41+'HAB'!R41+'HB'!R41+'OD'!R41+'HDN'!R41+'KIN'!R41+'LE'!R41+'MER'!R41+'NDN'!R41+'SALT'!R41+'SDN'!R41+'SST'!R41+'WH'!R41+'FH'!R41+'KNL HO'!R41+'CCL HO'!R41+'YBHN HO'!R41+'YBN HO'!R41</f>
        <v/>
      </c>
      <c r="S41" s="37">
        <f>'ABA'!S41+'BK'!S41+'BW'!S41+'CED'!S41+'HAB'!S41+'HB'!S41+'OD'!S41+'HDN'!S41+'KIN'!S41+'LE'!S41+'MER'!S41+'NDN'!S41+'SALT'!S41+'SDN'!S41+'SST'!S41+'WH'!S41+'FH'!S41+'KNL HO'!S41+'CCL HO'!S41+'YBHN HO'!S41+'YBN HO'!S41</f>
        <v/>
      </c>
      <c r="T41" s="37">
        <f>'ABA'!T41+'BK'!T41+'BW'!T41+'CED'!T41+'HAB'!T41+'HB'!T41+'OD'!T41+'HDN'!T41+'KIN'!T41+'LE'!T41+'MER'!T41+'NDN'!T41+'SALT'!T41+'SDN'!T41+'SST'!T41+'WH'!T41+'FH'!T41+'KNL HO'!T41+'CCL HO'!T41+'YBHN HO'!T41+'YBN HO'!T41</f>
        <v/>
      </c>
      <c r="U41" s="37">
        <f>'ABA'!U41+'BK'!U41+'BW'!U41+'CED'!U41+'HAB'!U41+'HB'!U41+'OD'!U41+'HDN'!U41+'KIN'!U41+'LE'!U41+'MER'!U41+'NDN'!U41+'SALT'!U41+'SDN'!U41+'SST'!U41+'WH'!U41+'FH'!U41+'KNL HO'!U41+'CCL HO'!U41+'YBHN HO'!U41+'YBN HO'!U41</f>
        <v/>
      </c>
      <c r="V41" s="38">
        <f>'KNL HO'!V41+'CCL GROUP P&amp;L'!V41+'YBHN GROUP P&amp;L'!V41+'YBN Group P&amp;L'!V41+'HAB'!V41+'Moe2 P&amp;L'!V41</f>
        <v/>
      </c>
      <c r="W41" s="38">
        <f>'KNL HO'!W41+'CCL GROUP P&amp;L'!W41+'YBHN GROUP P&amp;L'!W41+'YBN Group P&amp;L'!W41+'HAB'!W41+'Moe2 P&amp;L'!W41</f>
        <v/>
      </c>
      <c r="X41" s="38">
        <f>'KNL HO'!X41+'CCL GROUP P&amp;L'!X41+'YBHN GROUP P&amp;L'!X41+'YBN Group P&amp;L'!X41+'HAB'!X41+'Moe2 P&amp;L'!X41</f>
        <v/>
      </c>
      <c r="Y41" s="38">
        <f>'KNL HO'!Y41+'CCL GROUP P&amp;L'!Y41+'YBHN GROUP P&amp;L'!Y41+'YBN Group P&amp;L'!Y41+'HAB'!Y41+'Moe2 P&amp;L'!Y41</f>
        <v/>
      </c>
      <c r="Z41" s="38">
        <f>'KNL HO'!Z41+'CCL GROUP P&amp;L'!Z41+'YBHN GROUP P&amp;L'!Z41+'YBN Group P&amp;L'!Z41+'HAB'!Z41+'Moe2 P&amp;L'!Z41</f>
        <v/>
      </c>
      <c r="AA41" s="36">
        <f>SUM(O41:U41)</f>
        <v/>
      </c>
      <c r="AB41" s="36">
        <f>SUM(O41:Z41)</f>
        <v/>
      </c>
      <c r="AC41" s="38">
        <f>'KNL HO'!AC41+'CCL GROUP P&amp;L'!AC41+'YBHN GROUP P&amp;L'!AC41+'YBN Group P&amp;L'!AC41+'HAB'!AC41+'Moe2 P&amp;L'!AC41</f>
        <v/>
      </c>
      <c r="AD41" s="38">
        <f>'KNL HO'!AD41+'CCL GROUP P&amp;L'!AD41+'YBHN GROUP P&amp;L'!AD41+'YBN Group P&amp;L'!AD41+'HAB'!AD41+'Moe2 P&amp;L'!AD41</f>
        <v/>
      </c>
      <c r="AE41" s="38">
        <f>'KNL HO'!AE41+'CCL GROUP P&amp;L'!AE41+'YBHN GROUP P&amp;L'!AE41+'YBN Group P&amp;L'!AE41+'HAB'!AE41+'Moe2 P&amp;L'!AE41</f>
        <v/>
      </c>
      <c r="AF41" s="38">
        <f>'KNL HO'!AF41+'CCL GROUP P&amp;L'!AF41+'YBHN GROUP P&amp;L'!AF41+'YBN Group P&amp;L'!AF41+'HAB'!AF41+'Moe2 P&amp;L'!AF41</f>
        <v/>
      </c>
      <c r="AG41" s="38">
        <f>'KNL HO'!AG41+'CCL GROUP P&amp;L'!AG41+'YBHN GROUP P&amp;L'!AG41+'YBN Group P&amp;L'!AG41+'HAB'!AG41+'Moe2 P&amp;L'!AG41</f>
        <v/>
      </c>
      <c r="AH41" s="38">
        <f>'KNL HO'!AH41+'CCL GROUP P&amp;L'!AH41+'YBHN GROUP P&amp;L'!AH41+'YBN Group P&amp;L'!AH41+'HAB'!AH41+'Moe2 P&amp;L'!AH41</f>
        <v/>
      </c>
      <c r="AI41" s="137">
        <f>'KNL GROUP P&amp;L'!AI41+'CCL GROUP P&amp;L'!AI41+'YBHN GROUP P&amp;L'!AI41+'YBN Group P&amp;L'!AI41+'HAB P&amp;L'!AI41+'Moe2 P&amp;L'!AI41</f>
        <v/>
      </c>
      <c r="AJ41" s="138">
        <f>'KNL GROUP P&amp;L'!AJ41+'CCL GROUP P&amp;L'!AJ41+'YBHN GROUP P&amp;L'!AJ41+'YBN Group P&amp;L'!AJ41+'HAB P&amp;L'!AJ41+'Moe2 P&amp;L'!AJ41</f>
        <v/>
      </c>
      <c r="AK41" s="138">
        <f>'KNL GROUP P&amp;L'!AK41+'CCL GROUP P&amp;L'!AK41+'YBHN GROUP P&amp;L'!AK41+'YBN Group P&amp;L'!AK41+'HAB P&amp;L'!AK41+'Moe2 P&amp;L'!AK41</f>
        <v/>
      </c>
      <c r="AL41" s="138">
        <f>'KNL GROUP P&amp;L'!AL41+'CCL GROUP P&amp;L'!AL41+'YBHN GROUP P&amp;L'!AL41+'YBN Group P&amp;L'!AL41+'HAB P&amp;L'!AL41+'Moe2 P&amp;L'!AL41</f>
        <v/>
      </c>
      <c r="AM41" s="138">
        <f>'KNL GROUP P&amp;L'!AM41+'CCL GROUP P&amp;L'!AM41+'YBHN GROUP P&amp;L'!AM41+'YBN Group P&amp;L'!AM41+'HAB P&amp;L'!AM41+'Moe2 P&amp;L'!AM41</f>
        <v/>
      </c>
      <c r="AN41" s="137">
        <f>'KNL GROUP P&amp;L'!AN41+'CCL GROUP P&amp;L'!AN41+'YBHN GROUP P&amp;L'!AN41+'YBN Group P&amp;L'!AN41+'HAB P&amp;L'!AN41+'Moe2 P&amp;L'!AN41</f>
        <v/>
      </c>
      <c r="AO41" s="120">
        <f>SUM(AC41:AH41)+SUM(AI41:AN41)</f>
        <v/>
      </c>
      <c r="AP41" s="121">
        <f>IF(AB41&lt;&gt;0,(AO41-AB41)/ABS(AB41),0)</f>
        <v/>
      </c>
    </row>
    <row r="42">
      <c r="A42" s="34" t="inlineStr">
        <is>
          <t>Postage/Printing/Stationery</t>
        </is>
      </c>
      <c r="B42" s="35" t="n">
        <v>3404.34</v>
      </c>
      <c r="C42" s="35" t="n">
        <v>2584.690000000001</v>
      </c>
      <c r="D42" s="35" t="n">
        <v>1579.46</v>
      </c>
      <c r="E42" s="35" t="n">
        <v>1477.69</v>
      </c>
      <c r="F42" s="35" t="n">
        <v>2310.15</v>
      </c>
      <c r="G42" s="35" t="n">
        <v>1508.1</v>
      </c>
      <c r="H42" s="35" t="n">
        <v>2281.789999999999</v>
      </c>
      <c r="I42" s="35" t="n">
        <v>2502.82</v>
      </c>
      <c r="J42" s="35" t="n">
        <v>2002</v>
      </c>
      <c r="K42" s="35" t="n">
        <v>3691.76</v>
      </c>
      <c r="L42" s="35" t="n">
        <v>1395.57</v>
      </c>
      <c r="M42" s="35" t="n">
        <v>2571.93</v>
      </c>
      <c r="N42" s="36">
        <f>SUM(B42:M42)</f>
        <v/>
      </c>
      <c r="O42" s="37">
        <f>'ABA'!O42+'BK'!O42+'BW'!O42+'CED'!O42+'HAB'!O42+'HB'!O42+'OD'!O42+'HDN'!O42+'KIN'!O42+'LE'!O42+'MER'!O42+'NDN'!O42+'SALT'!O42+'SDN'!O42+'SST'!O42+'WH'!O42+'FH'!O42+'KNL HO'!O42+'CCL HO'!O42+'YBHN HO'!O42+'YBN HO'!O42</f>
        <v/>
      </c>
      <c r="P42" s="37">
        <f>'ABA'!P42+'BK'!P42+'BW'!P42+'CED'!P42+'HAB'!P42+'HB'!P42+'OD'!P42+'HDN'!P42+'KIN'!P42+'LE'!P42+'MER'!P42+'NDN'!P42+'SALT'!P42+'SDN'!P42+'SST'!P42+'WH'!P42+'FH'!P42+'KNL HO'!P42+'CCL HO'!P42+'YBHN HO'!P42+'YBN HO'!P42</f>
        <v/>
      </c>
      <c r="Q42" s="37">
        <f>'ABA'!Q42+'BK'!Q42+'BW'!Q42+'CED'!Q42+'HAB'!Q42+'HB'!Q42+'OD'!Q42+'HDN'!Q42+'KIN'!Q42+'LE'!Q42+'MER'!Q42+'NDN'!Q42+'SALT'!Q42+'SDN'!Q42+'SST'!Q42+'WH'!Q42+'FH'!Q42+'KNL HO'!Q42+'CCL HO'!Q42+'YBHN HO'!Q42+'YBN HO'!Q42</f>
        <v/>
      </c>
      <c r="R42" s="37">
        <f>'ABA'!R42+'BK'!R42+'BW'!R42+'CED'!R42+'HAB'!R42+'HB'!R42+'OD'!R42+'HDN'!R42+'KIN'!R42+'LE'!R42+'MER'!R42+'NDN'!R42+'SALT'!R42+'SDN'!R42+'SST'!R42+'WH'!R42+'FH'!R42+'KNL HO'!R42+'CCL HO'!R42+'YBHN HO'!R42+'YBN HO'!R42</f>
        <v/>
      </c>
      <c r="S42" s="37">
        <f>'ABA'!S42+'BK'!S42+'BW'!S42+'CED'!S42+'HAB'!S42+'HB'!S42+'OD'!S42+'HDN'!S42+'KIN'!S42+'LE'!S42+'MER'!S42+'NDN'!S42+'SALT'!S42+'SDN'!S42+'SST'!S42+'WH'!S42+'FH'!S42+'KNL HO'!S42+'CCL HO'!S42+'YBHN HO'!S42+'YBN HO'!S42</f>
        <v/>
      </c>
      <c r="T42" s="37">
        <f>'ABA'!T42+'BK'!T42+'BW'!T42+'CED'!T42+'HAB'!T42+'HB'!T42+'OD'!T42+'HDN'!T42+'KIN'!T42+'LE'!T42+'MER'!T42+'NDN'!T42+'SALT'!T42+'SDN'!T42+'SST'!T42+'WH'!T42+'FH'!T42+'KNL HO'!T42+'CCL HO'!T42+'YBHN HO'!T42+'YBN HO'!T42</f>
        <v/>
      </c>
      <c r="U42" s="37">
        <f>'ABA'!U42+'BK'!U42+'BW'!U42+'CED'!U42+'HAB'!U42+'HB'!U42+'OD'!U42+'HDN'!U42+'KIN'!U42+'LE'!U42+'MER'!U42+'NDN'!U42+'SALT'!U42+'SDN'!U42+'SST'!U42+'WH'!U42+'FH'!U42+'KNL HO'!U42+'CCL HO'!U42+'YBHN HO'!U42+'YBN HO'!U42</f>
        <v/>
      </c>
      <c r="V42" s="38">
        <f>'KNL HO'!V42+'CCL GROUP P&amp;L'!V42+'YBHN GROUP P&amp;L'!V42+'YBN Group P&amp;L'!V42+'HAB'!V42+'Moe2 P&amp;L'!V42</f>
        <v/>
      </c>
      <c r="W42" s="38">
        <f>'KNL HO'!W42+'CCL GROUP P&amp;L'!W42+'YBHN GROUP P&amp;L'!W42+'YBN Group P&amp;L'!W42+'HAB'!W42+'Moe2 P&amp;L'!W42</f>
        <v/>
      </c>
      <c r="X42" s="38">
        <f>'KNL HO'!X42+'CCL GROUP P&amp;L'!X42+'YBHN GROUP P&amp;L'!X42+'YBN Group P&amp;L'!X42+'HAB'!X42+'Moe2 P&amp;L'!X42</f>
        <v/>
      </c>
      <c r="Y42" s="38">
        <f>'KNL HO'!Y42+'CCL GROUP P&amp;L'!Y42+'YBHN GROUP P&amp;L'!Y42+'YBN Group P&amp;L'!Y42+'HAB'!Y42+'Moe2 P&amp;L'!Y42</f>
        <v/>
      </c>
      <c r="Z42" s="38">
        <f>'KNL HO'!Z42+'CCL GROUP P&amp;L'!Z42+'YBHN GROUP P&amp;L'!Z42+'YBN Group P&amp;L'!Z42+'HAB'!Z42+'Moe2 P&amp;L'!Z42</f>
        <v/>
      </c>
      <c r="AA42" s="36">
        <f>SUM(O42:U42)</f>
        <v/>
      </c>
      <c r="AB42" s="36">
        <f>SUM(O42:Z42)</f>
        <v/>
      </c>
      <c r="AC42" s="38">
        <f>'KNL HO'!AC42+'CCL GROUP P&amp;L'!AC42+'YBHN GROUP P&amp;L'!AC42+'YBN Group P&amp;L'!AC42+'HAB'!AC42+'Moe2 P&amp;L'!AC42</f>
        <v/>
      </c>
      <c r="AD42" s="38">
        <f>'KNL HO'!AD42+'CCL GROUP P&amp;L'!AD42+'YBHN GROUP P&amp;L'!AD42+'YBN Group P&amp;L'!AD42+'HAB'!AD42+'Moe2 P&amp;L'!AD42</f>
        <v/>
      </c>
      <c r="AE42" s="38">
        <f>'KNL HO'!AE42+'CCL GROUP P&amp;L'!AE42+'YBHN GROUP P&amp;L'!AE42+'YBN Group P&amp;L'!AE42+'HAB'!AE42+'Moe2 P&amp;L'!AE42</f>
        <v/>
      </c>
      <c r="AF42" s="38">
        <f>'KNL HO'!AF42+'CCL GROUP P&amp;L'!AF42+'YBHN GROUP P&amp;L'!AF42+'YBN Group P&amp;L'!AF42+'HAB'!AF42+'Moe2 P&amp;L'!AF42</f>
        <v/>
      </c>
      <c r="AG42" s="38">
        <f>'KNL HO'!AG42+'CCL GROUP P&amp;L'!AG42+'YBHN GROUP P&amp;L'!AG42+'YBN Group P&amp;L'!AG42+'HAB'!AG42+'Moe2 P&amp;L'!AG42</f>
        <v/>
      </c>
      <c r="AH42" s="38">
        <f>'KNL HO'!AH42+'CCL GROUP P&amp;L'!AH42+'YBHN GROUP P&amp;L'!AH42+'YBN Group P&amp;L'!AH42+'HAB'!AH42+'Moe2 P&amp;L'!AH42</f>
        <v/>
      </c>
      <c r="AI42" s="137">
        <f>'KNL GROUP P&amp;L'!AI42+'CCL GROUP P&amp;L'!AI42+'YBHN GROUP P&amp;L'!AI42+'YBN Group P&amp;L'!AI42+'HAB P&amp;L'!AI42+'Moe2 P&amp;L'!AI42</f>
        <v/>
      </c>
      <c r="AJ42" s="138">
        <f>'KNL GROUP P&amp;L'!AJ42+'CCL GROUP P&amp;L'!AJ42+'YBHN GROUP P&amp;L'!AJ42+'YBN Group P&amp;L'!AJ42+'HAB P&amp;L'!AJ42+'Moe2 P&amp;L'!AJ42</f>
        <v/>
      </c>
      <c r="AK42" s="138">
        <f>'KNL GROUP P&amp;L'!AK42+'CCL GROUP P&amp;L'!AK42+'YBHN GROUP P&amp;L'!AK42+'YBN Group P&amp;L'!AK42+'HAB P&amp;L'!AK42+'Moe2 P&amp;L'!AK42</f>
        <v/>
      </c>
      <c r="AL42" s="138">
        <f>'KNL GROUP P&amp;L'!AL42+'CCL GROUP P&amp;L'!AL42+'YBHN GROUP P&amp;L'!AL42+'YBN Group P&amp;L'!AL42+'HAB P&amp;L'!AL42+'Moe2 P&amp;L'!AL42</f>
        <v/>
      </c>
      <c r="AM42" s="138">
        <f>'KNL GROUP P&amp;L'!AM42+'CCL GROUP P&amp;L'!AM42+'YBHN GROUP P&amp;L'!AM42+'YBN Group P&amp;L'!AM42+'HAB P&amp;L'!AM42+'Moe2 P&amp;L'!AM42</f>
        <v/>
      </c>
      <c r="AN42" s="137">
        <f>'KNL GROUP P&amp;L'!AN42+'CCL GROUP P&amp;L'!AN42+'YBHN GROUP P&amp;L'!AN42+'YBN Group P&amp;L'!AN42+'HAB P&amp;L'!AN42+'Moe2 P&amp;L'!AN42</f>
        <v/>
      </c>
      <c r="AO42" s="120">
        <f>SUM(AC42:AH42)+SUM(AI42:AN42)</f>
        <v/>
      </c>
      <c r="AP42" s="121">
        <f>IF(AB42&lt;&gt;0,(AO42-AB42)/ABS(AB42),0)</f>
        <v/>
      </c>
    </row>
    <row r="43">
      <c r="A43" s="34" t="inlineStr">
        <is>
          <t>Telephone</t>
        </is>
      </c>
      <c r="B43" s="35" t="n">
        <v>8953.669999999998</v>
      </c>
      <c r="C43" s="35" t="n">
        <v>3823.45</v>
      </c>
      <c r="D43" s="35" t="n">
        <v>4439.29</v>
      </c>
      <c r="E43" s="35" t="n">
        <v>8925.610000000001</v>
      </c>
      <c r="F43" s="35" t="n">
        <v>4190.24</v>
      </c>
      <c r="G43" s="35" t="n">
        <v>4168.8</v>
      </c>
      <c r="H43" s="35" t="n">
        <v>8798.970000000001</v>
      </c>
      <c r="I43" s="35" t="n">
        <v>4603.38</v>
      </c>
      <c r="J43" s="35" t="n">
        <v>5064.8</v>
      </c>
      <c r="K43" s="35" t="n">
        <v>5561.46</v>
      </c>
      <c r="L43" s="35" t="n">
        <v>5573.67</v>
      </c>
      <c r="M43" s="35" t="n">
        <v>5770.099999999999</v>
      </c>
      <c r="N43" s="36">
        <f>SUM(B43:M43)</f>
        <v/>
      </c>
      <c r="O43" s="37">
        <f>'ABA'!O43+'BK'!O43+'BW'!O43+'CED'!O43+'HAB'!O43+'HB'!O43+'OD'!O43+'HDN'!O43+'KIN'!O43+'LE'!O43+'MER'!O43+'NDN'!O43+'SALT'!O43+'SDN'!O43+'SST'!O43+'WH'!O43+'FH'!O43+'KNL HO'!O43+'CCL HO'!O43+'YBHN HO'!O43+'YBN HO'!O43</f>
        <v/>
      </c>
      <c r="P43" s="37">
        <f>'ABA'!P43+'BK'!P43+'BW'!P43+'CED'!P43+'HAB'!P43+'HB'!P43+'OD'!P43+'HDN'!P43+'KIN'!P43+'LE'!P43+'MER'!P43+'NDN'!P43+'SALT'!P43+'SDN'!P43+'SST'!P43+'WH'!P43+'FH'!P43+'KNL HO'!P43+'CCL HO'!P43+'YBHN HO'!P43+'YBN HO'!P43</f>
        <v/>
      </c>
      <c r="Q43" s="37">
        <f>'ABA'!Q43+'BK'!Q43+'BW'!Q43+'CED'!Q43+'HAB'!Q43+'HB'!Q43+'OD'!Q43+'HDN'!Q43+'KIN'!Q43+'LE'!Q43+'MER'!Q43+'NDN'!Q43+'SALT'!Q43+'SDN'!Q43+'SST'!Q43+'WH'!Q43+'FH'!Q43+'KNL HO'!Q43+'CCL HO'!Q43+'YBHN HO'!Q43+'YBN HO'!Q43</f>
        <v/>
      </c>
      <c r="R43" s="37">
        <f>'ABA'!R43+'BK'!R43+'BW'!R43+'CED'!R43+'HAB'!R43+'HB'!R43+'OD'!R43+'HDN'!R43+'KIN'!R43+'LE'!R43+'MER'!R43+'NDN'!R43+'SALT'!R43+'SDN'!R43+'SST'!R43+'WH'!R43+'FH'!R43+'KNL HO'!R43+'CCL HO'!R43+'YBHN HO'!R43+'YBN HO'!R43</f>
        <v/>
      </c>
      <c r="S43" s="37">
        <f>'ABA'!S43+'BK'!S43+'BW'!S43+'CED'!S43+'HAB'!S43+'HB'!S43+'OD'!S43+'HDN'!S43+'KIN'!S43+'LE'!S43+'MER'!S43+'NDN'!S43+'SALT'!S43+'SDN'!S43+'SST'!S43+'WH'!S43+'FH'!S43+'KNL HO'!S43+'CCL HO'!S43+'YBHN HO'!S43+'YBN HO'!S43</f>
        <v/>
      </c>
      <c r="T43" s="37">
        <f>'ABA'!T43+'BK'!T43+'BW'!T43+'CED'!T43+'HAB'!T43+'HB'!T43+'OD'!T43+'HDN'!T43+'KIN'!T43+'LE'!T43+'MER'!T43+'NDN'!T43+'SALT'!T43+'SDN'!T43+'SST'!T43+'WH'!T43+'FH'!T43+'KNL HO'!T43+'CCL HO'!T43+'YBHN HO'!T43+'YBN HO'!T43</f>
        <v/>
      </c>
      <c r="U43" s="37">
        <f>'ABA'!U43+'BK'!U43+'BW'!U43+'CED'!U43+'HAB'!U43+'HB'!U43+'OD'!U43+'HDN'!U43+'KIN'!U43+'LE'!U43+'MER'!U43+'NDN'!U43+'SALT'!U43+'SDN'!U43+'SST'!U43+'WH'!U43+'FH'!U43+'KNL HO'!U43+'CCL HO'!U43+'YBHN HO'!U43+'YBN HO'!U43</f>
        <v/>
      </c>
      <c r="V43" s="38">
        <f>'KNL HO'!V43+'CCL GROUP P&amp;L'!V43+'YBHN GROUP P&amp;L'!V43+'YBN Group P&amp;L'!V43+'HAB'!V43+'Moe2 P&amp;L'!V43</f>
        <v/>
      </c>
      <c r="W43" s="38">
        <f>'KNL HO'!W43+'CCL GROUP P&amp;L'!W43+'YBHN GROUP P&amp;L'!W43+'YBN Group P&amp;L'!W43+'HAB'!W43+'Moe2 P&amp;L'!W43</f>
        <v/>
      </c>
      <c r="X43" s="38">
        <f>'KNL HO'!X43+'CCL GROUP P&amp;L'!X43+'YBHN GROUP P&amp;L'!X43+'YBN Group P&amp;L'!X43+'HAB'!X43+'Moe2 P&amp;L'!X43</f>
        <v/>
      </c>
      <c r="Y43" s="38">
        <f>'KNL HO'!Y43+'CCL GROUP P&amp;L'!Y43+'YBHN GROUP P&amp;L'!Y43+'YBN Group P&amp;L'!Y43+'HAB'!Y43+'Moe2 P&amp;L'!Y43</f>
        <v/>
      </c>
      <c r="Z43" s="38">
        <f>'KNL HO'!Z43+'CCL GROUP P&amp;L'!Z43+'YBHN GROUP P&amp;L'!Z43+'YBN Group P&amp;L'!Z43+'HAB'!Z43+'Moe2 P&amp;L'!Z43</f>
        <v/>
      </c>
      <c r="AA43" s="36">
        <f>SUM(O43:U43)</f>
        <v/>
      </c>
      <c r="AB43" s="36">
        <f>SUM(O43:Z43)</f>
        <v/>
      </c>
      <c r="AC43" s="38">
        <f>'KNL HO'!AC43+'CCL GROUP P&amp;L'!AC43+'YBHN GROUP P&amp;L'!AC43+'YBN Group P&amp;L'!AC43+'HAB'!AC43+'Moe2 P&amp;L'!AC43</f>
        <v/>
      </c>
      <c r="AD43" s="38">
        <f>'KNL HO'!AD43+'CCL GROUP P&amp;L'!AD43+'YBHN GROUP P&amp;L'!AD43+'YBN Group P&amp;L'!AD43+'HAB'!AD43+'Moe2 P&amp;L'!AD43</f>
        <v/>
      </c>
      <c r="AE43" s="38">
        <f>'KNL HO'!AE43+'CCL GROUP P&amp;L'!AE43+'YBHN GROUP P&amp;L'!AE43+'YBN Group P&amp;L'!AE43+'HAB'!AE43+'Moe2 P&amp;L'!AE43</f>
        <v/>
      </c>
      <c r="AF43" s="38">
        <f>'KNL HO'!AF43+'CCL GROUP P&amp;L'!AF43+'YBHN GROUP P&amp;L'!AF43+'YBN Group P&amp;L'!AF43+'HAB'!AF43+'Moe2 P&amp;L'!AF43</f>
        <v/>
      </c>
      <c r="AG43" s="38">
        <f>'KNL HO'!AG43+'CCL GROUP P&amp;L'!AG43+'YBHN GROUP P&amp;L'!AG43+'YBN Group P&amp;L'!AG43+'HAB'!AG43+'Moe2 P&amp;L'!AG43</f>
        <v/>
      </c>
      <c r="AH43" s="38">
        <f>'KNL HO'!AH43+'CCL GROUP P&amp;L'!AH43+'YBHN GROUP P&amp;L'!AH43+'YBN Group P&amp;L'!AH43+'HAB'!AH43+'Moe2 P&amp;L'!AH43</f>
        <v/>
      </c>
      <c r="AI43" s="137">
        <f>'KNL GROUP P&amp;L'!AI43+'CCL GROUP P&amp;L'!AI43+'YBHN GROUP P&amp;L'!AI43+'YBN Group P&amp;L'!AI43+'HAB P&amp;L'!AI43+'Moe2 P&amp;L'!AI43</f>
        <v/>
      </c>
      <c r="AJ43" s="138">
        <f>'KNL GROUP P&amp;L'!AJ43+'CCL GROUP P&amp;L'!AJ43+'YBHN GROUP P&amp;L'!AJ43+'YBN Group P&amp;L'!AJ43+'HAB P&amp;L'!AJ43+'Moe2 P&amp;L'!AJ43</f>
        <v/>
      </c>
      <c r="AK43" s="138">
        <f>'KNL GROUP P&amp;L'!AK43+'CCL GROUP P&amp;L'!AK43+'YBHN GROUP P&amp;L'!AK43+'YBN Group P&amp;L'!AK43+'HAB P&amp;L'!AK43+'Moe2 P&amp;L'!AK43</f>
        <v/>
      </c>
      <c r="AL43" s="138">
        <f>'KNL GROUP P&amp;L'!AL43+'CCL GROUP P&amp;L'!AL43+'YBHN GROUP P&amp;L'!AL43+'YBN Group P&amp;L'!AL43+'HAB P&amp;L'!AL43+'Moe2 P&amp;L'!AL43</f>
        <v/>
      </c>
      <c r="AM43" s="138">
        <f>'KNL GROUP P&amp;L'!AM43+'CCL GROUP P&amp;L'!AM43+'YBHN GROUP P&amp;L'!AM43+'YBN Group P&amp;L'!AM43+'HAB P&amp;L'!AM43+'Moe2 P&amp;L'!AM43</f>
        <v/>
      </c>
      <c r="AN43" s="137">
        <f>'KNL GROUP P&amp;L'!AN43+'CCL GROUP P&amp;L'!AN43+'YBHN GROUP P&amp;L'!AN43+'YBN Group P&amp;L'!AN43+'HAB P&amp;L'!AN43+'Moe2 P&amp;L'!AN43</f>
        <v/>
      </c>
      <c r="AO43" s="120">
        <f>SUM(AC43:AH43)+SUM(AI43:AN43)</f>
        <v/>
      </c>
      <c r="AP43" s="121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'ABA'!O44+'BK'!O44+'BW'!O44+'CED'!O44+'HAB'!O44+'HB'!O44+'OD'!O44+'HDN'!O44+'KIN'!O44+'LE'!O44+'MER'!O44+'NDN'!O44+'SALT'!O44+'SDN'!O44+'SST'!O44+'WH'!O44+'FH'!O44+'KNL HO'!O44+'CCL HO'!O44+'YBHN HO'!O44+'YBN HO'!O44</f>
        <v/>
      </c>
      <c r="P44" s="37">
        <f>'ABA'!P44+'BK'!P44+'BW'!P44+'CED'!P44+'HAB'!P44+'HB'!P44+'OD'!P44+'HDN'!P44+'KIN'!P44+'LE'!P44+'MER'!P44+'NDN'!P44+'SALT'!P44+'SDN'!P44+'SST'!P44+'WH'!P44+'FH'!P44+'KNL HO'!P44+'CCL HO'!P44+'YBHN HO'!P44+'YBN HO'!P44</f>
        <v/>
      </c>
      <c r="Q44" s="37">
        <f>'ABA'!Q44+'BK'!Q44+'BW'!Q44+'CED'!Q44+'HAB'!Q44+'HB'!Q44+'OD'!Q44+'HDN'!Q44+'KIN'!Q44+'LE'!Q44+'MER'!Q44+'NDN'!Q44+'SALT'!Q44+'SDN'!Q44+'SST'!Q44+'WH'!Q44+'FH'!Q44+'KNL HO'!Q44+'CCL HO'!Q44+'YBHN HO'!Q44+'YBN HO'!Q44</f>
        <v/>
      </c>
      <c r="R44" s="37">
        <f>'ABA'!R44+'BK'!R44+'BW'!R44+'CED'!R44+'HAB'!R44+'HB'!R44+'OD'!R44+'HDN'!R44+'KIN'!R44+'LE'!R44+'MER'!R44+'NDN'!R44+'SALT'!R44+'SDN'!R44+'SST'!R44+'WH'!R44+'FH'!R44+'KNL HO'!R44+'CCL HO'!R44+'YBHN HO'!R44+'YBN HO'!R44</f>
        <v/>
      </c>
      <c r="S44" s="37">
        <f>'ABA'!S44+'BK'!S44+'BW'!S44+'CED'!S44+'HAB'!S44+'HB'!S44+'OD'!S44+'HDN'!S44+'KIN'!S44+'LE'!S44+'MER'!S44+'NDN'!S44+'SALT'!S44+'SDN'!S44+'SST'!S44+'WH'!S44+'FH'!S44+'KNL HO'!S44+'CCL HO'!S44+'YBHN HO'!S44+'YBN HO'!S44</f>
        <v/>
      </c>
      <c r="T44" s="37">
        <f>'ABA'!T44+'BK'!T44+'BW'!T44+'CED'!T44+'HAB'!T44+'HB'!T44+'OD'!T44+'HDN'!T44+'KIN'!T44+'LE'!T44+'MER'!T44+'NDN'!T44+'SALT'!T44+'SDN'!T44+'SST'!T44+'WH'!T44+'FH'!T44+'KNL HO'!T44+'CCL HO'!T44+'YBHN HO'!T44+'YBN HO'!T44</f>
        <v/>
      </c>
      <c r="U44" s="37">
        <f>'ABA'!U44+'BK'!U44+'BW'!U44+'CED'!U44+'HAB'!U44+'HB'!U44+'OD'!U44+'HDN'!U44+'KIN'!U44+'LE'!U44+'MER'!U44+'NDN'!U44+'SALT'!U44+'SDN'!U44+'SST'!U44+'WH'!U44+'FH'!U44+'KNL HO'!U44+'CCL HO'!U44+'YBHN HO'!U44+'YBN HO'!U44</f>
        <v/>
      </c>
      <c r="V44" s="38">
        <f>'KNL HO'!V44+'CCL GROUP P&amp;L'!V44+'YBHN GROUP P&amp;L'!V44+'YBN Group P&amp;L'!V44+'HAB'!V44+'Moe2 P&amp;L'!V44</f>
        <v/>
      </c>
      <c r="W44" s="38">
        <f>'KNL HO'!W44+'CCL GROUP P&amp;L'!W44+'YBHN GROUP P&amp;L'!W44+'YBN Group P&amp;L'!W44+'HAB'!W44+'Moe2 P&amp;L'!W44</f>
        <v/>
      </c>
      <c r="X44" s="38">
        <f>'KNL HO'!X44+'CCL GROUP P&amp;L'!X44+'YBHN GROUP P&amp;L'!X44+'YBN Group P&amp;L'!X44+'HAB'!X44+'Moe2 P&amp;L'!X44</f>
        <v/>
      </c>
      <c r="Y44" s="38">
        <f>'KNL HO'!Y44+'CCL GROUP P&amp;L'!Y44+'YBHN GROUP P&amp;L'!Y44+'YBN Group P&amp;L'!Y44+'HAB'!Y44+'Moe2 P&amp;L'!Y44</f>
        <v/>
      </c>
      <c r="Z44" s="38">
        <f>'KNL HO'!Z44+'CCL GROUP P&amp;L'!Z44+'YBHN GROUP P&amp;L'!Z44+'YBN Group P&amp;L'!Z44+'HAB'!Z44+'Moe2 P&amp;L'!Z44</f>
        <v/>
      </c>
      <c r="AA44" s="36">
        <f>SUM(O44:U44)</f>
        <v/>
      </c>
      <c r="AB44" s="36">
        <f>SUM(O44:Z44)</f>
        <v/>
      </c>
      <c r="AC44" s="38">
        <f>'KNL HO'!AC44+'CCL GROUP P&amp;L'!AC44+'YBHN GROUP P&amp;L'!AC44+'YBN Group P&amp;L'!AC44+'HAB'!AC44+'Moe2 P&amp;L'!AC44</f>
        <v/>
      </c>
      <c r="AD44" s="38">
        <f>'KNL HO'!AD44+'CCL GROUP P&amp;L'!AD44+'YBHN GROUP P&amp;L'!AD44+'YBN Group P&amp;L'!AD44+'HAB'!AD44+'Moe2 P&amp;L'!AD44</f>
        <v/>
      </c>
      <c r="AE44" s="38">
        <f>'KNL HO'!AE44+'CCL GROUP P&amp;L'!AE44+'YBHN GROUP P&amp;L'!AE44+'YBN Group P&amp;L'!AE44+'HAB'!AE44+'Moe2 P&amp;L'!AE44</f>
        <v/>
      </c>
      <c r="AF44" s="38">
        <f>'KNL HO'!AF44+'CCL GROUP P&amp;L'!AF44+'YBHN GROUP P&amp;L'!AF44+'YBN Group P&amp;L'!AF44+'HAB'!AF44+'Moe2 P&amp;L'!AF44</f>
        <v/>
      </c>
      <c r="AG44" s="38">
        <f>'KNL HO'!AG44+'CCL GROUP P&amp;L'!AG44+'YBHN GROUP P&amp;L'!AG44+'YBN Group P&amp;L'!AG44+'HAB'!AG44+'Moe2 P&amp;L'!AG44</f>
        <v/>
      </c>
      <c r="AH44" s="38">
        <f>'KNL HO'!AH44+'CCL GROUP P&amp;L'!AH44+'YBHN GROUP P&amp;L'!AH44+'YBN Group P&amp;L'!AH44+'HAB'!AH44+'Moe2 P&amp;L'!AH44</f>
        <v/>
      </c>
      <c r="AI44" s="137">
        <f>'KNL GROUP P&amp;L'!AI44+'CCL GROUP P&amp;L'!AI44+'YBHN GROUP P&amp;L'!AI44+'YBN Group P&amp;L'!AI44+'HAB P&amp;L'!AI44+'Moe2 P&amp;L'!AI44</f>
        <v/>
      </c>
      <c r="AJ44" s="138">
        <f>'KNL GROUP P&amp;L'!AJ44+'CCL GROUP P&amp;L'!AJ44+'YBHN GROUP P&amp;L'!AJ44+'YBN Group P&amp;L'!AJ44+'HAB P&amp;L'!AJ44+'Moe2 P&amp;L'!AJ44</f>
        <v/>
      </c>
      <c r="AK44" s="138">
        <f>'KNL GROUP P&amp;L'!AK44+'CCL GROUP P&amp;L'!AK44+'YBHN GROUP P&amp;L'!AK44+'YBN Group P&amp;L'!AK44+'HAB P&amp;L'!AK44+'Moe2 P&amp;L'!AK44</f>
        <v/>
      </c>
      <c r="AL44" s="138">
        <f>'KNL GROUP P&amp;L'!AL44+'CCL GROUP P&amp;L'!AL44+'YBHN GROUP P&amp;L'!AL44+'YBN Group P&amp;L'!AL44+'HAB P&amp;L'!AL44+'Moe2 P&amp;L'!AL44</f>
        <v/>
      </c>
      <c r="AM44" s="138">
        <f>'KNL GROUP P&amp;L'!AM44+'CCL GROUP P&amp;L'!AM44+'YBHN GROUP P&amp;L'!AM44+'YBN Group P&amp;L'!AM44+'HAB P&amp;L'!AM44+'Moe2 P&amp;L'!AM44</f>
        <v/>
      </c>
      <c r="AN44" s="137">
        <f>'KNL GROUP P&amp;L'!AN44+'CCL GROUP P&amp;L'!AN44+'YBHN GROUP P&amp;L'!AN44+'YBN Group P&amp;L'!AN44+'HAB P&amp;L'!AN44+'Moe2 P&amp;L'!AN44</f>
        <v/>
      </c>
      <c r="AO44" s="120">
        <f>SUM(AC44:AH44)+SUM(AI44:AN44)</f>
        <v/>
      </c>
      <c r="AP44" s="121">
        <f>IF(AB44&lt;&gt;0,(AO44-AB44)/ABS(AB44),0)</f>
        <v/>
      </c>
    </row>
    <row r="45">
      <c r="A45" s="34" t="inlineStr">
        <is>
          <t>Marketing</t>
        </is>
      </c>
      <c r="B45" s="35" t="n">
        <v>7231.62</v>
      </c>
      <c r="C45" s="35" t="n">
        <v>7485.74</v>
      </c>
      <c r="D45" s="35" t="n">
        <v>6009.32</v>
      </c>
      <c r="E45" s="35" t="n">
        <v>6562</v>
      </c>
      <c r="F45" s="35" t="n">
        <v>5022.37</v>
      </c>
      <c r="G45" s="35" t="n">
        <v>12641.18</v>
      </c>
      <c r="H45" s="35" t="n">
        <v>5292.8</v>
      </c>
      <c r="I45" s="35" t="n">
        <v>6869.37</v>
      </c>
      <c r="J45" s="35" t="n">
        <v>7028.809999999999</v>
      </c>
      <c r="K45" s="35" t="n">
        <v>3789.18</v>
      </c>
      <c r="L45" s="35" t="n">
        <v>2858.36</v>
      </c>
      <c r="M45" s="35" t="n">
        <v>1836.53</v>
      </c>
      <c r="N45" s="36">
        <f>SUM(B45:M45)</f>
        <v/>
      </c>
      <c r="O45" s="37">
        <f>'ABA'!O45+'BK'!O45+'BW'!O45+'CED'!O45+'HAB'!O45+'HB'!O45+'OD'!O45+'HDN'!O45+'KIN'!O45+'LE'!O45+'MER'!O45+'NDN'!O45+'SALT'!O45+'SDN'!O45+'SST'!O45+'WH'!O45+'FH'!O45+'KNL HO'!O45+'CCL HO'!O45+'YBHN HO'!O45+'YBN HO'!O45</f>
        <v/>
      </c>
      <c r="P45" s="37">
        <f>'ABA'!P45+'BK'!P45+'BW'!P45+'CED'!P45+'HAB'!P45+'HB'!P45+'OD'!P45+'HDN'!P45+'KIN'!P45+'LE'!P45+'MER'!P45+'NDN'!P45+'SALT'!P45+'SDN'!P45+'SST'!P45+'WH'!P45+'FH'!P45+'KNL HO'!P45+'CCL HO'!P45+'YBHN HO'!P45+'YBN HO'!P45</f>
        <v/>
      </c>
      <c r="Q45" s="37">
        <f>'ABA'!Q45+'BK'!Q45+'BW'!Q45+'CED'!Q45+'HAB'!Q45+'HB'!Q45+'OD'!Q45+'HDN'!Q45+'KIN'!Q45+'LE'!Q45+'MER'!Q45+'NDN'!Q45+'SALT'!Q45+'SDN'!Q45+'SST'!Q45+'WH'!Q45+'FH'!Q45+'KNL HO'!Q45+'CCL HO'!Q45+'YBHN HO'!Q45+'YBN HO'!Q45</f>
        <v/>
      </c>
      <c r="R45" s="37">
        <f>'ABA'!R45+'BK'!R45+'BW'!R45+'CED'!R45+'HAB'!R45+'HB'!R45+'OD'!R45+'HDN'!R45+'KIN'!R45+'LE'!R45+'MER'!R45+'NDN'!R45+'SALT'!R45+'SDN'!R45+'SST'!R45+'WH'!R45+'FH'!R45+'KNL HO'!R45+'CCL HO'!R45+'YBHN HO'!R45+'YBN HO'!R45</f>
        <v/>
      </c>
      <c r="S45" s="37">
        <f>'ABA'!S45+'BK'!S45+'BW'!S45+'CED'!S45+'HAB'!S45+'HB'!S45+'OD'!S45+'HDN'!S45+'KIN'!S45+'LE'!S45+'MER'!S45+'NDN'!S45+'SALT'!S45+'SDN'!S45+'SST'!S45+'WH'!S45+'FH'!S45+'KNL HO'!S45+'CCL HO'!S45+'YBHN HO'!S45+'YBN HO'!S45</f>
        <v/>
      </c>
      <c r="T45" s="37">
        <f>'ABA'!T45+'BK'!T45+'BW'!T45+'CED'!T45+'HAB'!T45+'HB'!T45+'OD'!T45+'HDN'!T45+'KIN'!T45+'LE'!T45+'MER'!T45+'NDN'!T45+'SALT'!T45+'SDN'!T45+'SST'!T45+'WH'!T45+'FH'!T45+'KNL HO'!T45+'CCL HO'!T45+'YBHN HO'!T45+'YBN HO'!T45</f>
        <v/>
      </c>
      <c r="U45" s="37">
        <f>'ABA'!U45+'BK'!U45+'BW'!U45+'CED'!U45+'HAB'!U45+'HB'!U45+'OD'!U45+'HDN'!U45+'KIN'!U45+'LE'!U45+'MER'!U45+'NDN'!U45+'SALT'!U45+'SDN'!U45+'SST'!U45+'WH'!U45+'FH'!U45+'KNL HO'!U45+'CCL HO'!U45+'YBHN HO'!U45+'YBN HO'!U45</f>
        <v/>
      </c>
      <c r="V45" s="38">
        <f>'KNL HO'!V45+'CCL GROUP P&amp;L'!V45+'YBHN GROUP P&amp;L'!V45+'YBN Group P&amp;L'!V45+'HAB'!V45+'Moe2 P&amp;L'!V45</f>
        <v/>
      </c>
      <c r="W45" s="38">
        <f>'KNL HO'!W45+'CCL GROUP P&amp;L'!W45+'YBHN GROUP P&amp;L'!W45+'YBN Group P&amp;L'!W45+'HAB'!W45+'Moe2 P&amp;L'!W45</f>
        <v/>
      </c>
      <c r="X45" s="38">
        <f>'KNL HO'!X45+'CCL GROUP P&amp;L'!X45+'YBHN GROUP P&amp;L'!X45+'YBN Group P&amp;L'!X45+'HAB'!X45+'Moe2 P&amp;L'!X45</f>
        <v/>
      </c>
      <c r="Y45" s="38">
        <f>'KNL HO'!Y45+'CCL GROUP P&amp;L'!Y45+'YBHN GROUP P&amp;L'!Y45+'YBN Group P&amp;L'!Y45+'HAB'!Y45+'Moe2 P&amp;L'!Y45</f>
        <v/>
      </c>
      <c r="Z45" s="38">
        <f>'KNL HO'!Z45+'CCL GROUP P&amp;L'!Z45+'YBHN GROUP P&amp;L'!Z45+'YBN Group P&amp;L'!Z45+'HAB'!Z45+'Moe2 P&amp;L'!Z45</f>
        <v/>
      </c>
      <c r="AA45" s="36">
        <f>SUM(O45:U45)</f>
        <v/>
      </c>
      <c r="AB45" s="36">
        <f>SUM(O45:Z45)</f>
        <v/>
      </c>
      <c r="AC45" s="38">
        <f>'KNL HO'!AC45+'CCL GROUP P&amp;L'!AC45+'YBHN GROUP P&amp;L'!AC45+'YBN Group P&amp;L'!AC45+'HAB'!AC45+'Moe2 P&amp;L'!AC45</f>
        <v/>
      </c>
      <c r="AD45" s="38">
        <f>'KNL HO'!AD45+'CCL GROUP P&amp;L'!AD45+'YBHN GROUP P&amp;L'!AD45+'YBN Group P&amp;L'!AD45+'HAB'!AD45+'Moe2 P&amp;L'!AD45</f>
        <v/>
      </c>
      <c r="AE45" s="38">
        <f>'KNL HO'!AE45+'CCL GROUP P&amp;L'!AE45+'YBHN GROUP P&amp;L'!AE45+'YBN Group P&amp;L'!AE45+'HAB'!AE45+'Moe2 P&amp;L'!AE45</f>
        <v/>
      </c>
      <c r="AF45" s="38">
        <f>'KNL HO'!AF45+'CCL GROUP P&amp;L'!AF45+'YBHN GROUP P&amp;L'!AF45+'YBN Group P&amp;L'!AF45+'HAB'!AF45+'Moe2 P&amp;L'!AF45</f>
        <v/>
      </c>
      <c r="AG45" s="38">
        <f>'KNL HO'!AG45+'CCL GROUP P&amp;L'!AG45+'YBHN GROUP P&amp;L'!AG45+'YBN Group P&amp;L'!AG45+'HAB'!AG45+'Moe2 P&amp;L'!AG45</f>
        <v/>
      </c>
      <c r="AH45" s="38">
        <f>'KNL HO'!AH45+'CCL GROUP P&amp;L'!AH45+'YBHN GROUP P&amp;L'!AH45+'YBN Group P&amp;L'!AH45+'HAB'!AH45+'Moe2 P&amp;L'!AH45</f>
        <v/>
      </c>
      <c r="AI45" s="137">
        <f>'KNL GROUP P&amp;L'!AI45+'CCL GROUP P&amp;L'!AI45+'YBHN GROUP P&amp;L'!AI45+'YBN Group P&amp;L'!AI45+'HAB P&amp;L'!AI45+'Moe2 P&amp;L'!AI45</f>
        <v/>
      </c>
      <c r="AJ45" s="138">
        <f>'KNL GROUP P&amp;L'!AJ45+'CCL GROUP P&amp;L'!AJ45+'YBHN GROUP P&amp;L'!AJ45+'YBN Group P&amp;L'!AJ45+'HAB P&amp;L'!AJ45+'Moe2 P&amp;L'!AJ45</f>
        <v/>
      </c>
      <c r="AK45" s="138">
        <f>'KNL GROUP P&amp;L'!AK45+'CCL GROUP P&amp;L'!AK45+'YBHN GROUP P&amp;L'!AK45+'YBN Group P&amp;L'!AK45+'HAB P&amp;L'!AK45+'Moe2 P&amp;L'!AK45</f>
        <v/>
      </c>
      <c r="AL45" s="138">
        <f>'KNL GROUP P&amp;L'!AL45+'CCL GROUP P&amp;L'!AL45+'YBHN GROUP P&amp;L'!AL45+'YBN Group P&amp;L'!AL45+'HAB P&amp;L'!AL45+'Moe2 P&amp;L'!AL45</f>
        <v/>
      </c>
      <c r="AM45" s="138">
        <f>'KNL GROUP P&amp;L'!AM45+'CCL GROUP P&amp;L'!AM45+'YBHN GROUP P&amp;L'!AM45+'YBN Group P&amp;L'!AM45+'HAB P&amp;L'!AM45+'Moe2 P&amp;L'!AM45</f>
        <v/>
      </c>
      <c r="AN45" s="137">
        <f>'KNL GROUP P&amp;L'!AN45+'CCL GROUP P&amp;L'!AN45+'YBHN GROUP P&amp;L'!AN45+'YBN Group P&amp;L'!AN45+'HAB P&amp;L'!AN45+'Moe2 P&amp;L'!AN45</f>
        <v/>
      </c>
      <c r="AO45" s="120">
        <f>SUM(AC45:AH45)+SUM(AI45:AN45)</f>
        <v/>
      </c>
      <c r="AP45" s="121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460.32</v>
      </c>
      <c r="I46" s="35" t="n">
        <v>475.15</v>
      </c>
      <c r="J46" s="35" t="n">
        <v>212.63</v>
      </c>
      <c r="K46" s="35" t="n">
        <v>102.57</v>
      </c>
      <c r="L46" s="35" t="n">
        <v>0</v>
      </c>
      <c r="M46" s="35" t="n">
        <v>55.85</v>
      </c>
      <c r="N46" s="36">
        <f>SUM(B46:M46)</f>
        <v/>
      </c>
      <c r="O46" s="37">
        <f>'ABA'!O46+'BK'!O46+'BW'!O46+'CED'!O46+'HAB'!O46+'HB'!O46+'OD'!O46+'HDN'!O46+'KIN'!O46+'LE'!O46+'MER'!O46+'NDN'!O46+'SALT'!O46+'SDN'!O46+'SST'!O46+'WH'!O46+'FH'!O46+'KNL HO'!O46+'CCL HO'!O46+'YBHN HO'!O46+'YBN HO'!O46</f>
        <v/>
      </c>
      <c r="P46" s="37">
        <f>'ABA'!P46+'BK'!P46+'BW'!P46+'CED'!P46+'HAB'!P46+'HB'!P46+'OD'!P46+'HDN'!P46+'KIN'!P46+'LE'!P46+'MER'!P46+'NDN'!P46+'SALT'!P46+'SDN'!P46+'SST'!P46+'WH'!P46+'FH'!P46+'KNL HO'!P46+'CCL HO'!P46+'YBHN HO'!P46+'YBN HO'!P46</f>
        <v/>
      </c>
      <c r="Q46" s="37">
        <f>'ABA'!Q46+'BK'!Q46+'BW'!Q46+'CED'!Q46+'HAB'!Q46+'HB'!Q46+'OD'!Q46+'HDN'!Q46+'KIN'!Q46+'LE'!Q46+'MER'!Q46+'NDN'!Q46+'SALT'!Q46+'SDN'!Q46+'SST'!Q46+'WH'!Q46+'FH'!Q46+'KNL HO'!Q46+'CCL HO'!Q46+'YBHN HO'!Q46+'YBN HO'!Q46</f>
        <v/>
      </c>
      <c r="R46" s="37">
        <f>'ABA'!R46+'BK'!R46+'BW'!R46+'CED'!R46+'HAB'!R46+'HB'!R46+'OD'!R46+'HDN'!R46+'KIN'!R46+'LE'!R46+'MER'!R46+'NDN'!R46+'SALT'!R46+'SDN'!R46+'SST'!R46+'WH'!R46+'FH'!R46+'KNL HO'!R46+'CCL HO'!R46+'YBHN HO'!R46+'YBN HO'!R46</f>
        <v/>
      </c>
      <c r="S46" s="37">
        <f>'ABA'!S46+'BK'!S46+'BW'!S46+'CED'!S46+'HAB'!S46+'HB'!S46+'OD'!S46+'HDN'!S46+'KIN'!S46+'LE'!S46+'MER'!S46+'NDN'!S46+'SALT'!S46+'SDN'!S46+'SST'!S46+'WH'!S46+'FH'!S46+'KNL HO'!S46+'CCL HO'!S46+'YBHN HO'!S46+'YBN HO'!S46</f>
        <v/>
      </c>
      <c r="T46" s="37">
        <f>'ABA'!T46+'BK'!T46+'BW'!T46+'CED'!T46+'HAB'!T46+'HB'!T46+'OD'!T46+'HDN'!T46+'KIN'!T46+'LE'!T46+'MER'!T46+'NDN'!T46+'SALT'!T46+'SDN'!T46+'SST'!T46+'WH'!T46+'FH'!T46+'KNL HO'!T46+'CCL HO'!T46+'YBHN HO'!T46+'YBN HO'!T46</f>
        <v/>
      </c>
      <c r="U46" s="37">
        <f>'ABA'!U46+'BK'!U46+'BW'!U46+'CED'!U46+'HAB'!U46+'HB'!U46+'OD'!U46+'HDN'!U46+'KIN'!U46+'LE'!U46+'MER'!U46+'NDN'!U46+'SALT'!U46+'SDN'!U46+'SST'!U46+'WH'!U46+'FH'!U46+'KNL HO'!U46+'CCL HO'!U46+'YBHN HO'!U46+'YBN HO'!U46</f>
        <v/>
      </c>
      <c r="V46" s="38">
        <f>'KNL HO'!V46+'CCL GROUP P&amp;L'!V46+'YBHN GROUP P&amp;L'!V46+'YBN Group P&amp;L'!V46+'HAB'!V46+'Moe2 P&amp;L'!V46</f>
        <v/>
      </c>
      <c r="W46" s="38">
        <f>'KNL HO'!W46+'CCL GROUP P&amp;L'!W46+'YBHN GROUP P&amp;L'!W46+'YBN Group P&amp;L'!W46+'HAB'!W46+'Moe2 P&amp;L'!W46</f>
        <v/>
      </c>
      <c r="X46" s="38">
        <f>'KNL HO'!X46+'CCL GROUP P&amp;L'!X46+'YBHN GROUP P&amp;L'!X46+'YBN Group P&amp;L'!X46+'HAB'!X46+'Moe2 P&amp;L'!X46</f>
        <v/>
      </c>
      <c r="Y46" s="38">
        <f>'KNL HO'!Y46+'CCL GROUP P&amp;L'!Y46+'YBHN GROUP P&amp;L'!Y46+'YBN Group P&amp;L'!Y46+'HAB'!Y46+'Moe2 P&amp;L'!Y46</f>
        <v/>
      </c>
      <c r="Z46" s="38">
        <f>'KNL HO'!Z46+'CCL GROUP P&amp;L'!Z46+'YBHN GROUP P&amp;L'!Z46+'YBN Group P&amp;L'!Z46+'HAB'!Z46+'Moe2 P&amp;L'!Z46</f>
        <v/>
      </c>
      <c r="AA46" s="36">
        <f>SUM(O46:U46)</f>
        <v/>
      </c>
      <c r="AB46" s="36">
        <f>SUM(O46:Z46)</f>
        <v/>
      </c>
      <c r="AC46" s="38">
        <f>'KNL HO'!AC46+'CCL GROUP P&amp;L'!AC46+'YBHN GROUP P&amp;L'!AC46+'YBN Group P&amp;L'!AC46+'HAB'!AC46+'Moe2 P&amp;L'!AC46</f>
        <v/>
      </c>
      <c r="AD46" s="38">
        <f>'KNL HO'!AD46+'CCL GROUP P&amp;L'!AD46+'YBHN GROUP P&amp;L'!AD46+'YBN Group P&amp;L'!AD46+'HAB'!AD46+'Moe2 P&amp;L'!AD46</f>
        <v/>
      </c>
      <c r="AE46" s="38">
        <f>'KNL HO'!AE46+'CCL GROUP P&amp;L'!AE46+'YBHN GROUP P&amp;L'!AE46+'YBN Group P&amp;L'!AE46+'HAB'!AE46+'Moe2 P&amp;L'!AE46</f>
        <v/>
      </c>
      <c r="AF46" s="38">
        <f>'KNL HO'!AF46+'CCL GROUP P&amp;L'!AF46+'YBHN GROUP P&amp;L'!AF46+'YBN Group P&amp;L'!AF46+'HAB'!AF46+'Moe2 P&amp;L'!AF46</f>
        <v/>
      </c>
      <c r="AG46" s="38">
        <f>'KNL HO'!AG46+'CCL GROUP P&amp;L'!AG46+'YBHN GROUP P&amp;L'!AG46+'YBN Group P&amp;L'!AG46+'HAB'!AG46+'Moe2 P&amp;L'!AG46</f>
        <v/>
      </c>
      <c r="AH46" s="38">
        <f>'KNL HO'!AH46+'CCL GROUP P&amp;L'!AH46+'YBHN GROUP P&amp;L'!AH46+'YBN Group P&amp;L'!AH46+'HAB'!AH46+'Moe2 P&amp;L'!AH46</f>
        <v/>
      </c>
      <c r="AI46" s="137">
        <f>'KNL GROUP P&amp;L'!AI46+'CCL GROUP P&amp;L'!AI46+'YBHN GROUP P&amp;L'!AI46+'YBN Group P&amp;L'!AI46+'HAB P&amp;L'!AI46+'Moe2 P&amp;L'!AI46</f>
        <v/>
      </c>
      <c r="AJ46" s="138">
        <f>'KNL GROUP P&amp;L'!AJ46+'CCL GROUP P&amp;L'!AJ46+'YBHN GROUP P&amp;L'!AJ46+'YBN Group P&amp;L'!AJ46+'HAB P&amp;L'!AJ46+'Moe2 P&amp;L'!AJ46</f>
        <v/>
      </c>
      <c r="AK46" s="138">
        <f>'KNL GROUP P&amp;L'!AK46+'CCL GROUP P&amp;L'!AK46+'YBHN GROUP P&amp;L'!AK46+'YBN Group P&amp;L'!AK46+'HAB P&amp;L'!AK46+'Moe2 P&amp;L'!AK46</f>
        <v/>
      </c>
      <c r="AL46" s="138">
        <f>'KNL GROUP P&amp;L'!AL46+'CCL GROUP P&amp;L'!AL46+'YBHN GROUP P&amp;L'!AL46+'YBN Group P&amp;L'!AL46+'HAB P&amp;L'!AL46+'Moe2 P&amp;L'!AL46</f>
        <v/>
      </c>
      <c r="AM46" s="138">
        <f>'KNL GROUP P&amp;L'!AM46+'CCL GROUP P&amp;L'!AM46+'YBHN GROUP P&amp;L'!AM46+'YBN Group P&amp;L'!AM46+'HAB P&amp;L'!AM46+'Moe2 P&amp;L'!AM46</f>
        <v/>
      </c>
      <c r="AN46" s="137">
        <f>'KNL GROUP P&amp;L'!AN46+'CCL GROUP P&amp;L'!AN46+'YBHN GROUP P&amp;L'!AN46+'YBN Group P&amp;L'!AN46+'HAB P&amp;L'!AN46+'Moe2 P&amp;L'!AN46</f>
        <v/>
      </c>
      <c r="AO46" s="120">
        <f>SUM(AC46:AH46)+SUM(AI46:AN46)</f>
        <v/>
      </c>
      <c r="AP46" s="121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104786.72</v>
      </c>
      <c r="C47" s="42" t="n">
        <v>102740.01</v>
      </c>
      <c r="D47" s="42" t="n">
        <v>109444.19</v>
      </c>
      <c r="E47" s="42" t="n">
        <v>113384.44</v>
      </c>
      <c r="F47" s="42" t="n">
        <v>96923.23999999999</v>
      </c>
      <c r="G47" s="42" t="n">
        <v>101096.97</v>
      </c>
      <c r="H47" s="42" t="n">
        <v>91871.87000000002</v>
      </c>
      <c r="I47" s="42" t="n">
        <v>90463.60999999999</v>
      </c>
      <c r="J47" s="42" t="n">
        <v>83945.06</v>
      </c>
      <c r="K47" s="42" t="n">
        <v>90760.58</v>
      </c>
      <c r="L47" s="42" t="n">
        <v>84121.7</v>
      </c>
      <c r="M47" s="42" t="n">
        <v>86490.11</v>
      </c>
      <c r="N47" s="43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'KNL HO'!V47+'CCL GROUP P&amp;L'!V47+'YBHN GROUP P&amp;L'!V47+'YBN Group P&amp;L'!V47+'HAB'!V47+'Moe2 P&amp;L'!V47</f>
        <v/>
      </c>
      <c r="W47" s="45">
        <f>'KNL HO'!W47+'CCL GROUP P&amp;L'!W47+'YBHN GROUP P&amp;L'!W47+'YBN Group P&amp;L'!W47+'HAB'!W47+'Moe2 P&amp;L'!W47</f>
        <v/>
      </c>
      <c r="X47" s="45">
        <f>'KNL HO'!X47+'CCL GROUP P&amp;L'!X47+'YBHN GROUP P&amp;L'!X47+'YBN Group P&amp;L'!X47+'HAB'!X47+'Moe2 P&amp;L'!X47</f>
        <v/>
      </c>
      <c r="Y47" s="45">
        <f>'KNL HO'!Y47+'CCL GROUP P&amp;L'!Y47+'YBHN GROUP P&amp;L'!Y47+'YBN Group P&amp;L'!Y47+'HAB'!Y47+'Moe2 P&amp;L'!Y47</f>
        <v/>
      </c>
      <c r="Z47" s="45">
        <f>'KNL HO'!Z47+'CCL GROUP P&amp;L'!Z47+'YBHN GROUP P&amp;L'!Z47+'YBN Group P&amp;L'!Z47+'HAB'!Z47+'Moe2 P&amp;L'!Z47</f>
        <v/>
      </c>
      <c r="AA47" s="43">
        <f>SUM(O47:U47)</f>
        <v/>
      </c>
      <c r="AB47" s="43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2">
        <f>SUM(AI36:AI46)</f>
        <v/>
      </c>
      <c r="AJ47" s="123">
        <f>SUM(AJ36:AJ46)</f>
        <v/>
      </c>
      <c r="AK47" s="123">
        <f>SUM(AK36:AK46)</f>
        <v/>
      </c>
      <c r="AL47" s="123">
        <f>SUM(AL36:AL46)</f>
        <v/>
      </c>
      <c r="AM47" s="123">
        <f>SUM(AM36:AM46)</f>
        <v/>
      </c>
      <c r="AN47" s="122">
        <f>SUM(AN36:AN46)</f>
        <v/>
      </c>
      <c r="AO47" s="124">
        <f>SUM(AC47:AH47)+SUM(AI47:AN47)</f>
        <v/>
      </c>
      <c r="AP47" s="125">
        <f>IF(AB47&lt;&gt;0,(AO47-AB47)/ABS(AB47),0)</f>
        <v/>
      </c>
    </row>
    <row r="48" ht="15.75" customHeight="1">
      <c r="A48" s="96" t="inlineStr">
        <is>
          <t>Total Direct Costs</t>
        </is>
      </c>
      <c r="B48" s="97" t="n">
        <v>593308.08</v>
      </c>
      <c r="C48" s="97" t="n">
        <v>601457.04</v>
      </c>
      <c r="D48" s="97" t="n">
        <v>595179.59</v>
      </c>
      <c r="E48" s="97" t="n">
        <v>657683.8300000001</v>
      </c>
      <c r="F48" s="97" t="n">
        <v>657881.76</v>
      </c>
      <c r="G48" s="97" t="n">
        <v>641450.24</v>
      </c>
      <c r="H48" s="97" t="n">
        <v>670848.8300000001</v>
      </c>
      <c r="I48" s="97" t="n">
        <v>623265.5700000001</v>
      </c>
      <c r="J48" s="97" t="n">
        <v>643907.0899999999</v>
      </c>
      <c r="K48" s="97" t="n">
        <v>658803.66</v>
      </c>
      <c r="L48" s="97" t="n">
        <v>623280.2899999999</v>
      </c>
      <c r="M48" s="97" t="n">
        <v>631531.24</v>
      </c>
      <c r="N48" s="43">
        <f>SUM(B48:M48)</f>
        <v/>
      </c>
      <c r="O48" s="98">
        <f>O25+O34+O47</f>
        <v/>
      </c>
      <c r="P48" s="98">
        <f>P25+P34+P47</f>
        <v/>
      </c>
      <c r="Q48" s="98">
        <f>Q25+Q34+Q47</f>
        <v/>
      </c>
      <c r="R48" s="98">
        <f>R25+R34+R47</f>
        <v/>
      </c>
      <c r="S48" s="98">
        <f>S25+S34+S47</f>
        <v/>
      </c>
      <c r="T48" s="98">
        <f>T25+T34+T47</f>
        <v/>
      </c>
      <c r="U48" s="98">
        <f>U25+U34+U47</f>
        <v/>
      </c>
      <c r="V48" s="99">
        <f>V25+V34+V47</f>
        <v/>
      </c>
      <c r="W48" s="99">
        <f>W25+W34+W47</f>
        <v/>
      </c>
      <c r="X48" s="99">
        <f>X25+X34+X47</f>
        <v/>
      </c>
      <c r="Y48" s="99">
        <f>Y25+Y34+Y47</f>
        <v/>
      </c>
      <c r="Z48" s="99">
        <f>Z25+Z34+Z47</f>
        <v/>
      </c>
      <c r="AA48" s="43">
        <f>SUM(O48:U48)</f>
        <v/>
      </c>
      <c r="AB48" s="43">
        <f>AB25+AB34+AB47</f>
        <v/>
      </c>
      <c r="AC48" s="99">
        <f>AC25+AC34+AC47</f>
        <v/>
      </c>
      <c r="AD48" s="99">
        <f>AD25+AD34+AD47</f>
        <v/>
      </c>
      <c r="AE48" s="99">
        <f>AE25+AE34+AE47</f>
        <v/>
      </c>
      <c r="AF48" s="99">
        <f>AF25+AF34+AF47</f>
        <v/>
      </c>
      <c r="AG48" s="99">
        <f>AG25+AG34+AG47</f>
        <v/>
      </c>
      <c r="AH48" s="99">
        <f>AH25+AH34+AH47</f>
        <v/>
      </c>
      <c r="AI48" s="141">
        <f>AI25+AI34+AI47</f>
        <v/>
      </c>
      <c r="AJ48" s="163">
        <f>AJ25+AJ34+AJ47</f>
        <v/>
      </c>
      <c r="AK48" s="163">
        <f>AK25+AK34+AK47</f>
        <v/>
      </c>
      <c r="AL48" s="163">
        <f>AL25+AL34+AL47</f>
        <v/>
      </c>
      <c r="AM48" s="163">
        <f>AM25+AM34+AM47</f>
        <v/>
      </c>
      <c r="AN48" s="141">
        <f>AN25+AN34+AN47</f>
        <v/>
      </c>
      <c r="AO48" s="124">
        <f>SUM(AC48:AH48)+SUM(AI48:AN48)</f>
        <v/>
      </c>
      <c r="AP48" s="125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 t="n"/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9">
        <f>SUM(O49:U49)</f>
        <v/>
      </c>
      <c r="AB49" s="100" t="n"/>
      <c r="AC49" s="20">
        <f>'KNL HO'!AC49+'CCL GROUP P&amp;L'!AC49+'YBHN GROUP P&amp;L'!AC49+'YBN Group P&amp;L'!AC49+'HAB'!AC49+'Moe2 P&amp;L'!AC49</f>
        <v/>
      </c>
      <c r="AD49" s="20">
        <f>'KNL HO'!AD49+'CCL GROUP P&amp;L'!AD49+'YBHN GROUP P&amp;L'!AD49+'YBN Group P&amp;L'!AD49+'HAB'!AD49+'Moe2 P&amp;L'!AD49</f>
        <v/>
      </c>
      <c r="AE49" s="20">
        <f>'KNL HO'!AE49+'CCL GROUP P&amp;L'!AE49+'YBHN GROUP P&amp;L'!AE49+'YBN Group P&amp;L'!AE49+'HAB'!AE49+'Moe2 P&amp;L'!AE49</f>
        <v/>
      </c>
      <c r="AF49" s="20">
        <f>'KNL HO'!AF49+'CCL GROUP P&amp;L'!AF49+'YBHN GROUP P&amp;L'!AF49+'YBN Group P&amp;L'!AF49+'HAB'!AF49+'Moe2 P&amp;L'!AF49</f>
        <v/>
      </c>
      <c r="AG49" s="20">
        <f>'KNL HO'!AG49+'CCL GROUP P&amp;L'!AG49+'YBHN GROUP P&amp;L'!AG49+'YBN Group P&amp;L'!AG49+'HAB'!AG49+'Moe2 P&amp;L'!AG49</f>
        <v/>
      </c>
      <c r="AH49" s="20">
        <f>'KNL HO'!AH49+'CCL GROUP P&amp;L'!AH49+'YBHN GROUP P&amp;L'!AH49+'YBN Group P&amp;L'!AH49+'HAB'!AH49+'Moe2 P&amp;L'!AH49</f>
        <v/>
      </c>
      <c r="AI49" s="122">
        <f>'KNL GROUP P&amp;L'!AI49+'CCL GROUP P&amp;L'!AI49+'YBHN GROUP P&amp;L'!AI49+'YBN Group P&amp;L'!AI49+'HAB P&amp;L'!AI49+'Moe2 P&amp;L'!AI49</f>
        <v/>
      </c>
      <c r="AJ49" s="152">
        <f>'KNL GROUP P&amp;L'!AJ49+'CCL GROUP P&amp;L'!AJ49+'YBHN GROUP P&amp;L'!AJ49+'YBN Group P&amp;L'!AJ49+'HAB P&amp;L'!AJ49+'Moe2 P&amp;L'!AJ49</f>
        <v/>
      </c>
      <c r="AK49" s="152">
        <f>'KNL GROUP P&amp;L'!AK49+'CCL GROUP P&amp;L'!AK49+'YBHN GROUP P&amp;L'!AK49+'YBN Group P&amp;L'!AK49+'HAB P&amp;L'!AK49+'Moe2 P&amp;L'!AK49</f>
        <v/>
      </c>
      <c r="AL49" s="152">
        <f>'KNL GROUP P&amp;L'!AL49+'CCL GROUP P&amp;L'!AL49+'YBHN GROUP P&amp;L'!AL49+'YBN Group P&amp;L'!AL49+'HAB P&amp;L'!AL49+'Moe2 P&amp;L'!AL49</f>
        <v/>
      </c>
      <c r="AM49" s="152">
        <f>'KNL GROUP P&amp;L'!AM49+'CCL GROUP P&amp;L'!AM49+'YBHN GROUP P&amp;L'!AM49+'YBN Group P&amp;L'!AM49+'HAB P&amp;L'!AM49+'Moe2 P&amp;L'!AM49</f>
        <v/>
      </c>
      <c r="AN49" s="122">
        <f>'KNL GROUP P&amp;L'!AN49+'CCL GROUP P&amp;L'!AN49+'YBHN GROUP P&amp;L'!AN49+'YBN Group P&amp;L'!AN49+'HAB P&amp;L'!AN49+'Moe2 P&amp;L'!AN49</f>
        <v/>
      </c>
      <c r="AO49" s="129">
        <f>SUM(AC49:AH49)+SUM(AI49:AN49)</f>
        <v/>
      </c>
      <c r="AP49" s="121">
        <f>IF(AB49&lt;&gt;0,(AO49-AB49)/ABS(AB49),0)</f>
        <v/>
      </c>
    </row>
    <row r="50">
      <c r="A50" s="54" t="inlineStr">
        <is>
          <t>CONTRIBUTION</t>
        </is>
      </c>
      <c r="B50" s="55" t="n">
        <v>269219.9400000001</v>
      </c>
      <c r="C50" s="55" t="n">
        <v>301867</v>
      </c>
      <c r="D50" s="55" t="n">
        <v>478366.39</v>
      </c>
      <c r="E50" s="55" t="n">
        <v>308137.9299999997</v>
      </c>
      <c r="F50" s="55" t="n">
        <v>198014.5800000001</v>
      </c>
      <c r="G50" s="55" t="n">
        <v>340460.8300000001</v>
      </c>
      <c r="H50" s="55" t="n">
        <v>618330.7199999997</v>
      </c>
      <c r="I50" s="55" t="n">
        <v>141509.5499999999</v>
      </c>
      <c r="J50" s="55" t="n">
        <v>119024.2300000001</v>
      </c>
      <c r="K50" s="55" t="n">
        <v>137562.37</v>
      </c>
      <c r="L50" s="55" t="n">
        <v>324270.7100000001</v>
      </c>
      <c r="M50" s="55" t="n">
        <v>536706.72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101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3">
        <f>AI11-AI48</f>
        <v/>
      </c>
      <c r="AJ50" s="164">
        <f>AJ11-AJ48</f>
        <v/>
      </c>
      <c r="AK50" s="164">
        <f>AK11-AK48</f>
        <v/>
      </c>
      <c r="AL50" s="164">
        <f>AL11-AL48</f>
        <v/>
      </c>
      <c r="AM50" s="164">
        <f>AM11-AM48</f>
        <v/>
      </c>
      <c r="AN50" s="143">
        <f>AN11-AN48</f>
        <v/>
      </c>
      <c r="AO50" s="165">
        <f>SUM(AC50:AH50)+SUM(AI50:AN50)</f>
        <v/>
      </c>
      <c r="AP50" s="121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 t="n"/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9">
        <f>SUM(O51:U51)</f>
        <v/>
      </c>
      <c r="AB51" s="36" t="n"/>
      <c r="AC51" s="20">
        <f>'KNL HO'!AC51+'CCL GROUP P&amp;L'!AC51+'YBHN GROUP P&amp;L'!AC51+'YBN Group P&amp;L'!AC51+'HAB'!AC51+'Moe2 P&amp;L'!AC51</f>
        <v/>
      </c>
      <c r="AD51" s="20">
        <f>'KNL HO'!AD51+'CCL GROUP P&amp;L'!AD51+'YBHN GROUP P&amp;L'!AD51+'YBN Group P&amp;L'!AD51+'HAB'!AD51+'Moe2 P&amp;L'!AD51</f>
        <v/>
      </c>
      <c r="AE51" s="20">
        <f>'KNL HO'!AE51+'CCL GROUP P&amp;L'!AE51+'YBHN GROUP P&amp;L'!AE51+'YBN Group P&amp;L'!AE51+'HAB'!AE51+'Moe2 P&amp;L'!AE51</f>
        <v/>
      </c>
      <c r="AF51" s="20">
        <f>'KNL HO'!AF51+'CCL GROUP P&amp;L'!AF51+'YBHN GROUP P&amp;L'!AF51+'YBN Group P&amp;L'!AF51+'HAB'!AF51+'Moe2 P&amp;L'!AF51</f>
        <v/>
      </c>
      <c r="AG51" s="20">
        <f>'KNL HO'!AG51+'CCL GROUP P&amp;L'!AG51+'YBHN GROUP P&amp;L'!AG51+'YBN Group P&amp;L'!AG51+'HAB'!AG51+'Moe2 P&amp;L'!AG51</f>
        <v/>
      </c>
      <c r="AH51" s="20">
        <f>'KNL HO'!AH51+'CCL GROUP P&amp;L'!AH51+'YBHN GROUP P&amp;L'!AH51+'YBN Group P&amp;L'!AH51+'HAB'!AH51+'Moe2 P&amp;L'!AH51</f>
        <v/>
      </c>
      <c r="AI51" s="122">
        <f>'KNL GROUP P&amp;L'!AI51+'CCL GROUP P&amp;L'!AI51+'YBHN GROUP P&amp;L'!AI51+'YBN Group P&amp;L'!AI51+'HAB P&amp;L'!AI51+'Moe2 P&amp;L'!AI51</f>
        <v/>
      </c>
      <c r="AJ51" s="152">
        <f>'KNL GROUP P&amp;L'!AJ51+'CCL GROUP P&amp;L'!AJ51+'YBHN GROUP P&amp;L'!AJ51+'YBN Group P&amp;L'!AJ51+'HAB P&amp;L'!AJ51+'Moe2 P&amp;L'!AJ51</f>
        <v/>
      </c>
      <c r="AK51" s="152">
        <f>'KNL GROUP P&amp;L'!AK51+'CCL GROUP P&amp;L'!AK51+'YBHN GROUP P&amp;L'!AK51+'YBN Group P&amp;L'!AK51+'HAB P&amp;L'!AK51+'Moe2 P&amp;L'!AK51</f>
        <v/>
      </c>
      <c r="AL51" s="152">
        <f>'KNL GROUP P&amp;L'!AL51+'CCL GROUP P&amp;L'!AL51+'YBHN GROUP P&amp;L'!AL51+'YBN Group P&amp;L'!AL51+'HAB P&amp;L'!AL51+'Moe2 P&amp;L'!AL51</f>
        <v/>
      </c>
      <c r="AM51" s="152">
        <f>'KNL GROUP P&amp;L'!AM51+'CCL GROUP P&amp;L'!AM51+'YBHN GROUP P&amp;L'!AM51+'YBN Group P&amp;L'!AM51+'HAB P&amp;L'!AM51+'Moe2 P&amp;L'!AM51</f>
        <v/>
      </c>
      <c r="AN51" s="122">
        <f>'KNL GROUP P&amp;L'!AN51+'CCL GROUP P&amp;L'!AN51+'YBHN GROUP P&amp;L'!AN51+'YBN Group P&amp;L'!AN51+'HAB P&amp;L'!AN51+'Moe2 P&amp;L'!AN51</f>
        <v/>
      </c>
      <c r="AO51" s="129">
        <f>SUM(AC51:AH51)+SUM(AI51:AN51)</f>
        <v/>
      </c>
      <c r="AP51" s="121">
        <f>IF(AB51&lt;&gt;0,(AO51-AB51)/ABS(AB51),0)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 t="n"/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9">
        <f>SUM(O52:U52)</f>
        <v/>
      </c>
      <c r="AB52" s="36" t="n"/>
      <c r="AC52" s="20">
        <f>'KNL HO'!AC52+'CCL GROUP P&amp;L'!AC52+'YBHN GROUP P&amp;L'!AC52+'YBN Group P&amp;L'!AC52+'HAB'!AC52+'Moe2 P&amp;L'!AC52</f>
        <v/>
      </c>
      <c r="AD52" s="20">
        <f>'KNL HO'!AD52+'CCL GROUP P&amp;L'!AD52+'YBHN GROUP P&amp;L'!AD52+'YBN Group P&amp;L'!AD52+'HAB'!AD52+'Moe2 P&amp;L'!AD52</f>
        <v/>
      </c>
      <c r="AE52" s="20">
        <f>'KNL HO'!AE52+'CCL GROUP P&amp;L'!AE52+'YBHN GROUP P&amp;L'!AE52+'YBN Group P&amp;L'!AE52+'HAB'!AE52+'Moe2 P&amp;L'!AE52</f>
        <v/>
      </c>
      <c r="AF52" s="20">
        <f>'KNL HO'!AF52+'CCL GROUP P&amp;L'!AF52+'YBHN GROUP P&amp;L'!AF52+'YBN Group P&amp;L'!AF52+'HAB'!AF52+'Moe2 P&amp;L'!AF52</f>
        <v/>
      </c>
      <c r="AG52" s="20">
        <f>'KNL HO'!AG52+'CCL GROUP P&amp;L'!AG52+'YBHN GROUP P&amp;L'!AG52+'YBN Group P&amp;L'!AG52+'HAB'!AG52+'Moe2 P&amp;L'!AG52</f>
        <v/>
      </c>
      <c r="AH52" s="20">
        <f>'KNL HO'!AH52+'CCL GROUP P&amp;L'!AH52+'YBHN GROUP P&amp;L'!AH52+'YBN Group P&amp;L'!AH52+'HAB'!AH52+'Moe2 P&amp;L'!AH52</f>
        <v/>
      </c>
      <c r="AI52" s="122">
        <f>'KNL GROUP P&amp;L'!AI52+'CCL GROUP P&amp;L'!AI52+'YBHN GROUP P&amp;L'!AI52+'YBN Group P&amp;L'!AI52+'HAB P&amp;L'!AI52+'Moe2 P&amp;L'!AI52</f>
        <v/>
      </c>
      <c r="AJ52" s="152">
        <f>'KNL GROUP P&amp;L'!AJ52+'CCL GROUP P&amp;L'!AJ52+'YBHN GROUP P&amp;L'!AJ52+'YBN Group P&amp;L'!AJ52+'HAB P&amp;L'!AJ52+'Moe2 P&amp;L'!AJ52</f>
        <v/>
      </c>
      <c r="AK52" s="152">
        <f>'KNL GROUP P&amp;L'!AK52+'CCL GROUP P&amp;L'!AK52+'YBHN GROUP P&amp;L'!AK52+'YBN Group P&amp;L'!AK52+'HAB P&amp;L'!AK52+'Moe2 P&amp;L'!AK52</f>
        <v/>
      </c>
      <c r="AL52" s="152">
        <f>'KNL GROUP P&amp;L'!AL52+'CCL GROUP P&amp;L'!AL52+'YBHN GROUP P&amp;L'!AL52+'YBN Group P&amp;L'!AL52+'HAB P&amp;L'!AL52+'Moe2 P&amp;L'!AL52</f>
        <v/>
      </c>
      <c r="AM52" s="152">
        <f>'KNL GROUP P&amp;L'!AM52+'CCL GROUP P&amp;L'!AM52+'YBHN GROUP P&amp;L'!AM52+'YBN Group P&amp;L'!AM52+'HAB P&amp;L'!AM52+'Moe2 P&amp;L'!AM52</f>
        <v/>
      </c>
      <c r="AN52" s="122">
        <f>'KNL GROUP P&amp;L'!AN52+'CCL GROUP P&amp;L'!AN52+'YBHN GROUP P&amp;L'!AN52+'YBN Group P&amp;L'!AN52+'HAB P&amp;L'!AN52+'Moe2 P&amp;L'!AN52</f>
        <v/>
      </c>
      <c r="AO52" s="129">
        <f>SUM(AC52:AH52)+SUM(AI52:AN52)</f>
        <v/>
      </c>
      <c r="AP52" s="121">
        <f>IF(AB52&lt;&gt;0,(AO52-AB52)/ABS(AB52),0)</f>
        <v/>
      </c>
    </row>
    <row r="53">
      <c r="A53" s="34" t="inlineStr">
        <is>
          <t>HO Salaries</t>
        </is>
      </c>
      <c r="B53" s="35" t="n">
        <v>82089.10000000001</v>
      </c>
      <c r="C53" s="35" t="n">
        <v>83145.28</v>
      </c>
      <c r="D53" s="35" t="n">
        <v>82791.22</v>
      </c>
      <c r="E53" s="35" t="n">
        <v>134235.96</v>
      </c>
      <c r="F53" s="35" t="n">
        <v>81426.45999999999</v>
      </c>
      <c r="G53" s="35" t="n">
        <v>97910.46000000001</v>
      </c>
      <c r="H53" s="35" t="n">
        <v>97978.69</v>
      </c>
      <c r="I53" s="35" t="n">
        <v>112374.73</v>
      </c>
      <c r="J53" s="35" t="n">
        <v>137394</v>
      </c>
      <c r="K53" s="35" t="n">
        <v>102166.94</v>
      </c>
      <c r="L53" s="35" t="n">
        <v>108279</v>
      </c>
      <c r="M53" s="35" t="n">
        <v>384692.96</v>
      </c>
      <c r="N53" s="36">
        <f>SUM(B53:M53)</f>
        <v/>
      </c>
      <c r="O53" s="37">
        <f>'ABA'!O53+'BK'!O53+'BW'!O53+'CED'!O53+'HAB'!O53+'HB'!O53+'OD'!O53+'HDN'!O53+'KIN'!O53+'LE'!O53+'MER'!O53+'NDN'!O53+'SALT'!O53+'SDN'!O53+'SST'!O53+'WH'!O53+'FH'!O53+'KNL HO'!O53+'CCL HO'!O53+'YBHN HO'!O53+'YBN HO'!O53</f>
        <v/>
      </c>
      <c r="P53" s="37">
        <f>'ABA'!P53+'BK'!P53+'BW'!P53+'CED'!P53+'HAB'!P53+'HB'!P53+'OD'!P53+'HDN'!P53+'KIN'!P53+'LE'!P53+'MER'!P53+'NDN'!P53+'SALT'!P53+'SDN'!P53+'SST'!P53+'WH'!P53+'FH'!P53+'KNL HO'!P53+'CCL HO'!P53+'YBHN HO'!P53+'YBN HO'!P53</f>
        <v/>
      </c>
      <c r="Q53" s="37">
        <f>'ABA'!Q53+'BK'!Q53+'BW'!Q53+'CED'!Q53+'HAB'!Q53+'HB'!Q53+'OD'!Q53+'HDN'!Q53+'KIN'!Q53+'LE'!Q53+'MER'!Q53+'NDN'!Q53+'SALT'!Q53+'SDN'!Q53+'SST'!Q53+'WH'!Q53+'FH'!Q53+'KNL HO'!Q53+'CCL HO'!Q53+'YBHN HO'!Q53+'YBN HO'!Q53</f>
        <v/>
      </c>
      <c r="R53" s="37">
        <f>'ABA'!R53+'BK'!R53+'BW'!R53+'CED'!R53+'HAB'!R53+'HB'!R53+'OD'!R53+'HDN'!R53+'KIN'!R53+'LE'!R53+'MER'!R53+'NDN'!R53+'SALT'!R53+'SDN'!R53+'SST'!R53+'WH'!R53+'FH'!R53+'KNL HO'!R53+'CCL HO'!R53+'YBHN HO'!R53+'YBN HO'!R53</f>
        <v/>
      </c>
      <c r="S53" s="37">
        <f>'ABA'!S53+'BK'!S53+'BW'!S53+'CED'!S53+'HAB'!S53+'HB'!S53+'OD'!S53+'HDN'!S53+'KIN'!S53+'LE'!S53+'MER'!S53+'NDN'!S53+'SALT'!S53+'SDN'!S53+'SST'!S53+'WH'!S53+'FH'!S53+'KNL HO'!S53+'CCL HO'!S53+'YBHN HO'!S53+'YBN HO'!S53</f>
        <v/>
      </c>
      <c r="T53" s="37">
        <f>'ABA'!T53+'BK'!T53+'BW'!T53+'CED'!T53+'HAB'!T53+'HB'!T53+'OD'!T53+'HDN'!T53+'KIN'!T53+'LE'!T53+'MER'!T53+'NDN'!T53+'SALT'!T53+'SDN'!T53+'SST'!T53+'WH'!T53+'FH'!T53+'KNL HO'!T53+'CCL HO'!T53+'YBHN HO'!T53+'YBN HO'!T53</f>
        <v/>
      </c>
      <c r="U53" s="37">
        <f>'ABA'!U53+'BK'!U53+'BW'!U53+'CED'!U53+'HAB'!U53+'HB'!U53+'OD'!U53+'HDN'!U53+'KIN'!U53+'LE'!U53+'MER'!U53+'NDN'!U53+'SALT'!U53+'SDN'!U53+'SST'!U53+'WH'!U53+'FH'!U53+'KNL HO'!U53+'CCL HO'!U53+'YBHN HO'!U53+'YBN HO'!U53</f>
        <v/>
      </c>
      <c r="V53" s="38">
        <f>'KNL HO'!V53+'CCL GROUP P&amp;L'!V53+'YBHN GROUP P&amp;L'!V53+'YBN Group P&amp;L'!V53+'HAB'!V53+'Moe2 P&amp;L'!V53</f>
        <v/>
      </c>
      <c r="W53" s="38">
        <f>'KNL HO'!W53+'CCL GROUP P&amp;L'!W53+'YBHN GROUP P&amp;L'!W53+'YBN Group P&amp;L'!W53+'HAB'!W53+'Moe2 P&amp;L'!W53</f>
        <v/>
      </c>
      <c r="X53" s="38">
        <f>'KNL HO'!X53+'CCL GROUP P&amp;L'!X53+'YBHN GROUP P&amp;L'!X53+'YBN Group P&amp;L'!X53+'HAB'!X53+'Moe2 P&amp;L'!X53</f>
        <v/>
      </c>
      <c r="Y53" s="38">
        <f>'KNL HO'!Y53+'CCL GROUP P&amp;L'!Y53+'YBHN GROUP P&amp;L'!Y53+'YBN Group P&amp;L'!Y53+'HAB'!Y53+'Moe2 P&amp;L'!Y53</f>
        <v/>
      </c>
      <c r="Z53" s="103">
        <f>'KNL HO'!Z53+'CCL GROUP P&amp;L'!Z53+'YBHN GROUP P&amp;L'!Z53+'YBN Group P&amp;L'!Z53+'HAB'!Z53+'Moe2 P&amp;L'!Z53</f>
        <v/>
      </c>
      <c r="AA53" s="36">
        <f>SUM(O53:U53)</f>
        <v/>
      </c>
      <c r="AB53" s="36">
        <f>SUM(O53:Z53)</f>
        <v/>
      </c>
      <c r="AC53" s="38">
        <f>'KNL HO'!AC53+'CCL GROUP P&amp;L'!AC53+'YBHN GROUP P&amp;L'!AC53+'YBN Group P&amp;L'!AC53+'HAB'!AC53+'Moe2 P&amp;L'!AC53</f>
        <v/>
      </c>
      <c r="AD53" s="38">
        <f>'KNL HO'!AD53+'CCL GROUP P&amp;L'!AD53+'YBHN GROUP P&amp;L'!AD53+'YBN Group P&amp;L'!AD53+'HAB'!AD53+'Moe2 P&amp;L'!AD53</f>
        <v/>
      </c>
      <c r="AE53" s="38">
        <f>'KNL HO'!AE53+'CCL GROUP P&amp;L'!AE53+'YBHN GROUP P&amp;L'!AE53+'YBN Group P&amp;L'!AE53+'HAB'!AE53+'Moe2 P&amp;L'!AE53</f>
        <v/>
      </c>
      <c r="AF53" s="38">
        <f>'KNL HO'!AF53+'CCL GROUP P&amp;L'!AF53+'YBHN GROUP P&amp;L'!AF53+'YBN Group P&amp;L'!AF53+'HAB'!AF53+'Moe2 P&amp;L'!AF53</f>
        <v/>
      </c>
      <c r="AG53" s="38">
        <f>'KNL HO'!AG53+'CCL GROUP P&amp;L'!AG53+'YBHN GROUP P&amp;L'!AG53+'YBN Group P&amp;L'!AG53+'HAB'!AG53+'Moe2 P&amp;L'!AG53</f>
        <v/>
      </c>
      <c r="AH53" s="38">
        <f>'KNL HO'!AH53+'CCL GROUP P&amp;L'!AH53+'YBHN GROUP P&amp;L'!AH53+'YBN Group P&amp;L'!AH53+'HAB'!AH53+'Moe2 P&amp;L'!AH53</f>
        <v/>
      </c>
      <c r="AI53" s="137">
        <f>'KNL GROUP P&amp;L'!AI53+'CCL GROUP P&amp;L'!AI53+'YBHN GROUP P&amp;L'!AI53+'YBN Group P&amp;L'!AI53+'HAB P&amp;L'!AI53+'Moe2 P&amp;L'!AI53</f>
        <v/>
      </c>
      <c r="AJ53" s="138">
        <f>'KNL GROUP P&amp;L'!AJ53+'CCL GROUP P&amp;L'!AJ53+'YBHN GROUP P&amp;L'!AJ53+'YBN Group P&amp;L'!AJ53+'HAB P&amp;L'!AJ53+'Moe2 P&amp;L'!AJ53</f>
        <v/>
      </c>
      <c r="AK53" s="138">
        <f>'KNL GROUP P&amp;L'!AK53+'CCL GROUP P&amp;L'!AK53+'YBHN GROUP P&amp;L'!AK53+'YBN Group P&amp;L'!AK53+'HAB P&amp;L'!AK53+'Moe2 P&amp;L'!AK53</f>
        <v/>
      </c>
      <c r="AL53" s="138">
        <f>'KNL GROUP P&amp;L'!AL53+'CCL GROUP P&amp;L'!AL53+'YBHN GROUP P&amp;L'!AL53+'YBN Group P&amp;L'!AL53+'HAB P&amp;L'!AL53+'Moe2 P&amp;L'!AL53</f>
        <v/>
      </c>
      <c r="AM53" s="138">
        <f>'KNL GROUP P&amp;L'!AM53+'CCL GROUP P&amp;L'!AM53+'YBHN GROUP P&amp;L'!AM53+'YBN Group P&amp;L'!AM53+'HAB P&amp;L'!AM53+'Moe2 P&amp;L'!AM53</f>
        <v/>
      </c>
      <c r="AN53" s="137">
        <f>'KNL GROUP P&amp;L'!AN53+'CCL GROUP P&amp;L'!AN53+'YBHN GROUP P&amp;L'!AN53+'YBN Group P&amp;L'!AN53+'HAB P&amp;L'!AN53+'Moe2 P&amp;L'!AN53</f>
        <v/>
      </c>
      <c r="AO53" s="120">
        <f>SUM(AC53:AH53)+SUM(AI53:AN53)</f>
        <v/>
      </c>
      <c r="AP53" s="121">
        <f>IF(AB53&lt;&gt;0,(AO53-AB53)/ABS(AB53),0)</f>
        <v/>
      </c>
    </row>
    <row r="54">
      <c r="A54" s="34" t="inlineStr">
        <is>
          <t>HO NI</t>
        </is>
      </c>
      <c r="B54" s="35" t="n">
        <v>9992.110000000001</v>
      </c>
      <c r="C54" s="35" t="n">
        <v>11326.84</v>
      </c>
      <c r="D54" s="35" t="n">
        <v>11325.06</v>
      </c>
      <c r="E54" s="35" t="n">
        <v>20699.56</v>
      </c>
      <c r="F54" s="35" t="n">
        <v>12797.69</v>
      </c>
      <c r="G54" s="35" t="n">
        <v>15261.34</v>
      </c>
      <c r="H54" s="35" t="n">
        <v>15170.04</v>
      </c>
      <c r="I54" s="35" t="n">
        <v>17278.08</v>
      </c>
      <c r="J54" s="35" t="n">
        <v>15614.88</v>
      </c>
      <c r="K54" s="35" t="n">
        <v>14827.88</v>
      </c>
      <c r="L54" s="35" t="n">
        <v>15458.86</v>
      </c>
      <c r="M54" s="35" t="n">
        <v>57020.84</v>
      </c>
      <c r="N54" s="36">
        <f>SUM(B54:M54)</f>
        <v/>
      </c>
      <c r="O54" s="37">
        <f>'ABA'!O54+'BK'!O54+'BW'!O54+'CED'!O54+'HAB'!O54+'HB'!O54+'OD'!O54+'HDN'!O54+'KIN'!O54+'LE'!O54+'MER'!O54+'NDN'!O54+'SALT'!O54+'SDN'!O54+'SST'!O54+'WH'!O54+'FH'!O54+'KNL HO'!O54+'CCL HO'!O54+'YBHN HO'!O54+'YBN HO'!O54</f>
        <v/>
      </c>
      <c r="P54" s="37">
        <f>'ABA'!P54+'BK'!P54+'BW'!P54+'CED'!P54+'HAB'!P54+'HB'!P54+'OD'!P54+'HDN'!P54+'KIN'!P54+'LE'!P54+'MER'!P54+'NDN'!P54+'SALT'!P54+'SDN'!P54+'SST'!P54+'WH'!P54+'FH'!P54+'KNL HO'!P54+'CCL HO'!P54+'YBHN HO'!P54+'YBN HO'!P54</f>
        <v/>
      </c>
      <c r="Q54" s="37">
        <f>'ABA'!Q54+'BK'!Q54+'BW'!Q54+'CED'!Q54+'HAB'!Q54+'HB'!Q54+'OD'!Q54+'HDN'!Q54+'KIN'!Q54+'LE'!Q54+'MER'!Q54+'NDN'!Q54+'SALT'!Q54+'SDN'!Q54+'SST'!Q54+'WH'!Q54+'FH'!Q54+'KNL HO'!Q54+'CCL HO'!Q54+'YBHN HO'!Q54+'YBN HO'!Q54</f>
        <v/>
      </c>
      <c r="R54" s="37">
        <f>'ABA'!R54+'BK'!R54+'BW'!R54+'CED'!R54+'HAB'!R54+'HB'!R54+'OD'!R54+'HDN'!R54+'KIN'!R54+'LE'!R54+'MER'!R54+'NDN'!R54+'SALT'!R54+'SDN'!R54+'SST'!R54+'WH'!R54+'FH'!R54+'KNL HO'!R54+'CCL HO'!R54+'YBHN HO'!R54+'YBN HO'!R54</f>
        <v/>
      </c>
      <c r="S54" s="37">
        <f>'ABA'!S54+'BK'!S54+'BW'!S54+'CED'!S54+'HAB'!S54+'HB'!S54+'OD'!S54+'HDN'!S54+'KIN'!S54+'LE'!S54+'MER'!S54+'NDN'!S54+'SALT'!S54+'SDN'!S54+'SST'!S54+'WH'!S54+'FH'!S54+'KNL HO'!S54+'CCL HO'!S54+'YBHN HO'!S54+'YBN HO'!S54</f>
        <v/>
      </c>
      <c r="T54" s="37">
        <f>'ABA'!T54+'BK'!T54+'BW'!T54+'CED'!T54+'HAB'!T54+'HB'!T54+'OD'!T54+'HDN'!T54+'KIN'!T54+'LE'!T54+'MER'!T54+'NDN'!T54+'SALT'!T54+'SDN'!T54+'SST'!T54+'WH'!T54+'FH'!T54+'KNL HO'!T54+'CCL HO'!T54+'YBHN HO'!T54+'YBN HO'!T54</f>
        <v/>
      </c>
      <c r="U54" s="37">
        <f>'ABA'!U54+'BK'!U54+'BW'!U54+'CED'!U54+'HAB'!U54+'HB'!U54+'OD'!U54+'HDN'!U54+'KIN'!U54+'LE'!U54+'MER'!U54+'NDN'!U54+'SALT'!U54+'SDN'!U54+'SST'!U54+'WH'!U54+'FH'!U54+'KNL HO'!U54+'CCL HO'!U54+'YBHN HO'!U54+'YBN HO'!U54</f>
        <v/>
      </c>
      <c r="V54" s="38">
        <f>'KNL HO'!V54+'CCL GROUP P&amp;L'!V54+'YBHN GROUP P&amp;L'!V54+'YBN Group P&amp;L'!V54+'HAB'!V54+'Moe2 P&amp;L'!V54</f>
        <v/>
      </c>
      <c r="W54" s="38">
        <f>'KNL HO'!W54+'CCL GROUP P&amp;L'!W54+'YBHN GROUP P&amp;L'!W54+'YBN Group P&amp;L'!W54+'HAB'!W54+'Moe2 P&amp;L'!W54</f>
        <v/>
      </c>
      <c r="X54" s="38">
        <f>'KNL HO'!X54+'CCL GROUP P&amp;L'!X54+'YBHN GROUP P&amp;L'!X54+'YBN Group P&amp;L'!X54+'HAB'!X54+'Moe2 P&amp;L'!X54</f>
        <v/>
      </c>
      <c r="Y54" s="38">
        <f>'KNL HO'!Y54+'CCL GROUP P&amp;L'!Y54+'YBHN GROUP P&amp;L'!Y54+'YBN Group P&amp;L'!Y54+'HAB'!Y54+'Moe2 P&amp;L'!Y54</f>
        <v/>
      </c>
      <c r="Z54" s="38">
        <f>'KNL HO'!Z54+'CCL GROUP P&amp;L'!Z54+'YBHN GROUP P&amp;L'!Z54+'YBN Group P&amp;L'!Z54+'HAB'!Z54+'Moe2 P&amp;L'!Z54</f>
        <v/>
      </c>
      <c r="AA54" s="36">
        <f>SUM(O54:U54)</f>
        <v/>
      </c>
      <c r="AB54" s="36">
        <f>SUM(O54:Z54)</f>
        <v/>
      </c>
      <c r="AC54" s="38">
        <f>'KNL HO'!AC54+'CCL GROUP P&amp;L'!AC54+'YBHN GROUP P&amp;L'!AC54+'YBN Group P&amp;L'!AC54+'HAB'!AC54+'Moe2 P&amp;L'!AC54</f>
        <v/>
      </c>
      <c r="AD54" s="38">
        <f>'KNL HO'!AD54+'CCL GROUP P&amp;L'!AD54+'YBHN GROUP P&amp;L'!AD54+'YBN Group P&amp;L'!AD54+'HAB'!AD54+'Moe2 P&amp;L'!AD54</f>
        <v/>
      </c>
      <c r="AE54" s="38">
        <f>'KNL HO'!AE54+'CCL GROUP P&amp;L'!AE54+'YBHN GROUP P&amp;L'!AE54+'YBN Group P&amp;L'!AE54+'HAB'!AE54+'Moe2 P&amp;L'!AE54</f>
        <v/>
      </c>
      <c r="AF54" s="38">
        <f>'KNL HO'!AF54+'CCL GROUP P&amp;L'!AF54+'YBHN GROUP P&amp;L'!AF54+'YBN Group P&amp;L'!AF54+'HAB'!AF54+'Moe2 P&amp;L'!AF54</f>
        <v/>
      </c>
      <c r="AG54" s="38">
        <f>'KNL HO'!AG54+'CCL GROUP P&amp;L'!AG54+'YBHN GROUP P&amp;L'!AG54+'YBN Group P&amp;L'!AG54+'HAB'!AG54+'Moe2 P&amp;L'!AG54</f>
        <v/>
      </c>
      <c r="AH54" s="38">
        <f>'KNL HO'!AH54+'CCL GROUP P&amp;L'!AH54+'YBHN GROUP P&amp;L'!AH54+'YBN Group P&amp;L'!AH54+'HAB'!AH54+'Moe2 P&amp;L'!AH54</f>
        <v/>
      </c>
      <c r="AI54" s="137">
        <f>'KNL GROUP P&amp;L'!AI54+'CCL GROUP P&amp;L'!AI54+'YBHN GROUP P&amp;L'!AI54+'YBN Group P&amp;L'!AI54+'HAB P&amp;L'!AI54+'Moe2 P&amp;L'!AI54</f>
        <v/>
      </c>
      <c r="AJ54" s="138">
        <f>'KNL GROUP P&amp;L'!AJ54+'CCL GROUP P&amp;L'!AJ54+'YBHN GROUP P&amp;L'!AJ54+'YBN Group P&amp;L'!AJ54+'HAB P&amp;L'!AJ54+'Moe2 P&amp;L'!AJ54</f>
        <v/>
      </c>
      <c r="AK54" s="138">
        <f>'KNL GROUP P&amp;L'!AK54+'CCL GROUP P&amp;L'!AK54+'YBHN GROUP P&amp;L'!AK54+'YBN Group P&amp;L'!AK54+'HAB P&amp;L'!AK54+'Moe2 P&amp;L'!AK54</f>
        <v/>
      </c>
      <c r="AL54" s="138">
        <f>'KNL GROUP P&amp;L'!AL54+'CCL GROUP P&amp;L'!AL54+'YBHN GROUP P&amp;L'!AL54+'YBN Group P&amp;L'!AL54+'HAB P&amp;L'!AL54+'Moe2 P&amp;L'!AL54</f>
        <v/>
      </c>
      <c r="AM54" s="138">
        <f>'KNL GROUP P&amp;L'!AM54+'CCL GROUP P&amp;L'!AM54+'YBHN GROUP P&amp;L'!AM54+'YBN Group P&amp;L'!AM54+'HAB P&amp;L'!AM54+'Moe2 P&amp;L'!AM54</f>
        <v/>
      </c>
      <c r="AN54" s="137">
        <f>'KNL GROUP P&amp;L'!AN54+'CCL GROUP P&amp;L'!AN54+'YBHN GROUP P&amp;L'!AN54+'YBN Group P&amp;L'!AN54+'HAB P&amp;L'!AN54+'Moe2 P&amp;L'!AN54</f>
        <v/>
      </c>
      <c r="AO54" s="120">
        <f>SUM(AC54:AH54)+SUM(AI54:AN54)</f>
        <v/>
      </c>
      <c r="AP54" s="121">
        <f>IF(AB54&lt;&gt;0,(AO54-AB54)/ABS(AB54),0)</f>
        <v/>
      </c>
    </row>
    <row r="55">
      <c r="A55" s="34" t="inlineStr">
        <is>
          <t>HO Health Care</t>
        </is>
      </c>
      <c r="B55" s="35" t="n">
        <v>697.83</v>
      </c>
      <c r="C55" s="35" t="n">
        <v>754.1500000000001</v>
      </c>
      <c r="D55" s="35" t="n">
        <v>754.1500000000001</v>
      </c>
      <c r="E55" s="35" t="n">
        <v>754.1500000000001</v>
      </c>
      <c r="F55" s="35" t="n">
        <v>754.1500000000001</v>
      </c>
      <c r="G55" s="35" t="n">
        <v>645.13</v>
      </c>
      <c r="H55" s="35" t="n">
        <v>711.13</v>
      </c>
      <c r="I55" s="35" t="n">
        <v>711.13</v>
      </c>
      <c r="J55" s="35" t="n">
        <v>711.13</v>
      </c>
      <c r="K55" s="35" t="n">
        <v>343.6</v>
      </c>
      <c r="L55" s="35" t="n">
        <v>397.55</v>
      </c>
      <c r="M55" s="35" t="n">
        <v>397.55</v>
      </c>
      <c r="N55" s="36">
        <f>SUM(B55:M55)</f>
        <v/>
      </c>
      <c r="O55" s="37">
        <f>'ABA'!O55+'BK'!O55+'BW'!O55+'CED'!O55+'HAB'!O55+'HB'!O55+'OD'!O55+'HDN'!O55+'KIN'!O55+'LE'!O55+'MER'!O55+'NDN'!O55+'SALT'!O55+'SDN'!O55+'SST'!O55+'WH'!O55+'FH'!O55+'KNL HO'!O55+'CCL HO'!O55+'YBHN HO'!O55+'YBN HO'!O55</f>
        <v/>
      </c>
      <c r="P55" s="37">
        <f>'ABA'!P55+'BK'!P55+'BW'!P55+'CED'!P55+'HAB'!P55+'HB'!P55+'OD'!P55+'HDN'!P55+'KIN'!P55+'LE'!P55+'MER'!P55+'NDN'!P55+'SALT'!P55+'SDN'!P55+'SST'!P55+'WH'!P55+'FH'!P55+'KNL HO'!P55+'CCL HO'!P55+'YBHN HO'!P55+'YBN HO'!P55</f>
        <v/>
      </c>
      <c r="Q55" s="37">
        <f>'ABA'!Q55+'BK'!Q55+'BW'!Q55+'CED'!Q55+'HAB'!Q55+'HB'!Q55+'OD'!Q55+'HDN'!Q55+'KIN'!Q55+'LE'!Q55+'MER'!Q55+'NDN'!Q55+'SALT'!Q55+'SDN'!Q55+'SST'!Q55+'WH'!Q55+'FH'!Q55+'KNL HO'!Q55+'CCL HO'!Q55+'YBHN HO'!Q55+'YBN HO'!Q55</f>
        <v/>
      </c>
      <c r="R55" s="37">
        <f>'ABA'!R55+'BK'!R55+'BW'!R55+'CED'!R55+'HAB'!R55+'HB'!R55+'OD'!R55+'HDN'!R55+'KIN'!R55+'LE'!R55+'MER'!R55+'NDN'!R55+'SALT'!R55+'SDN'!R55+'SST'!R55+'WH'!R55+'FH'!R55+'KNL HO'!R55+'CCL HO'!R55+'YBHN HO'!R55+'YBN HO'!R55</f>
        <v/>
      </c>
      <c r="S55" s="37">
        <f>'ABA'!S55+'BK'!S55+'BW'!S55+'CED'!S55+'HAB'!S55+'HB'!S55+'OD'!S55+'HDN'!S55+'KIN'!S55+'LE'!S55+'MER'!S55+'NDN'!S55+'SALT'!S55+'SDN'!S55+'SST'!S55+'WH'!S55+'FH'!S55+'KNL HO'!S55+'CCL HO'!S55+'YBHN HO'!S55+'YBN HO'!S55</f>
        <v/>
      </c>
      <c r="T55" s="37">
        <f>'ABA'!T55+'BK'!T55+'BW'!T55+'CED'!T55+'HAB'!T55+'HB'!T55+'OD'!T55+'HDN'!T55+'KIN'!T55+'LE'!T55+'MER'!T55+'NDN'!T55+'SALT'!T55+'SDN'!T55+'SST'!T55+'WH'!T55+'FH'!T55+'KNL HO'!T55+'CCL HO'!T55+'YBHN HO'!T55+'YBN HO'!T55</f>
        <v/>
      </c>
      <c r="U55" s="37">
        <f>'ABA'!U55+'BK'!U55+'BW'!U55+'CED'!U55+'HAB'!U55+'HB'!U55+'OD'!U55+'HDN'!U55+'KIN'!U55+'LE'!U55+'MER'!U55+'NDN'!U55+'SALT'!U55+'SDN'!U55+'SST'!U55+'WH'!U55+'FH'!U55+'KNL HO'!U55+'CCL HO'!U55+'YBHN HO'!U55+'YBN HO'!U55</f>
        <v/>
      </c>
      <c r="V55" s="38">
        <f>'KNL HO'!V55+'CCL GROUP P&amp;L'!V55+'YBHN GROUP P&amp;L'!V55+'YBN Group P&amp;L'!V55+'HAB'!V55+'Moe2 P&amp;L'!V55</f>
        <v/>
      </c>
      <c r="W55" s="38">
        <f>'KNL HO'!W55+'CCL GROUP P&amp;L'!W55+'YBHN GROUP P&amp;L'!W55+'YBN Group P&amp;L'!W55+'HAB'!W55+'Moe2 P&amp;L'!W55</f>
        <v/>
      </c>
      <c r="X55" s="38">
        <f>'KNL HO'!X55+'CCL GROUP P&amp;L'!X55+'YBHN GROUP P&amp;L'!X55+'YBN Group P&amp;L'!X55+'HAB'!X55+'Moe2 P&amp;L'!X55</f>
        <v/>
      </c>
      <c r="Y55" s="38">
        <f>'KNL HO'!Y55+'CCL GROUP P&amp;L'!Y55+'YBHN GROUP P&amp;L'!Y55+'YBN Group P&amp;L'!Y55+'HAB'!Y55+'Moe2 P&amp;L'!Y55</f>
        <v/>
      </c>
      <c r="Z55" s="38">
        <f>'KNL HO'!Z55+'CCL GROUP P&amp;L'!Z55+'YBHN GROUP P&amp;L'!Z55+'YBN Group P&amp;L'!Z55+'HAB'!Z55+'Moe2 P&amp;L'!Z55</f>
        <v/>
      </c>
      <c r="AA55" s="36">
        <f>SUM(O55:U55)</f>
        <v/>
      </c>
      <c r="AB55" s="36">
        <f>SUM(O55:Z55)</f>
        <v/>
      </c>
      <c r="AC55" s="38">
        <f>'KNL HO'!AC55+'CCL GROUP P&amp;L'!AC55+'YBHN GROUP P&amp;L'!AC55+'YBN Group P&amp;L'!AC55+'HAB'!AC55+'Moe2 P&amp;L'!AC55</f>
        <v/>
      </c>
      <c r="AD55" s="38">
        <f>'KNL HO'!AD55+'CCL GROUP P&amp;L'!AD55+'YBHN GROUP P&amp;L'!AD55+'YBN Group P&amp;L'!AD55+'HAB'!AD55+'Moe2 P&amp;L'!AD55</f>
        <v/>
      </c>
      <c r="AE55" s="38">
        <f>'KNL HO'!AE55+'CCL GROUP P&amp;L'!AE55+'YBHN GROUP P&amp;L'!AE55+'YBN Group P&amp;L'!AE55+'HAB'!AE55+'Moe2 P&amp;L'!AE55</f>
        <v/>
      </c>
      <c r="AF55" s="38">
        <f>'KNL HO'!AF55+'CCL GROUP P&amp;L'!AF55+'YBHN GROUP P&amp;L'!AF55+'YBN Group P&amp;L'!AF55+'HAB'!AF55+'Moe2 P&amp;L'!AF55</f>
        <v/>
      </c>
      <c r="AG55" s="38">
        <f>'KNL HO'!AG55+'CCL GROUP P&amp;L'!AG55+'YBHN GROUP P&amp;L'!AG55+'YBN Group P&amp;L'!AG55+'HAB'!AG55+'Moe2 P&amp;L'!AG55</f>
        <v/>
      </c>
      <c r="AH55" s="38">
        <f>'KNL HO'!AH55+'CCL GROUP P&amp;L'!AH55+'YBHN GROUP P&amp;L'!AH55+'YBN Group P&amp;L'!AH55+'HAB'!AH55+'Moe2 P&amp;L'!AH55</f>
        <v/>
      </c>
      <c r="AI55" s="137">
        <f>'KNL GROUP P&amp;L'!AI55+'CCL GROUP P&amp;L'!AI55+'YBHN GROUP P&amp;L'!AI55+'YBN Group P&amp;L'!AI55+'HAB P&amp;L'!AI55+'Moe2 P&amp;L'!AI55</f>
        <v/>
      </c>
      <c r="AJ55" s="138">
        <f>'KNL GROUP P&amp;L'!AJ55+'CCL GROUP P&amp;L'!AJ55+'YBHN GROUP P&amp;L'!AJ55+'YBN Group P&amp;L'!AJ55+'HAB P&amp;L'!AJ55+'Moe2 P&amp;L'!AJ55</f>
        <v/>
      </c>
      <c r="AK55" s="138">
        <f>'KNL GROUP P&amp;L'!AK55+'CCL GROUP P&amp;L'!AK55+'YBHN GROUP P&amp;L'!AK55+'YBN Group P&amp;L'!AK55+'HAB P&amp;L'!AK55+'Moe2 P&amp;L'!AK55</f>
        <v/>
      </c>
      <c r="AL55" s="138">
        <f>'KNL GROUP P&amp;L'!AL55+'CCL GROUP P&amp;L'!AL55+'YBHN GROUP P&amp;L'!AL55+'YBN Group P&amp;L'!AL55+'HAB P&amp;L'!AL55+'Moe2 P&amp;L'!AL55</f>
        <v/>
      </c>
      <c r="AM55" s="138">
        <f>'KNL GROUP P&amp;L'!AM55+'CCL GROUP P&amp;L'!AM55+'YBHN GROUP P&amp;L'!AM55+'YBN Group P&amp;L'!AM55+'HAB P&amp;L'!AM55+'Moe2 P&amp;L'!AM55</f>
        <v/>
      </c>
      <c r="AN55" s="137">
        <f>'KNL GROUP P&amp;L'!AN55+'CCL GROUP P&amp;L'!AN55+'YBHN GROUP P&amp;L'!AN55+'YBN Group P&amp;L'!AN55+'HAB P&amp;L'!AN55+'Moe2 P&amp;L'!AN55</f>
        <v/>
      </c>
      <c r="AO55" s="120">
        <f>SUM(AC55:AH55)+SUM(AI55:AN55)</f>
        <v/>
      </c>
      <c r="AP55" s="121">
        <f>IF(AB55&lt;&gt;0,(AO55-AB55)/ABS(AB55),0)</f>
        <v/>
      </c>
    </row>
    <row r="56">
      <c r="A56" s="34" t="inlineStr">
        <is>
          <t>HO Pension</t>
        </is>
      </c>
      <c r="B56" s="35" t="n">
        <v>832.4000000000001</v>
      </c>
      <c r="C56" s="35" t="n">
        <v>886.37</v>
      </c>
      <c r="D56" s="35" t="n">
        <v>987.53</v>
      </c>
      <c r="E56" s="35" t="n">
        <v>1010.72</v>
      </c>
      <c r="F56" s="35" t="n">
        <v>917.11</v>
      </c>
      <c r="G56" s="35" t="n">
        <v>900.63</v>
      </c>
      <c r="H56" s="35" t="n">
        <v>1072.08</v>
      </c>
      <c r="I56" s="35" t="n">
        <v>989.58</v>
      </c>
      <c r="J56" s="35" t="n">
        <v>823.79</v>
      </c>
      <c r="K56" s="35" t="n">
        <v>958.6500000000001</v>
      </c>
      <c r="L56" s="35" t="n">
        <v>1038.97</v>
      </c>
      <c r="M56" s="35" t="n">
        <v>980.35</v>
      </c>
      <c r="N56" s="36">
        <f>SUM(B56:M56)</f>
        <v/>
      </c>
      <c r="O56" s="37">
        <f>'ABA'!O56+'BK'!O56+'BW'!O56+'CED'!O56+'HAB'!O56+'HB'!O56+'OD'!O56+'HDN'!O56+'KIN'!O56+'LE'!O56+'MER'!O56+'NDN'!O56+'SALT'!O56+'SDN'!O56+'SST'!O56+'WH'!O56+'FH'!O56+'KNL HO'!O56+'CCL HO'!O56+'YBHN HO'!O56+'YBN HO'!O56</f>
        <v/>
      </c>
      <c r="P56" s="37">
        <f>'ABA'!P56+'BK'!P56+'BW'!P56+'CED'!P56+'HAB'!P56+'HB'!P56+'OD'!P56+'HDN'!P56+'KIN'!P56+'LE'!P56+'MER'!P56+'NDN'!P56+'SALT'!P56+'SDN'!P56+'SST'!P56+'WH'!P56+'FH'!P56+'KNL HO'!P56+'CCL HO'!P56+'YBHN HO'!P56+'YBN HO'!P56</f>
        <v/>
      </c>
      <c r="Q56" s="37">
        <f>'ABA'!Q56+'BK'!Q56+'BW'!Q56+'CED'!Q56+'HAB'!Q56+'HB'!Q56+'OD'!Q56+'HDN'!Q56+'KIN'!Q56+'LE'!Q56+'MER'!Q56+'NDN'!Q56+'SALT'!Q56+'SDN'!Q56+'SST'!Q56+'WH'!Q56+'FH'!Q56+'KNL HO'!Q56+'CCL HO'!Q56+'YBHN HO'!Q56+'YBN HO'!Q56</f>
        <v/>
      </c>
      <c r="R56" s="37">
        <f>'ABA'!R56+'BK'!R56+'BW'!R56+'CED'!R56+'HAB'!R56+'HB'!R56+'OD'!R56+'HDN'!R56+'KIN'!R56+'LE'!R56+'MER'!R56+'NDN'!R56+'SALT'!R56+'SDN'!R56+'SST'!R56+'WH'!R56+'FH'!R56+'KNL HO'!R56+'CCL HO'!R56+'YBHN HO'!R56+'YBN HO'!R56</f>
        <v/>
      </c>
      <c r="S56" s="37">
        <f>'ABA'!S56+'BK'!S56+'BW'!S56+'CED'!S56+'HAB'!S56+'HB'!S56+'OD'!S56+'HDN'!S56+'KIN'!S56+'LE'!S56+'MER'!S56+'NDN'!S56+'SALT'!S56+'SDN'!S56+'SST'!S56+'WH'!S56+'FH'!S56+'KNL HO'!S56+'CCL HO'!S56+'YBHN HO'!S56+'YBN HO'!S56</f>
        <v/>
      </c>
      <c r="T56" s="37">
        <f>'ABA'!T56+'BK'!T56+'BW'!T56+'CED'!T56+'HAB'!T56+'HB'!T56+'OD'!T56+'HDN'!T56+'KIN'!T56+'LE'!T56+'MER'!T56+'NDN'!T56+'SALT'!T56+'SDN'!T56+'SST'!T56+'WH'!T56+'FH'!T56+'KNL HO'!T56+'CCL HO'!T56+'YBHN HO'!T56+'YBN HO'!T56</f>
        <v/>
      </c>
      <c r="U56" s="37">
        <f>'ABA'!U56+'BK'!U56+'BW'!U56+'CED'!U56+'HAB'!U56+'HB'!U56+'OD'!U56+'HDN'!U56+'KIN'!U56+'LE'!U56+'MER'!U56+'NDN'!U56+'SALT'!U56+'SDN'!U56+'SST'!U56+'WH'!U56+'FH'!U56+'KNL HO'!U56+'CCL HO'!U56+'YBHN HO'!U56+'YBN HO'!U56</f>
        <v/>
      </c>
      <c r="V56" s="38">
        <f>'KNL HO'!V56+'CCL GROUP P&amp;L'!V56+'YBHN GROUP P&amp;L'!V56+'YBN Group P&amp;L'!V56+'HAB'!V56+'Moe2 P&amp;L'!V56</f>
        <v/>
      </c>
      <c r="W56" s="38">
        <f>'KNL HO'!W56+'CCL GROUP P&amp;L'!W56+'YBHN GROUP P&amp;L'!W56+'YBN Group P&amp;L'!W56+'HAB'!W56+'Moe2 P&amp;L'!W56</f>
        <v/>
      </c>
      <c r="X56" s="38">
        <f>'KNL HO'!X56+'CCL GROUP P&amp;L'!X56+'YBHN GROUP P&amp;L'!X56+'YBN Group P&amp;L'!X56+'HAB'!X56+'Moe2 P&amp;L'!X56</f>
        <v/>
      </c>
      <c r="Y56" s="38">
        <f>'KNL HO'!Y56+'CCL GROUP P&amp;L'!Y56+'YBHN GROUP P&amp;L'!Y56+'YBN Group P&amp;L'!Y56+'HAB'!Y56+'Moe2 P&amp;L'!Y56</f>
        <v/>
      </c>
      <c r="Z56" s="38">
        <f>'KNL HO'!Z56+'CCL GROUP P&amp;L'!Z56+'YBHN GROUP P&amp;L'!Z56+'YBN Group P&amp;L'!Z56+'HAB'!Z56+'Moe2 P&amp;L'!Z56</f>
        <v/>
      </c>
      <c r="AA56" s="36">
        <f>SUM(O56:U56)</f>
        <v/>
      </c>
      <c r="AB56" s="36">
        <f>SUM(O56:Z56)</f>
        <v/>
      </c>
      <c r="AC56" s="38">
        <f>'KNL HO'!AC56+'CCL GROUP P&amp;L'!AC56+'YBHN GROUP P&amp;L'!AC56+'YBN Group P&amp;L'!AC56+'HAB'!AC56+'Moe2 P&amp;L'!AC56</f>
        <v/>
      </c>
      <c r="AD56" s="38">
        <f>'KNL HO'!AD56+'CCL GROUP P&amp;L'!AD56+'YBHN GROUP P&amp;L'!AD56+'YBN Group P&amp;L'!AD56+'HAB'!AD56+'Moe2 P&amp;L'!AD56</f>
        <v/>
      </c>
      <c r="AE56" s="38">
        <f>'KNL HO'!AE56+'CCL GROUP P&amp;L'!AE56+'YBHN GROUP P&amp;L'!AE56+'YBN Group P&amp;L'!AE56+'HAB'!AE56+'Moe2 P&amp;L'!AE56</f>
        <v/>
      </c>
      <c r="AF56" s="38">
        <f>'KNL HO'!AF56+'CCL GROUP P&amp;L'!AF56+'YBHN GROUP P&amp;L'!AF56+'YBN Group P&amp;L'!AF56+'HAB'!AF56+'Moe2 P&amp;L'!AF56</f>
        <v/>
      </c>
      <c r="AG56" s="38">
        <f>'KNL HO'!AG56+'CCL GROUP P&amp;L'!AG56+'YBHN GROUP P&amp;L'!AG56+'YBN Group P&amp;L'!AG56+'HAB'!AG56+'Moe2 P&amp;L'!AG56</f>
        <v/>
      </c>
      <c r="AH56" s="38">
        <f>'KNL HO'!AH56+'CCL GROUP P&amp;L'!AH56+'YBHN GROUP P&amp;L'!AH56+'YBN Group P&amp;L'!AH56+'HAB'!AH56+'Moe2 P&amp;L'!AH56</f>
        <v/>
      </c>
      <c r="AI56" s="137">
        <f>'KNL GROUP P&amp;L'!AI56+'CCL GROUP P&amp;L'!AI56+'YBHN GROUP P&amp;L'!AI56+'YBN Group P&amp;L'!AI56+'HAB P&amp;L'!AI56+'Moe2 P&amp;L'!AI56</f>
        <v/>
      </c>
      <c r="AJ56" s="138">
        <f>'KNL GROUP P&amp;L'!AJ56+'CCL GROUP P&amp;L'!AJ56+'YBHN GROUP P&amp;L'!AJ56+'YBN Group P&amp;L'!AJ56+'HAB P&amp;L'!AJ56+'Moe2 P&amp;L'!AJ56</f>
        <v/>
      </c>
      <c r="AK56" s="138">
        <f>'KNL GROUP P&amp;L'!AK56+'CCL GROUP P&amp;L'!AK56+'YBHN GROUP P&amp;L'!AK56+'YBN Group P&amp;L'!AK56+'HAB P&amp;L'!AK56+'Moe2 P&amp;L'!AK56</f>
        <v/>
      </c>
      <c r="AL56" s="138">
        <f>'KNL GROUP P&amp;L'!AL56+'CCL GROUP P&amp;L'!AL56+'YBHN GROUP P&amp;L'!AL56+'YBN Group P&amp;L'!AL56+'HAB P&amp;L'!AL56+'Moe2 P&amp;L'!AL56</f>
        <v/>
      </c>
      <c r="AM56" s="138">
        <f>'KNL GROUP P&amp;L'!AM56+'CCL GROUP P&amp;L'!AM56+'YBHN GROUP P&amp;L'!AM56+'YBN Group P&amp;L'!AM56+'HAB P&amp;L'!AM56+'Moe2 P&amp;L'!AM56</f>
        <v/>
      </c>
      <c r="AN56" s="137">
        <f>'KNL GROUP P&amp;L'!AN56+'CCL GROUP P&amp;L'!AN56+'YBHN GROUP P&amp;L'!AN56+'YBN Group P&amp;L'!AN56+'HAB P&amp;L'!AN56+'Moe2 P&amp;L'!AN56</f>
        <v/>
      </c>
      <c r="AO56" s="120">
        <f>SUM(AC56:AH56)+SUM(AI56:AN56)</f>
        <v/>
      </c>
      <c r="AP56" s="121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769.91</v>
      </c>
      <c r="J57" s="35" t="n">
        <v>16814</v>
      </c>
      <c r="K57" s="35" t="n">
        <v>492</v>
      </c>
      <c r="L57" s="35" t="n">
        <v>1431.15</v>
      </c>
      <c r="M57" s="35" t="n">
        <v>4073.23</v>
      </c>
      <c r="N57" s="36">
        <f>SUM(B57:M57)</f>
        <v/>
      </c>
      <c r="O57" s="37">
        <f>'ABA'!O57+'BK'!O57+'BW'!O57+'CED'!O57+'HAB'!O57+'HB'!O57+'OD'!O57+'HDN'!O57+'KIN'!O57+'LE'!O57+'MER'!O57+'NDN'!O57+'SALT'!O57+'SDN'!O57+'SST'!O57+'WH'!O57+'FH'!O57+'KNL HO'!O57+'CCL HO'!O57+'YBHN HO'!O57+'YBN HO'!O57</f>
        <v/>
      </c>
      <c r="P57" s="37">
        <f>'ABA'!P57+'BK'!P57+'BW'!P57+'CED'!P57+'HAB'!P57+'HB'!P57+'OD'!P57+'HDN'!P57+'KIN'!P57+'LE'!P57+'MER'!P57+'NDN'!P57+'SALT'!P57+'SDN'!P57+'SST'!P57+'WH'!P57+'FH'!P57+'KNL HO'!P57+'CCL HO'!P57+'YBHN HO'!P57+'YBN HO'!P57</f>
        <v/>
      </c>
      <c r="Q57" s="37">
        <f>'ABA'!Q57+'BK'!Q57+'BW'!Q57+'CED'!Q57+'HAB'!Q57+'HB'!Q57+'OD'!Q57+'HDN'!Q57+'KIN'!Q57+'LE'!Q57+'MER'!Q57+'NDN'!Q57+'SALT'!Q57+'SDN'!Q57+'SST'!Q57+'WH'!Q57+'FH'!Q57+'KNL HO'!Q57+'CCL HO'!Q57+'YBHN HO'!Q57+'YBN HO'!Q57</f>
        <v/>
      </c>
      <c r="R57" s="37">
        <f>'ABA'!R57+'BK'!R57+'BW'!R57+'CED'!R57+'HAB'!R57+'HB'!R57+'OD'!R57+'HDN'!R57+'KIN'!R57+'LE'!R57+'MER'!R57+'NDN'!R57+'SALT'!R57+'SDN'!R57+'SST'!R57+'WH'!R57+'FH'!R57+'KNL HO'!R57+'CCL HO'!R57+'YBHN HO'!R57+'YBN HO'!R57</f>
        <v/>
      </c>
      <c r="S57" s="37">
        <f>'ABA'!S57+'BK'!S57+'BW'!S57+'CED'!S57+'HAB'!S57+'HB'!S57+'OD'!S57+'HDN'!S57+'KIN'!S57+'LE'!S57+'MER'!S57+'NDN'!S57+'SALT'!S57+'SDN'!S57+'SST'!S57+'WH'!S57+'FH'!S57+'KNL HO'!S57+'CCL HO'!S57+'YBHN HO'!S57+'YBN HO'!S57</f>
        <v/>
      </c>
      <c r="T57" s="37">
        <f>'ABA'!T57+'BK'!T57+'BW'!T57+'CED'!T57+'HAB'!T57+'HB'!T57+'OD'!T57+'HDN'!T57+'KIN'!T57+'LE'!T57+'MER'!T57+'NDN'!T57+'SALT'!T57+'SDN'!T57+'SST'!T57+'WH'!T57+'FH'!T57+'KNL HO'!T57+'CCL HO'!T57+'YBHN HO'!T57+'YBN HO'!T57</f>
        <v/>
      </c>
      <c r="U57" s="37">
        <f>'ABA'!U57+'BK'!U57+'BW'!U57+'CED'!U57+'HAB'!U57+'HB'!U57+'OD'!U57+'HDN'!U57+'KIN'!U57+'LE'!U57+'MER'!U57+'NDN'!U57+'SALT'!U57+'SDN'!U57+'SST'!U57+'WH'!U57+'FH'!U57+'KNL HO'!U57+'CCL HO'!U57+'YBHN HO'!U57+'YBN HO'!U57</f>
        <v/>
      </c>
      <c r="V57" s="38">
        <f>'KNL HO'!V57+'CCL GROUP P&amp;L'!V57+'YBHN GROUP P&amp;L'!V57+'YBN Group P&amp;L'!V57+'HAB'!V57+'Moe2 P&amp;L'!V57</f>
        <v/>
      </c>
      <c r="W57" s="38">
        <f>'KNL HO'!W57+'CCL GROUP P&amp;L'!W57+'YBHN GROUP P&amp;L'!W57+'YBN Group P&amp;L'!W57+'HAB'!W57+'Moe2 P&amp;L'!W57</f>
        <v/>
      </c>
      <c r="X57" s="38">
        <f>'KNL HO'!X57+'CCL GROUP P&amp;L'!X57+'YBHN GROUP P&amp;L'!X57+'YBN Group P&amp;L'!X57+'HAB'!X57+'Moe2 P&amp;L'!X57</f>
        <v/>
      </c>
      <c r="Y57" s="38">
        <f>'KNL HO'!Y57+'CCL GROUP P&amp;L'!Y57+'YBHN GROUP P&amp;L'!Y57+'YBN Group P&amp;L'!Y57+'HAB'!Y57+'Moe2 P&amp;L'!Y57</f>
        <v/>
      </c>
      <c r="Z57" s="38">
        <f>'KNL HO'!Z57+'CCL GROUP P&amp;L'!Z57+'YBHN GROUP P&amp;L'!Z57+'YBN Group P&amp;L'!Z57+'HAB'!Z57+'Moe2 P&amp;L'!Z57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37">
        <f>19*30</f>
        <v/>
      </c>
      <c r="AJ57" s="138">
        <f>19*30</f>
        <v/>
      </c>
      <c r="AK57" s="138">
        <f>19*30</f>
        <v/>
      </c>
      <c r="AL57" s="138">
        <f>19*30</f>
        <v/>
      </c>
      <c r="AM57" s="138">
        <f>19*30</f>
        <v/>
      </c>
      <c r="AN57" s="137">
        <f>19*30</f>
        <v/>
      </c>
      <c r="AO57" s="120">
        <f>SUM(AC57:AH57)+SUM(AI57:AN57)</f>
        <v/>
      </c>
      <c r="AP57" s="121">
        <f>IF(AB57&lt;&gt;0,(AO57-AB57)/ABS(AB57),0)</f>
        <v/>
      </c>
    </row>
    <row r="58">
      <c r="A58" s="34" t="inlineStr">
        <is>
          <t>Business Insurance</t>
        </is>
      </c>
      <c r="B58" s="35" t="n">
        <v>6249.72</v>
      </c>
      <c r="C58" s="35" t="n">
        <v>6249.72</v>
      </c>
      <c r="D58" s="35" t="n">
        <v>6249.72</v>
      </c>
      <c r="E58" s="35" t="n">
        <v>6249.72</v>
      </c>
      <c r="F58" s="35" t="n">
        <v>6249.72</v>
      </c>
      <c r="G58" s="35" t="n">
        <v>6254.009999999999</v>
      </c>
      <c r="H58" s="35" t="n">
        <v>6254.009999999999</v>
      </c>
      <c r="I58" s="35" t="n">
        <v>6317.28</v>
      </c>
      <c r="J58" s="35" t="n">
        <v>6317.28</v>
      </c>
      <c r="K58" s="35" t="n">
        <v>6317.28</v>
      </c>
      <c r="L58" s="35" t="n">
        <v>6620.54</v>
      </c>
      <c r="M58" s="35" t="n">
        <v>6279.14</v>
      </c>
      <c r="N58" s="36">
        <f>SUM(B58:M58)</f>
        <v/>
      </c>
      <c r="O58" s="37">
        <f>'ABA'!O58+'BK'!O58+'BW'!O58+'CED'!O58+'HAB'!O58+'HB'!O58+'OD'!O58+'HDN'!O58+'KIN'!O58+'LE'!O58+'MER'!O58+'NDN'!O58+'SALT'!O58+'SDN'!O58+'SST'!O58+'WH'!O58+'FH'!O58+'KNL HO'!O58+'CCL HO'!O58+'YBHN HO'!O58+'YBN HO'!O58</f>
        <v/>
      </c>
      <c r="P58" s="37">
        <f>'ABA'!P58+'BK'!P58+'BW'!P58+'CED'!P58+'HAB'!P58+'HB'!P58+'OD'!P58+'HDN'!P58+'KIN'!P58+'LE'!P58+'MER'!P58+'NDN'!P58+'SALT'!P58+'SDN'!P58+'SST'!P58+'WH'!P58+'FH'!P58+'KNL HO'!P58+'CCL HO'!P58+'YBHN HO'!P58+'YBN HO'!P58</f>
        <v/>
      </c>
      <c r="Q58" s="37">
        <f>'ABA'!Q58+'BK'!Q58+'BW'!Q58+'CED'!Q58+'HAB'!Q58+'HB'!Q58+'OD'!Q58+'HDN'!Q58+'KIN'!Q58+'LE'!Q58+'MER'!Q58+'NDN'!Q58+'SALT'!Q58+'SDN'!Q58+'SST'!Q58+'WH'!Q58+'FH'!Q58+'KNL HO'!Q58+'CCL HO'!Q58+'YBHN HO'!Q58+'YBN HO'!Q58</f>
        <v/>
      </c>
      <c r="R58" s="37">
        <f>'ABA'!R58+'BK'!R58+'BW'!R58+'CED'!R58+'HAB'!R58+'HB'!R58+'OD'!R58+'HDN'!R58+'KIN'!R58+'LE'!R58+'MER'!R58+'NDN'!R58+'SALT'!R58+'SDN'!R58+'SST'!R58+'WH'!R58+'FH'!R58+'KNL HO'!R58+'CCL HO'!R58+'YBHN HO'!R58+'YBN HO'!R58</f>
        <v/>
      </c>
      <c r="S58" s="37">
        <f>'ABA'!S58+'BK'!S58+'BW'!S58+'CED'!S58+'HAB'!S58+'HB'!S58+'OD'!S58+'HDN'!S58+'KIN'!S58+'LE'!S58+'MER'!S58+'NDN'!S58+'SALT'!S58+'SDN'!S58+'SST'!S58+'WH'!S58+'FH'!S58+'KNL HO'!S58+'CCL HO'!S58+'YBHN HO'!S58+'YBN HO'!S58</f>
        <v/>
      </c>
      <c r="T58" s="37">
        <f>'ABA'!T58+'BK'!T58+'BW'!T58+'CED'!T58+'HAB'!T58+'HB'!T58+'OD'!T58+'HDN'!T58+'KIN'!T58+'LE'!T58+'MER'!T58+'NDN'!T58+'SALT'!T58+'SDN'!T58+'SST'!T58+'WH'!T58+'FH'!T58+'KNL HO'!T58+'CCL HO'!T58+'YBHN HO'!T58+'YBN HO'!T58</f>
        <v/>
      </c>
      <c r="U58" s="37">
        <f>'ABA'!U58+'BK'!U58+'BW'!U58+'CED'!U58+'HAB'!U58+'HB'!U58+'OD'!U58+'HDN'!U58+'KIN'!U58+'LE'!U58+'MER'!U58+'NDN'!U58+'SALT'!U58+'SDN'!U58+'SST'!U58+'WH'!U58+'FH'!U58+'KNL HO'!U58+'CCL HO'!U58+'YBHN HO'!U58+'YBN HO'!U58</f>
        <v/>
      </c>
      <c r="V58" s="38">
        <f>'KNL HO'!V58+'CCL GROUP P&amp;L'!V58+'YBHN GROUP P&amp;L'!V58+'YBN Group P&amp;L'!V58+'HAB'!V58+'Moe2 P&amp;L'!V58</f>
        <v/>
      </c>
      <c r="W58" s="38">
        <f>'KNL HO'!W58+'CCL GROUP P&amp;L'!W58+'YBHN GROUP P&amp;L'!W58+'YBN Group P&amp;L'!W58+'HAB'!W58+'Moe2 P&amp;L'!W58</f>
        <v/>
      </c>
      <c r="X58" s="38">
        <f>'KNL HO'!X58+'CCL GROUP P&amp;L'!X58+'YBHN GROUP P&amp;L'!X58+'YBN Group P&amp;L'!X58+'HAB'!X58+'Moe2 P&amp;L'!X58</f>
        <v/>
      </c>
      <c r="Y58" s="38">
        <f>'KNL HO'!Y58+'CCL GROUP P&amp;L'!Y58+'YBHN GROUP P&amp;L'!Y58+'YBN Group P&amp;L'!Y58+'HAB'!Y58+'Moe2 P&amp;L'!Y58</f>
        <v/>
      </c>
      <c r="Z58" s="38">
        <f>'KNL HO'!Z58+'CCL GROUP P&amp;L'!Z58+'YBHN GROUP P&amp;L'!Z58+'YBN Group P&amp;L'!Z58+'HAB'!Z58+'Moe2 P&amp;L'!Z58</f>
        <v/>
      </c>
      <c r="AA58" s="36">
        <f>SUM(O58:U58)</f>
        <v/>
      </c>
      <c r="AB58" s="36">
        <f>SUM(O58:Z58)</f>
        <v/>
      </c>
      <c r="AC58" s="38">
        <f>'KNL HO'!AC58+'CCL GROUP P&amp;L'!AC58+'YBHN GROUP P&amp;L'!AC58+'YBN Group P&amp;L'!AC58+'HAB'!AC58+'Moe2 P&amp;L'!AC58</f>
        <v/>
      </c>
      <c r="AD58" s="38">
        <f>'KNL HO'!AD58+'CCL GROUP P&amp;L'!AD58+'YBHN GROUP P&amp;L'!AD58+'YBN Group P&amp;L'!AD58+'HAB'!AD58+'Moe2 P&amp;L'!AD58</f>
        <v/>
      </c>
      <c r="AE58" s="38">
        <f>'KNL HO'!AE58+'CCL GROUP P&amp;L'!AE58+'YBHN GROUP P&amp;L'!AE58+'YBN Group P&amp;L'!AE58+'HAB'!AE58+'Moe2 P&amp;L'!AE58</f>
        <v/>
      </c>
      <c r="AF58" s="38">
        <f>'KNL HO'!AF58+'CCL GROUP P&amp;L'!AF58+'YBHN GROUP P&amp;L'!AF58+'YBN Group P&amp;L'!AF58+'HAB'!AF58+'Moe2 P&amp;L'!AF58</f>
        <v/>
      </c>
      <c r="AG58" s="38">
        <f>'KNL HO'!AG58+'CCL GROUP P&amp;L'!AG58+'YBHN GROUP P&amp;L'!AG58+'YBN Group P&amp;L'!AG58+'HAB'!AG58+'Moe2 P&amp;L'!AG58</f>
        <v/>
      </c>
      <c r="AH58" s="38">
        <f>'KNL HO'!AH58+'CCL GROUP P&amp;L'!AH58+'YBHN GROUP P&amp;L'!AH58+'YBN Group P&amp;L'!AH58+'HAB'!AH58+'Moe2 P&amp;L'!AH58</f>
        <v/>
      </c>
      <c r="AI58" s="137">
        <f>'KNL GROUP P&amp;L'!AI58+'CCL GROUP P&amp;L'!AI58+'YBHN GROUP P&amp;L'!AI58+'YBN Group P&amp;L'!AI58+'HAB P&amp;L'!AI58+'Moe2 P&amp;L'!AI58</f>
        <v/>
      </c>
      <c r="AJ58" s="138">
        <f>'KNL GROUP P&amp;L'!AJ58+'CCL GROUP P&amp;L'!AJ58+'YBHN GROUP P&amp;L'!AJ58+'YBN Group P&amp;L'!AJ58+'HAB P&amp;L'!AJ58+'Moe2 P&amp;L'!AJ58</f>
        <v/>
      </c>
      <c r="AK58" s="138">
        <f>'KNL GROUP P&amp;L'!AK58+'CCL GROUP P&amp;L'!AK58+'YBHN GROUP P&amp;L'!AK58+'YBN Group P&amp;L'!AK58+'HAB P&amp;L'!AK58+'Moe2 P&amp;L'!AK58</f>
        <v/>
      </c>
      <c r="AL58" s="138">
        <f>'KNL GROUP P&amp;L'!AL58+'CCL GROUP P&amp;L'!AL58+'YBHN GROUP P&amp;L'!AL58+'YBN Group P&amp;L'!AL58+'HAB P&amp;L'!AL58+'Moe2 P&amp;L'!AL58</f>
        <v/>
      </c>
      <c r="AM58" s="138">
        <f>'KNL GROUP P&amp;L'!AM58+'CCL GROUP P&amp;L'!AM58+'YBHN GROUP P&amp;L'!AM58+'YBN Group P&amp;L'!AM58+'HAB P&amp;L'!AM58+'Moe2 P&amp;L'!AM58</f>
        <v/>
      </c>
      <c r="AN58" s="137">
        <f>'KNL GROUP P&amp;L'!AN58+'CCL GROUP P&amp;L'!AN58+'YBHN GROUP P&amp;L'!AN58+'YBN Group P&amp;L'!AN58+'HAB P&amp;L'!AN58+'Moe2 P&amp;L'!AN58</f>
        <v/>
      </c>
      <c r="AO58" s="120">
        <f>SUM(AC58:AH58)+SUM(AI58:AN58)</f>
        <v/>
      </c>
      <c r="AP58" s="121">
        <f>IF(AB58&lt;&gt;0,(AO58-AB58)/ABS(AB58),0)</f>
        <v/>
      </c>
    </row>
    <row r="59">
      <c r="A59" s="34" t="inlineStr">
        <is>
          <t>IT Support</t>
        </is>
      </c>
      <c r="B59" s="35" t="n">
        <v>5799.950000000002</v>
      </c>
      <c r="C59" s="35" t="n">
        <v>6701.59</v>
      </c>
      <c r="D59" s="35" t="n">
        <v>5239.389999999999</v>
      </c>
      <c r="E59" s="35" t="n">
        <v>5239.42</v>
      </c>
      <c r="F59" s="35" t="n">
        <v>4576.87</v>
      </c>
      <c r="G59" s="35" t="n">
        <v>6111.720000000001</v>
      </c>
      <c r="H59" s="35" t="n">
        <v>5448.22</v>
      </c>
      <c r="I59" s="35" t="n">
        <v>7220.200000000001</v>
      </c>
      <c r="J59" s="35" t="n">
        <v>12260.18</v>
      </c>
      <c r="K59" s="35" t="n">
        <v>5634.940000000001</v>
      </c>
      <c r="L59" s="35" t="n">
        <v>6329.940000000002</v>
      </c>
      <c r="M59" s="35" t="n">
        <v>6639.720000000002</v>
      </c>
      <c r="N59" s="36">
        <f>SUM(B59:M59)</f>
        <v/>
      </c>
      <c r="O59" s="37">
        <f>'ABA'!O59+'BK'!O59+'BW'!O59+'CED'!O59+'HAB'!O59+'HB'!O59+'OD'!O59+'HDN'!O59+'KIN'!O59+'LE'!O59+'MER'!O59+'NDN'!O59+'SALT'!O59+'SDN'!O59+'SST'!O59+'WH'!O59+'FH'!O59+'KNL HO'!O59+'CCL HO'!O59+'YBHN HO'!O59+'YBN HO'!O59</f>
        <v/>
      </c>
      <c r="P59" s="37">
        <f>'ABA'!P59+'BK'!P59+'BW'!P59+'CED'!P59+'HAB'!P59+'HB'!P59+'OD'!P59+'HDN'!P59+'KIN'!P59+'LE'!P59+'MER'!P59+'NDN'!P59+'SALT'!P59+'SDN'!P59+'SST'!P59+'WH'!P59+'FH'!P59+'KNL HO'!P59+'CCL HO'!P59+'YBHN HO'!P59+'YBN HO'!P59</f>
        <v/>
      </c>
      <c r="Q59" s="37">
        <f>'ABA'!Q59+'BK'!Q59+'BW'!Q59+'CED'!Q59+'HAB'!Q59+'HB'!Q59+'OD'!Q59+'HDN'!Q59+'KIN'!Q59+'LE'!Q59+'MER'!Q59+'NDN'!Q59+'SALT'!Q59+'SDN'!Q59+'SST'!Q59+'WH'!Q59+'FH'!Q59+'KNL HO'!Q59+'CCL HO'!Q59+'YBHN HO'!Q59+'YBN HO'!Q59</f>
        <v/>
      </c>
      <c r="R59" s="37">
        <f>'ABA'!R59+'BK'!R59+'BW'!R59+'CED'!R59+'HAB'!R59+'HB'!R59+'OD'!R59+'HDN'!R59+'KIN'!R59+'LE'!R59+'MER'!R59+'NDN'!R59+'SALT'!R59+'SDN'!R59+'SST'!R59+'WH'!R59+'FH'!R59+'KNL HO'!R59+'CCL HO'!R59+'YBHN HO'!R59+'YBN HO'!R59</f>
        <v/>
      </c>
      <c r="S59" s="37">
        <f>'ABA'!S59+'BK'!S59+'BW'!S59+'CED'!S59+'HAB'!S59+'HB'!S59+'OD'!S59+'HDN'!S59+'KIN'!S59+'LE'!S59+'MER'!S59+'NDN'!S59+'SALT'!S59+'SDN'!S59+'SST'!S59+'WH'!S59+'FH'!S59+'KNL HO'!S59+'CCL HO'!S59+'YBHN HO'!S59+'YBN HO'!S59</f>
        <v/>
      </c>
      <c r="T59" s="37">
        <f>'ABA'!T59+'BK'!T59+'BW'!T59+'CED'!T59+'HAB'!T59+'HB'!T59+'OD'!T59+'HDN'!T59+'KIN'!T59+'LE'!T59+'MER'!T59+'NDN'!T59+'SALT'!T59+'SDN'!T59+'SST'!T59+'WH'!T59+'FH'!T59+'KNL HO'!T59+'CCL HO'!T59+'YBHN HO'!T59+'YBN HO'!T59</f>
        <v/>
      </c>
      <c r="U59" s="37">
        <f>'ABA'!U59+'BK'!U59+'BW'!U59+'CED'!U59+'HAB'!U59+'HB'!U59+'OD'!U59+'HDN'!U59+'KIN'!U59+'LE'!U59+'MER'!U59+'NDN'!U59+'SALT'!U59+'SDN'!U59+'SST'!U59+'WH'!U59+'FH'!U59+'KNL HO'!U59+'CCL HO'!U59+'YBHN HO'!U59+'YBN HO'!U59</f>
        <v/>
      </c>
      <c r="V59" s="38">
        <f>'KNL HO'!V59+'CCL GROUP P&amp;L'!V59+'YBHN GROUP P&amp;L'!V59+'YBN Group P&amp;L'!V59+'HAB'!V59+'Moe2 P&amp;L'!V59</f>
        <v/>
      </c>
      <c r="W59" s="38">
        <f>'KNL HO'!W59+'CCL GROUP P&amp;L'!W59+'YBHN GROUP P&amp;L'!W59+'YBN Group P&amp;L'!W59+'HAB'!W59+'Moe2 P&amp;L'!W59</f>
        <v/>
      </c>
      <c r="X59" s="38">
        <f>'KNL HO'!X59+'CCL GROUP P&amp;L'!X59+'YBHN GROUP P&amp;L'!X59+'YBN Group P&amp;L'!X59+'HAB'!X59+'Moe2 P&amp;L'!X59</f>
        <v/>
      </c>
      <c r="Y59" s="38">
        <f>'KNL HO'!Y59+'CCL GROUP P&amp;L'!Y59+'YBHN GROUP P&amp;L'!Y59+'YBN Group P&amp;L'!Y59+'HAB'!Y59+'Moe2 P&amp;L'!Y59</f>
        <v/>
      </c>
      <c r="Z59" s="38">
        <f>'KNL HO'!Z59+'CCL GROUP P&amp;L'!Z59+'YBHN GROUP P&amp;L'!Z59+'YBN Group P&amp;L'!Z59+'HAB'!Z59+'Moe2 P&amp;L'!Z59</f>
        <v/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37">
        <f>215*1.06</f>
        <v/>
      </c>
      <c r="AJ59" s="138">
        <f>215*1.06</f>
        <v/>
      </c>
      <c r="AK59" s="138">
        <f>215*1.06</f>
        <v/>
      </c>
      <c r="AL59" s="138">
        <f>215*1.06</f>
        <v/>
      </c>
      <c r="AM59" s="138">
        <f>215*1.06</f>
        <v/>
      </c>
      <c r="AN59" s="137">
        <f>215*1.06</f>
        <v/>
      </c>
      <c r="AO59" s="120">
        <f>SUM(AC59:AH59)+SUM(AI59:AN59)</f>
        <v/>
      </c>
      <c r="AP59" s="121">
        <f>IF(AB59&lt;&gt;0,(AO59-AB59)/ABS(AB59),0)</f>
        <v/>
      </c>
    </row>
    <row r="60">
      <c r="A60" s="34" t="inlineStr">
        <is>
          <t>Fees &amp; Subscriptions</t>
        </is>
      </c>
      <c r="B60" s="35" t="n">
        <v>3006.489999999998</v>
      </c>
      <c r="C60" s="35" t="n">
        <v>1240.21</v>
      </c>
      <c r="D60" s="35" t="n">
        <v>2135.16</v>
      </c>
      <c r="E60" s="35" t="n">
        <v>1707.609999999999</v>
      </c>
      <c r="F60" s="35" t="n">
        <v>774.9300000000001</v>
      </c>
      <c r="G60" s="35" t="n">
        <v>1888.42</v>
      </c>
      <c r="H60" s="35" t="n">
        <v>783.0400000000002</v>
      </c>
      <c r="I60" s="35" t="n">
        <v>760.6800000000002</v>
      </c>
      <c r="J60" s="35" t="n">
        <v>1067.700000000001</v>
      </c>
      <c r="K60" s="35" t="n">
        <v>2456.52</v>
      </c>
      <c r="L60" s="35" t="n">
        <v>1668.72</v>
      </c>
      <c r="M60" s="35" t="n">
        <v>3469.42</v>
      </c>
      <c r="N60" s="36">
        <f>SUM(B60:M60)</f>
        <v/>
      </c>
      <c r="O60" s="37">
        <f>'ABA'!O60+'BK'!O60+'BW'!O60+'CED'!O60+'HAB'!O60+'HB'!O60+'OD'!O60+'HDN'!O60+'KIN'!O60+'LE'!O60+'MER'!O60+'NDN'!O60+'SALT'!O60+'SDN'!O60+'SST'!O60+'WH'!O60+'FH'!O60+'KNL HO'!O60+'CCL HO'!O60+'YBHN HO'!O60+'YBN HO'!O60</f>
        <v/>
      </c>
      <c r="P60" s="37">
        <f>'ABA'!P60+'BK'!P60+'BW'!P60+'CED'!P60+'HAB'!P60+'HB'!P60+'OD'!P60+'HDN'!P60+'KIN'!P60+'LE'!P60+'MER'!P60+'NDN'!P60+'SALT'!P60+'SDN'!P60+'SST'!P60+'WH'!P60+'FH'!P60+'KNL HO'!P60+'CCL HO'!P60+'YBHN HO'!P60+'YBN HO'!P60</f>
        <v/>
      </c>
      <c r="Q60" s="37">
        <f>'ABA'!Q60+'BK'!Q60+'BW'!Q60+'CED'!Q60+'HAB'!Q60+'HB'!Q60+'OD'!Q60+'HDN'!Q60+'KIN'!Q60+'LE'!Q60+'MER'!Q60+'NDN'!Q60+'SALT'!Q60+'SDN'!Q60+'SST'!Q60+'WH'!Q60+'FH'!Q60+'KNL HO'!Q60+'CCL HO'!Q60+'YBHN HO'!Q60+'YBN HO'!Q60</f>
        <v/>
      </c>
      <c r="R60" s="37">
        <f>'ABA'!R60+'BK'!R60+'BW'!R60+'CED'!R60+'HAB'!R60+'HB'!R60+'OD'!R60+'HDN'!R60+'KIN'!R60+'LE'!R60+'MER'!R60+'NDN'!R60+'SALT'!R60+'SDN'!R60+'SST'!R60+'WH'!R60+'FH'!R60+'KNL HO'!R60+'CCL HO'!R60+'YBHN HO'!R60+'YBN HO'!R60</f>
        <v/>
      </c>
      <c r="S60" s="37">
        <f>'ABA'!S60+'BK'!S60+'BW'!S60+'CED'!S60+'HAB'!S60+'HB'!S60+'OD'!S60+'HDN'!S60+'KIN'!S60+'LE'!S60+'MER'!S60+'NDN'!S60+'SALT'!S60+'SDN'!S60+'SST'!S60+'WH'!S60+'FH'!S60+'KNL HO'!S60+'CCL HO'!S60+'YBHN HO'!S60+'YBN HO'!S60</f>
        <v/>
      </c>
      <c r="T60" s="37">
        <f>'ABA'!T60+'BK'!T60+'BW'!T60+'CED'!T60+'HAB'!T60+'HB'!T60+'OD'!T60+'HDN'!T60+'KIN'!T60+'LE'!T60+'MER'!T60+'NDN'!T60+'SALT'!T60+'SDN'!T60+'SST'!T60+'WH'!T60+'FH'!T60+'KNL HO'!T60+'CCL HO'!T60+'YBHN HO'!T60+'YBN HO'!T60</f>
        <v/>
      </c>
      <c r="U60" s="37">
        <f>'ABA'!U60+'BK'!U60+'BW'!U60+'CED'!U60+'HAB'!U60+'HB'!U60+'OD'!U60+'HDN'!U60+'KIN'!U60+'LE'!U60+'MER'!U60+'NDN'!U60+'SALT'!U60+'SDN'!U60+'SST'!U60+'WH'!U60+'FH'!U60+'KNL HO'!U60+'CCL HO'!U60+'YBHN HO'!U60+'YBN HO'!U60</f>
        <v/>
      </c>
      <c r="V60" s="38">
        <f>'KNL HO'!V60+'CCL GROUP P&amp;L'!V60+'YBHN GROUP P&amp;L'!V60+'YBN Group P&amp;L'!V60+'HAB'!V60+'Moe2 P&amp;L'!V60</f>
        <v/>
      </c>
      <c r="W60" s="38">
        <f>'KNL HO'!W60+'CCL GROUP P&amp;L'!W60+'YBHN GROUP P&amp;L'!W60+'YBN Group P&amp;L'!W60+'HAB'!W60+'Moe2 P&amp;L'!W60</f>
        <v/>
      </c>
      <c r="X60" s="38">
        <f>'KNL HO'!X60+'CCL GROUP P&amp;L'!X60+'YBHN GROUP P&amp;L'!X60+'YBN Group P&amp;L'!X60+'HAB'!X60+'Moe2 P&amp;L'!X60</f>
        <v/>
      </c>
      <c r="Y60" s="38">
        <f>'KNL HO'!Y60+'CCL GROUP P&amp;L'!Y60+'YBHN GROUP P&amp;L'!Y60+'YBN Group P&amp;L'!Y60+'HAB'!Y60+'Moe2 P&amp;L'!Y60</f>
        <v/>
      </c>
      <c r="Z60" s="38">
        <f>'KNL HO'!Z60+'CCL GROUP P&amp;L'!Z60+'YBHN GROUP P&amp;L'!Z60+'YBN Group P&amp;L'!Z60+'HAB'!Z60+'Moe2 P&amp;L'!Z60</f>
        <v/>
      </c>
      <c r="AA60" s="36">
        <f>SUM(O60:U60)</f>
        <v/>
      </c>
      <c r="AB60" s="36">
        <f>SUM(O60:Z60)</f>
        <v/>
      </c>
      <c r="AC60" s="38">
        <f>'KNL HO'!AC60+'CCL GROUP P&amp;L'!AC60+'YBHN GROUP P&amp;L'!AC60+'YBN Group P&amp;L'!AC60+'HAB'!AC60+'Moe2 P&amp;L'!AC60</f>
        <v/>
      </c>
      <c r="AD60" s="38">
        <f>'KNL HO'!AD60+'CCL GROUP P&amp;L'!AD60+'YBHN GROUP P&amp;L'!AD60+'YBN Group P&amp;L'!AD60+'HAB'!AD60+'Moe2 P&amp;L'!AD60</f>
        <v/>
      </c>
      <c r="AE60" s="38">
        <f>'KNL HO'!AE60+'CCL GROUP P&amp;L'!AE60+'YBHN GROUP P&amp;L'!AE60+'YBN Group P&amp;L'!AE60+'HAB'!AE60+'Moe2 P&amp;L'!AE60</f>
        <v/>
      </c>
      <c r="AF60" s="38">
        <f>'KNL HO'!AF60+'CCL GROUP P&amp;L'!AF60+'YBHN GROUP P&amp;L'!AF60+'YBN Group P&amp;L'!AF60+'HAB'!AF60+'Moe2 P&amp;L'!AF60</f>
        <v/>
      </c>
      <c r="AG60" s="38">
        <f>'KNL HO'!AG60+'CCL GROUP P&amp;L'!AG60+'YBHN GROUP P&amp;L'!AG60+'YBN Group P&amp;L'!AG60+'HAB'!AG60+'Moe2 P&amp;L'!AG60</f>
        <v/>
      </c>
      <c r="AH60" s="38">
        <f>'KNL HO'!AH60+'CCL GROUP P&amp;L'!AH60+'YBHN GROUP P&amp;L'!AH60+'YBN Group P&amp;L'!AH60+'HAB'!AH60+'Moe2 P&amp;L'!AH60</f>
        <v/>
      </c>
      <c r="AI60" s="137">
        <f>'KNL GROUP P&amp;L'!AI60+'CCL GROUP P&amp;L'!AI60+'YBHN GROUP P&amp;L'!AI60+'YBN Group P&amp;L'!AI60+'HAB P&amp;L'!AI60+'Moe2 P&amp;L'!AI60</f>
        <v/>
      </c>
      <c r="AJ60" s="138">
        <f>'KNL GROUP P&amp;L'!AJ60+'CCL GROUP P&amp;L'!AJ60+'YBHN GROUP P&amp;L'!AJ60+'YBN Group P&amp;L'!AJ60+'HAB P&amp;L'!AJ60+'Moe2 P&amp;L'!AJ60</f>
        <v/>
      </c>
      <c r="AK60" s="138">
        <f>'KNL GROUP P&amp;L'!AK60+'CCL GROUP P&amp;L'!AK60+'YBHN GROUP P&amp;L'!AK60+'YBN Group P&amp;L'!AK60+'HAB P&amp;L'!AK60+'Moe2 P&amp;L'!AK60</f>
        <v/>
      </c>
      <c r="AL60" s="138">
        <f>'KNL GROUP P&amp;L'!AL60+'CCL GROUP P&amp;L'!AL60+'YBHN GROUP P&amp;L'!AL60+'YBN Group P&amp;L'!AL60+'HAB P&amp;L'!AL60+'Moe2 P&amp;L'!AL60</f>
        <v/>
      </c>
      <c r="AM60" s="138">
        <f>'KNL GROUP P&amp;L'!AM60+'CCL GROUP P&amp;L'!AM60+'YBHN GROUP P&amp;L'!AM60+'YBN Group P&amp;L'!AM60+'HAB P&amp;L'!AM60+'Moe2 P&amp;L'!AM60</f>
        <v/>
      </c>
      <c r="AN60" s="137">
        <f>'KNL GROUP P&amp;L'!AN60+'CCL GROUP P&amp;L'!AN60+'YBHN GROUP P&amp;L'!AN60+'YBN Group P&amp;L'!AN60+'HAB P&amp;L'!AN60+'Moe2 P&amp;L'!AN60</f>
        <v/>
      </c>
      <c r="AO60" s="120">
        <f>SUM(AC60:AH60)+SUM(AI60:AN60)</f>
        <v/>
      </c>
      <c r="AP60" s="121">
        <f>IF(AB60&lt;&gt;0,(AO60-AB60)/ABS(AB60),0)</f>
        <v/>
      </c>
    </row>
    <row r="61">
      <c r="A61" s="34" t="inlineStr">
        <is>
          <t>Miscellaneous</t>
        </is>
      </c>
      <c r="B61" s="35" t="n">
        <v>276.16</v>
      </c>
      <c r="C61" s="35" t="n">
        <v>364.83</v>
      </c>
      <c r="D61" s="35" t="n">
        <v>1027.36</v>
      </c>
      <c r="E61" s="35" t="n">
        <v>315.59</v>
      </c>
      <c r="F61" s="35" t="n">
        <v>423.71</v>
      </c>
      <c r="G61" s="35" t="n">
        <v>1522.89</v>
      </c>
      <c r="H61" s="35" t="n">
        <v>1202.36</v>
      </c>
      <c r="I61" s="35" t="n">
        <v>60.18</v>
      </c>
      <c r="J61" s="35" t="n">
        <v>25.63</v>
      </c>
      <c r="K61" s="35" t="n">
        <v>622.87</v>
      </c>
      <c r="L61" s="35" t="n">
        <v>3119.889999999999</v>
      </c>
      <c r="M61" s="35" t="n">
        <v>647.1600000000001</v>
      </c>
      <c r="N61" s="36">
        <f>SUM(B61:M61)</f>
        <v/>
      </c>
      <c r="O61" s="37">
        <f>'ABA'!O61+'BK'!O61+'BW'!O61+'CED'!O61+'HAB'!O61+'HB'!O61+'OD'!O61+'HDN'!O61+'KIN'!O61+'LE'!O61+'MER'!O61+'NDN'!O61+'SALT'!O61+'SDN'!O61+'SST'!O61+'WH'!O61+'FH'!O61+'KNL HO'!O61+'CCL HO'!O61+'YBHN HO'!O61+'YBN HO'!O61</f>
        <v/>
      </c>
      <c r="P61" s="37">
        <f>'ABA'!P61+'BK'!P61+'BW'!P61+'CED'!P61+'HAB'!P61+'HB'!P61+'OD'!P61+'HDN'!P61+'KIN'!P61+'LE'!P61+'MER'!P61+'NDN'!P61+'SALT'!P61+'SDN'!P61+'SST'!P61+'WH'!P61+'FH'!P61+'KNL HO'!P61+'CCL HO'!P61+'YBHN HO'!P61+'YBN HO'!P61</f>
        <v/>
      </c>
      <c r="Q61" s="37">
        <f>'ABA'!Q61+'BK'!Q61+'BW'!Q61+'CED'!Q61+'HAB'!Q61+'HB'!Q61+'OD'!Q61+'HDN'!Q61+'KIN'!Q61+'LE'!Q61+'MER'!Q61+'NDN'!Q61+'SALT'!Q61+'SDN'!Q61+'SST'!Q61+'WH'!Q61+'FH'!Q61+'KNL HO'!Q61+'CCL HO'!Q61+'YBHN HO'!Q61+'YBN HO'!Q61</f>
        <v/>
      </c>
      <c r="R61" s="37">
        <f>'ABA'!R61+'BK'!R61+'BW'!R61+'CED'!R61+'HAB'!R61+'HB'!R61+'OD'!R61+'HDN'!R61+'KIN'!R61+'LE'!R61+'MER'!R61+'NDN'!R61+'SALT'!R61+'SDN'!R61+'SST'!R61+'WH'!R61+'FH'!R61+'KNL HO'!R61+'CCL HO'!R61+'YBHN HO'!R61+'YBN HO'!R61</f>
        <v/>
      </c>
      <c r="S61" s="37">
        <f>'ABA'!S61+'BK'!S61+'BW'!S61+'CED'!S61+'HAB'!S61+'HB'!S61+'OD'!S61+'HDN'!S61+'KIN'!S61+'LE'!S61+'MER'!S61+'NDN'!S61+'SALT'!S61+'SDN'!S61+'SST'!S61+'WH'!S61+'FH'!S61+'KNL HO'!S61+'CCL HO'!S61+'YBHN HO'!S61+'YBN HO'!S61</f>
        <v/>
      </c>
      <c r="T61" s="37">
        <f>'ABA'!T61+'BK'!T61+'BW'!T61+'CED'!T61+'HAB'!T61+'HB'!T61+'OD'!T61+'HDN'!T61+'KIN'!T61+'LE'!T61+'MER'!T61+'NDN'!T61+'SALT'!T61+'SDN'!T61+'SST'!T61+'WH'!T61+'FH'!T61+'KNL HO'!T61+'CCL HO'!T61+'YBHN HO'!T61+'YBN HO'!T61</f>
        <v/>
      </c>
      <c r="U61" s="37">
        <f>'ABA'!U61+'BK'!U61+'BW'!U61+'CED'!U61+'HAB'!U61+'HB'!U61+'OD'!U61+'HDN'!U61+'KIN'!U61+'LE'!U61+'MER'!U61+'NDN'!U61+'SALT'!U61+'SDN'!U61+'SST'!U61+'WH'!U61+'FH'!U61+'KNL HO'!U61+'CCL HO'!U61+'YBHN HO'!U61+'YBN HO'!U61</f>
        <v/>
      </c>
      <c r="V61" s="38">
        <f>'KNL HO'!V61+'CCL GROUP P&amp;L'!V61+'YBHN GROUP P&amp;L'!V61+'YBN Group P&amp;L'!V61+'HAB'!V61+'Moe2 P&amp;L'!V61</f>
        <v/>
      </c>
      <c r="W61" s="38">
        <f>'KNL HO'!W61+'CCL GROUP P&amp;L'!W61+'YBHN GROUP P&amp;L'!W61+'YBN Group P&amp;L'!W61+'HAB'!W61+'Moe2 P&amp;L'!W61</f>
        <v/>
      </c>
      <c r="X61" s="38">
        <f>'KNL HO'!X61+'CCL GROUP P&amp;L'!X61+'YBHN GROUP P&amp;L'!X61+'YBN Group P&amp;L'!X61+'HAB'!X61+'Moe2 P&amp;L'!X61</f>
        <v/>
      </c>
      <c r="Y61" s="38">
        <f>'KNL HO'!Y61+'CCL GROUP P&amp;L'!Y61+'YBHN GROUP P&amp;L'!Y61+'YBN Group P&amp;L'!Y61+'HAB'!Y61+'Moe2 P&amp;L'!Y61</f>
        <v/>
      </c>
      <c r="Z61" s="38">
        <f>'KNL HO'!Z61+'CCL GROUP P&amp;L'!Z61+'YBHN GROUP P&amp;L'!Z61+'YBN Group P&amp;L'!Z61+'HAB'!Z61+'Moe2 P&amp;L'!Z61</f>
        <v/>
      </c>
      <c r="AA61" s="36">
        <f>SUM(O61:U61)</f>
        <v/>
      </c>
      <c r="AB61" s="36">
        <f>SUM(O61:Z61)</f>
        <v/>
      </c>
      <c r="AC61" s="38">
        <f>'KNL HO'!AC61+'CCL GROUP P&amp;L'!AC61+'YBHN GROUP P&amp;L'!AC61+'YBN Group P&amp;L'!AC61+'HAB'!AC61+'Moe2 P&amp;L'!AC61</f>
        <v/>
      </c>
      <c r="AD61" s="38">
        <f>'KNL HO'!AD61+'CCL GROUP P&amp;L'!AD61+'YBHN GROUP P&amp;L'!AD61+'YBN Group P&amp;L'!AD61+'HAB'!AD61+'Moe2 P&amp;L'!AD61</f>
        <v/>
      </c>
      <c r="AE61" s="38">
        <f>'KNL HO'!AE61+'CCL GROUP P&amp;L'!AE61+'YBHN GROUP P&amp;L'!AE61+'YBN Group P&amp;L'!AE61+'HAB'!AE61+'Moe2 P&amp;L'!AE61</f>
        <v/>
      </c>
      <c r="AF61" s="38">
        <f>'KNL HO'!AF61+'CCL GROUP P&amp;L'!AF61+'YBHN GROUP P&amp;L'!AF61+'YBN Group P&amp;L'!AF61+'HAB'!AF61+'Moe2 P&amp;L'!AF61</f>
        <v/>
      </c>
      <c r="AG61" s="38">
        <f>'KNL HO'!AG61+'CCL GROUP P&amp;L'!AG61+'YBHN GROUP P&amp;L'!AG61+'YBN Group P&amp;L'!AG61+'HAB'!AG61+'Moe2 P&amp;L'!AG61</f>
        <v/>
      </c>
      <c r="AH61" s="38">
        <f>'KNL HO'!AH61+'CCL GROUP P&amp;L'!AH61+'YBHN GROUP P&amp;L'!AH61+'YBN Group P&amp;L'!AH61+'HAB'!AH61+'Moe2 P&amp;L'!AH61</f>
        <v/>
      </c>
      <c r="AI61" s="137">
        <f>'KNL GROUP P&amp;L'!AI61+'CCL GROUP P&amp;L'!AI61+'YBHN GROUP P&amp;L'!AI61+'YBN Group P&amp;L'!AI61+'HAB P&amp;L'!AI61+'Moe2 P&amp;L'!AI61</f>
        <v/>
      </c>
      <c r="AJ61" s="138">
        <f>'KNL GROUP P&amp;L'!AJ61+'CCL GROUP P&amp;L'!AJ61+'YBHN GROUP P&amp;L'!AJ61+'YBN Group P&amp;L'!AJ61+'HAB P&amp;L'!AJ61+'Moe2 P&amp;L'!AJ61</f>
        <v/>
      </c>
      <c r="AK61" s="138">
        <f>'KNL GROUP P&amp;L'!AK61+'CCL GROUP P&amp;L'!AK61+'YBHN GROUP P&amp;L'!AK61+'YBN Group P&amp;L'!AK61+'HAB P&amp;L'!AK61+'Moe2 P&amp;L'!AK61</f>
        <v/>
      </c>
      <c r="AL61" s="138">
        <f>'KNL GROUP P&amp;L'!AL61+'CCL GROUP P&amp;L'!AL61+'YBHN GROUP P&amp;L'!AL61+'YBN Group P&amp;L'!AL61+'HAB P&amp;L'!AL61+'Moe2 P&amp;L'!AL61</f>
        <v/>
      </c>
      <c r="AM61" s="138">
        <f>'KNL GROUP P&amp;L'!AM61+'CCL GROUP P&amp;L'!AM61+'YBHN GROUP P&amp;L'!AM61+'YBN Group P&amp;L'!AM61+'HAB P&amp;L'!AM61+'Moe2 P&amp;L'!AM61</f>
        <v/>
      </c>
      <c r="AN61" s="137">
        <f>'KNL GROUP P&amp;L'!AN61+'CCL GROUP P&amp;L'!AN61+'YBHN GROUP P&amp;L'!AN61+'YBN Group P&amp;L'!AN61+'HAB P&amp;L'!AN61+'Moe2 P&amp;L'!AN61</f>
        <v/>
      </c>
      <c r="AO61" s="120">
        <f>SUM(AC61:AH61)+SUM(AI61:AN61)</f>
        <v/>
      </c>
      <c r="AP61" s="121">
        <f>IF(AB61&lt;&gt;0,(AO61-AB61)/ABS(AB61),0)</f>
        <v/>
      </c>
    </row>
    <row r="62">
      <c r="A62" s="34" t="inlineStr">
        <is>
          <t>Motor &amp; Travel</t>
        </is>
      </c>
      <c r="B62" s="35" t="n">
        <v>1448.76</v>
      </c>
      <c r="C62" s="35" t="n">
        <v>3387.65</v>
      </c>
      <c r="D62" s="35" t="n">
        <v>3506.15</v>
      </c>
      <c r="E62" s="35" t="n">
        <v>2909.55</v>
      </c>
      <c r="F62" s="35" t="n">
        <v>2835.84</v>
      </c>
      <c r="G62" s="35" t="n">
        <v>3477.6</v>
      </c>
      <c r="H62" s="35" t="n">
        <v>5887.940000000001</v>
      </c>
      <c r="I62" s="35" t="n">
        <v>4588.77</v>
      </c>
      <c r="J62" s="35" t="n">
        <v>5359.77</v>
      </c>
      <c r="K62" s="35" t="n">
        <v>3400.08</v>
      </c>
      <c r="L62" s="35" t="n">
        <v>4858.96</v>
      </c>
      <c r="M62" s="35" t="n">
        <v>2499.98</v>
      </c>
      <c r="N62" s="36">
        <f>SUM(B62:M62)</f>
        <v/>
      </c>
      <c r="O62" s="37">
        <f>'ABA'!O62+'BK'!O62+'BW'!O62+'CED'!O62+'HAB'!O62+'HB'!O62+'OD'!O62+'HDN'!O62+'KIN'!O62+'LE'!O62+'MER'!O62+'NDN'!O62+'SALT'!O62+'SDN'!O62+'SST'!O62+'WH'!O62+'FH'!O62+'KNL HO'!O62+'CCL HO'!O62+'YBHN HO'!O62+'YBN HO'!O62</f>
        <v/>
      </c>
      <c r="P62" s="37">
        <f>'ABA'!P62+'BK'!P62+'BW'!P62+'CED'!P62+'HAB'!P62+'HB'!P62+'OD'!P62+'HDN'!P62+'KIN'!P62+'LE'!P62+'MER'!P62+'NDN'!P62+'SALT'!P62+'SDN'!P62+'SST'!P62+'WH'!P62+'FH'!P62+'KNL HO'!P62+'CCL HO'!P62+'YBHN HO'!P62+'YBN HO'!P62</f>
        <v/>
      </c>
      <c r="Q62" s="37">
        <f>'ABA'!Q62+'BK'!Q62+'BW'!Q62+'CED'!Q62+'HAB'!Q62+'HB'!Q62+'OD'!Q62+'HDN'!Q62+'KIN'!Q62+'LE'!Q62+'MER'!Q62+'NDN'!Q62+'SALT'!Q62+'SDN'!Q62+'SST'!Q62+'WH'!Q62+'FH'!Q62+'KNL HO'!Q62+'CCL HO'!Q62+'YBHN HO'!Q62+'YBN HO'!Q62</f>
        <v/>
      </c>
      <c r="R62" s="37">
        <f>'ABA'!R62+'BK'!R62+'BW'!R62+'CED'!R62+'HAB'!R62+'HB'!R62+'OD'!R62+'HDN'!R62+'KIN'!R62+'LE'!R62+'MER'!R62+'NDN'!R62+'SALT'!R62+'SDN'!R62+'SST'!R62+'WH'!R62+'FH'!R62+'KNL HO'!R62+'CCL HO'!R62+'YBHN HO'!R62+'YBN HO'!R62</f>
        <v/>
      </c>
      <c r="S62" s="37">
        <f>'ABA'!S62+'BK'!S62+'BW'!S62+'CED'!S62+'HAB'!S62+'HB'!S62+'OD'!S62+'HDN'!S62+'KIN'!S62+'LE'!S62+'MER'!S62+'NDN'!S62+'SALT'!S62+'SDN'!S62+'SST'!S62+'WH'!S62+'FH'!S62+'KNL HO'!S62+'CCL HO'!S62+'YBHN HO'!S62+'YBN HO'!S62</f>
        <v/>
      </c>
      <c r="T62" s="37">
        <f>'ABA'!T62+'BK'!T62+'BW'!T62+'CED'!T62+'HAB'!T62+'HB'!T62+'OD'!T62+'HDN'!T62+'KIN'!T62+'LE'!T62+'MER'!T62+'NDN'!T62+'SALT'!T62+'SDN'!T62+'SST'!T62+'WH'!T62+'FH'!T62+'KNL HO'!T62+'CCL HO'!T62+'YBHN HO'!T62+'YBN HO'!T62</f>
        <v/>
      </c>
      <c r="U62" s="37">
        <f>'ABA'!U62+'BK'!U62+'BW'!U62+'CED'!U62+'HAB'!U62+'HB'!U62+'OD'!U62+'HDN'!U62+'KIN'!U62+'LE'!U62+'MER'!U62+'NDN'!U62+'SALT'!U62+'SDN'!U62+'SST'!U62+'WH'!U62+'FH'!U62+'KNL HO'!U62+'CCL HO'!U62+'YBHN HO'!U62+'YBN HO'!U62</f>
        <v/>
      </c>
      <c r="V62" s="38">
        <f>'KNL HO'!V62+'CCL GROUP P&amp;L'!V62+'YBHN GROUP P&amp;L'!V62+'YBN Group P&amp;L'!V62+'HAB'!V62+'Moe2 P&amp;L'!V62</f>
        <v/>
      </c>
      <c r="W62" s="38">
        <f>'KNL HO'!W62+'CCL GROUP P&amp;L'!W62+'YBHN GROUP P&amp;L'!W62+'YBN Group P&amp;L'!W62+'HAB'!W62+'Moe2 P&amp;L'!W62</f>
        <v/>
      </c>
      <c r="X62" s="38">
        <f>'KNL HO'!X62+'CCL GROUP P&amp;L'!X62+'YBHN GROUP P&amp;L'!X62+'YBN Group P&amp;L'!X62+'HAB'!X62+'Moe2 P&amp;L'!X62</f>
        <v/>
      </c>
      <c r="Y62" s="38">
        <f>'KNL HO'!Y62+'CCL GROUP P&amp;L'!Y62+'YBHN GROUP P&amp;L'!Y62+'YBN Group P&amp;L'!Y62+'HAB'!Y62+'Moe2 P&amp;L'!Y62</f>
        <v/>
      </c>
      <c r="Z62" s="38">
        <f>'KNL HO'!Z62+'CCL GROUP P&amp;L'!Z62+'YBHN GROUP P&amp;L'!Z62+'YBN Group P&amp;L'!Z62+'HAB'!Z62+'Moe2 P&amp;L'!Z62</f>
        <v/>
      </c>
      <c r="AA62" s="36">
        <f>SUM(O62:U62)</f>
        <v/>
      </c>
      <c r="AB62" s="36">
        <f>SUM(O62:Z62)</f>
        <v/>
      </c>
      <c r="AC62" s="38">
        <f>'KNL HO'!AC62+'CCL GROUP P&amp;L'!AC62+'YBHN GROUP P&amp;L'!AC62+'YBN Group P&amp;L'!AC62+'HAB'!AC62+'Moe2 P&amp;L'!AC62</f>
        <v/>
      </c>
      <c r="AD62" s="38">
        <f>'KNL HO'!AD62+'CCL GROUP P&amp;L'!AD62+'YBHN GROUP P&amp;L'!AD62+'YBN Group P&amp;L'!AD62+'HAB'!AD62+'Moe2 P&amp;L'!AD62</f>
        <v/>
      </c>
      <c r="AE62" s="38">
        <f>'KNL HO'!AE62+'CCL GROUP P&amp;L'!AE62+'YBHN GROUP P&amp;L'!AE62+'YBN Group P&amp;L'!AE62+'HAB'!AE62+'Moe2 P&amp;L'!AE62</f>
        <v/>
      </c>
      <c r="AF62" s="38">
        <f>'KNL HO'!AF62+'CCL GROUP P&amp;L'!AF62+'YBHN GROUP P&amp;L'!AF62+'YBN Group P&amp;L'!AF62+'HAB'!AF62+'Moe2 P&amp;L'!AF62</f>
        <v/>
      </c>
      <c r="AG62" s="38">
        <f>'KNL HO'!AG62+'CCL GROUP P&amp;L'!AG62+'YBHN GROUP P&amp;L'!AG62+'YBN Group P&amp;L'!AG62+'HAB'!AG62+'Moe2 P&amp;L'!AG62</f>
        <v/>
      </c>
      <c r="AH62" s="38">
        <f>'KNL HO'!AH62+'CCL GROUP P&amp;L'!AH62+'YBHN GROUP P&amp;L'!AH62+'YBN Group P&amp;L'!AH62+'HAB'!AH62+'Moe2 P&amp;L'!AH62</f>
        <v/>
      </c>
      <c r="AI62" s="137">
        <f>'KNL GROUP P&amp;L'!AI62+'CCL GROUP P&amp;L'!AI62+'YBHN GROUP P&amp;L'!AI62+'YBN Group P&amp;L'!AI62+'HAB P&amp;L'!AI62+'Moe2 P&amp;L'!AI62</f>
        <v/>
      </c>
      <c r="AJ62" s="138">
        <f>'KNL GROUP P&amp;L'!AJ62+'CCL GROUP P&amp;L'!AJ62+'YBHN GROUP P&amp;L'!AJ62+'YBN Group P&amp;L'!AJ62+'HAB P&amp;L'!AJ62+'Moe2 P&amp;L'!AJ62</f>
        <v/>
      </c>
      <c r="AK62" s="138">
        <f>'KNL GROUP P&amp;L'!AK62+'CCL GROUP P&amp;L'!AK62+'YBHN GROUP P&amp;L'!AK62+'YBN Group P&amp;L'!AK62+'HAB P&amp;L'!AK62+'Moe2 P&amp;L'!AK62</f>
        <v/>
      </c>
      <c r="AL62" s="138">
        <f>'KNL GROUP P&amp;L'!AL62+'CCL GROUP P&amp;L'!AL62+'YBHN GROUP P&amp;L'!AL62+'YBN Group P&amp;L'!AL62+'HAB P&amp;L'!AL62+'Moe2 P&amp;L'!AL62</f>
        <v/>
      </c>
      <c r="AM62" s="138">
        <f>'KNL GROUP P&amp;L'!AM62+'CCL GROUP P&amp;L'!AM62+'YBHN GROUP P&amp;L'!AM62+'YBN Group P&amp;L'!AM62+'HAB P&amp;L'!AM62+'Moe2 P&amp;L'!AM62</f>
        <v/>
      </c>
      <c r="AN62" s="137">
        <f>'KNL GROUP P&amp;L'!AN62+'CCL GROUP P&amp;L'!AN62+'YBHN GROUP P&amp;L'!AN62+'YBN Group P&amp;L'!AN62+'HAB P&amp;L'!AN62+'Moe2 P&amp;L'!AN62</f>
        <v/>
      </c>
      <c r="AO62" s="120">
        <f>SUM(AC62:AH62)+SUM(AI62:AN62)</f>
        <v/>
      </c>
      <c r="AP62" s="121">
        <f>IF(AB62&lt;&gt;0,(AO62-AB62)/ABS(AB62),0)</f>
        <v/>
      </c>
    </row>
    <row r="63">
      <c r="A63" s="34" t="inlineStr">
        <is>
          <t>Motor Insurance</t>
        </is>
      </c>
      <c r="B63" s="35" t="n">
        <v>742.17</v>
      </c>
      <c r="C63" s="35" t="n">
        <v>1029.79</v>
      </c>
      <c r="D63" s="35" t="n">
        <v>1029.79</v>
      </c>
      <c r="E63" s="35" t="n">
        <v>1029.79</v>
      </c>
      <c r="F63" s="35" t="n">
        <v>1029.79</v>
      </c>
      <c r="G63" s="35" t="n">
        <v>1029.79</v>
      </c>
      <c r="H63" s="35" t="n">
        <v>1137.79</v>
      </c>
      <c r="I63" s="35" t="n">
        <v>1022.54</v>
      </c>
      <c r="J63" s="35" t="n">
        <v>1022.54</v>
      </c>
      <c r="K63" s="35" t="n">
        <v>1092.42</v>
      </c>
      <c r="L63" s="35" t="n">
        <v>1092.42</v>
      </c>
      <c r="M63" s="35" t="n">
        <v>1179.3</v>
      </c>
      <c r="N63" s="36">
        <f>SUM(B63:M63)</f>
        <v/>
      </c>
      <c r="O63" s="37">
        <f>'ABA'!O63+'BK'!O63+'BW'!O63+'CED'!O63+'HAB'!O63+'HB'!O63+'OD'!O63+'HDN'!O63+'KIN'!O63+'LE'!O63+'MER'!O63+'NDN'!O63+'SALT'!O63+'SDN'!O63+'SST'!O63+'WH'!O63+'FH'!O63+'KNL HO'!O63+'CCL HO'!O63+'YBHN HO'!O63+'YBN HO'!O63</f>
        <v/>
      </c>
      <c r="P63" s="37">
        <f>'ABA'!P63+'BK'!P63+'BW'!P63+'CED'!P63+'HAB'!P63+'HB'!P63+'OD'!P63+'HDN'!P63+'KIN'!P63+'LE'!P63+'MER'!P63+'NDN'!P63+'SALT'!P63+'SDN'!P63+'SST'!P63+'WH'!P63+'FH'!P63+'KNL HO'!P63+'CCL HO'!P63+'YBHN HO'!P63+'YBN HO'!P63</f>
        <v/>
      </c>
      <c r="Q63" s="37">
        <f>'ABA'!Q63+'BK'!Q63+'BW'!Q63+'CED'!Q63+'HAB'!Q63+'HB'!Q63+'OD'!Q63+'HDN'!Q63+'KIN'!Q63+'LE'!Q63+'MER'!Q63+'NDN'!Q63+'SALT'!Q63+'SDN'!Q63+'SST'!Q63+'WH'!Q63+'FH'!Q63+'KNL HO'!Q63+'CCL HO'!Q63+'YBHN HO'!Q63+'YBN HO'!Q63</f>
        <v/>
      </c>
      <c r="R63" s="37">
        <f>'ABA'!R63+'BK'!R63+'BW'!R63+'CED'!R63+'HAB'!R63+'HB'!R63+'OD'!R63+'HDN'!R63+'KIN'!R63+'LE'!R63+'MER'!R63+'NDN'!R63+'SALT'!R63+'SDN'!R63+'SST'!R63+'WH'!R63+'FH'!R63+'KNL HO'!R63+'CCL HO'!R63+'YBHN HO'!R63+'YBN HO'!R63</f>
        <v/>
      </c>
      <c r="S63" s="37">
        <f>'ABA'!S63+'BK'!S63+'BW'!S63+'CED'!S63+'HAB'!S63+'HB'!S63+'OD'!S63+'HDN'!S63+'KIN'!S63+'LE'!S63+'MER'!S63+'NDN'!S63+'SALT'!S63+'SDN'!S63+'SST'!S63+'WH'!S63+'FH'!S63+'KNL HO'!S63+'CCL HO'!S63+'YBHN HO'!S63+'YBN HO'!S63</f>
        <v/>
      </c>
      <c r="T63" s="37">
        <f>'ABA'!T63+'BK'!T63+'BW'!T63+'CED'!T63+'HAB'!T63+'HB'!T63+'OD'!T63+'HDN'!T63+'KIN'!T63+'LE'!T63+'MER'!T63+'NDN'!T63+'SALT'!T63+'SDN'!T63+'SST'!T63+'WH'!T63+'FH'!T63+'KNL HO'!T63+'CCL HO'!T63+'YBHN HO'!T63+'YBN HO'!T63</f>
        <v/>
      </c>
      <c r="U63" s="37">
        <f>'ABA'!U63+'BK'!U63+'BW'!U63+'CED'!U63+'HAB'!U63+'HB'!U63+'OD'!U63+'HDN'!U63+'KIN'!U63+'LE'!U63+'MER'!U63+'NDN'!U63+'SALT'!U63+'SDN'!U63+'SST'!U63+'WH'!U63+'FH'!U63+'KNL HO'!U63+'CCL HO'!U63+'YBHN HO'!U63+'YBN HO'!U63</f>
        <v/>
      </c>
      <c r="V63" s="38">
        <f>'KNL HO'!V63+'CCL GROUP P&amp;L'!V63+'YBHN GROUP P&amp;L'!V63+'YBN Group P&amp;L'!V63+'HAB'!V63+'Moe2 P&amp;L'!V63</f>
        <v/>
      </c>
      <c r="W63" s="38">
        <f>'KNL HO'!W63+'CCL GROUP P&amp;L'!W63+'YBHN GROUP P&amp;L'!W63+'YBN Group P&amp;L'!W63+'HAB'!W63+'Moe2 P&amp;L'!W63</f>
        <v/>
      </c>
      <c r="X63" s="38">
        <f>'KNL HO'!X63+'CCL GROUP P&amp;L'!X63+'YBHN GROUP P&amp;L'!X63+'YBN Group P&amp;L'!X63+'HAB'!X63+'Moe2 P&amp;L'!X63</f>
        <v/>
      </c>
      <c r="Y63" s="38">
        <f>'KNL HO'!Y63+'CCL GROUP P&amp;L'!Y63+'YBHN GROUP P&amp;L'!Y63+'YBN Group P&amp;L'!Y63+'HAB'!Y63+'Moe2 P&amp;L'!Y63</f>
        <v/>
      </c>
      <c r="Z63" s="38">
        <f>'KNL HO'!Z63+'CCL GROUP P&amp;L'!Z63+'YBHN GROUP P&amp;L'!Z63+'YBN Group P&amp;L'!Z63+'HAB'!Z63+'Moe2 P&amp;L'!Z63</f>
        <v/>
      </c>
      <c r="AA63" s="36">
        <f>SUM(O63:U63)</f>
        <v/>
      </c>
      <c r="AB63" s="36">
        <f>SUM(O63:Z63)</f>
        <v/>
      </c>
      <c r="AC63" s="38">
        <f>'KNL HO'!AC63+'CCL GROUP P&amp;L'!AC63+'YBHN GROUP P&amp;L'!AC63+'YBN Group P&amp;L'!AC63+'HAB'!AC63+'Moe2 P&amp;L'!AC63</f>
        <v/>
      </c>
      <c r="AD63" s="38">
        <f>'KNL HO'!AD63+'CCL GROUP P&amp;L'!AD63+'YBHN GROUP P&amp;L'!AD63+'YBN Group P&amp;L'!AD63+'HAB'!AD63+'Moe2 P&amp;L'!AD63</f>
        <v/>
      </c>
      <c r="AE63" s="38">
        <f>'KNL HO'!AE63+'CCL GROUP P&amp;L'!AE63+'YBHN GROUP P&amp;L'!AE63+'YBN Group P&amp;L'!AE63+'HAB'!AE63+'Moe2 P&amp;L'!AE63</f>
        <v/>
      </c>
      <c r="AF63" s="38">
        <f>'KNL HO'!AF63+'CCL GROUP P&amp;L'!AF63+'YBHN GROUP P&amp;L'!AF63+'YBN Group P&amp;L'!AF63+'HAB'!AF63+'Moe2 P&amp;L'!AF63</f>
        <v/>
      </c>
      <c r="AG63" s="38">
        <f>'KNL HO'!AG63+'CCL GROUP P&amp;L'!AG63+'YBHN GROUP P&amp;L'!AG63+'YBN Group P&amp;L'!AG63+'HAB'!AG63+'Moe2 P&amp;L'!AG63</f>
        <v/>
      </c>
      <c r="AH63" s="38">
        <f>'KNL HO'!AH63+'CCL GROUP P&amp;L'!AH63+'YBHN GROUP P&amp;L'!AH63+'YBN Group P&amp;L'!AH63+'HAB'!AH63+'Moe2 P&amp;L'!AH63</f>
        <v/>
      </c>
      <c r="AI63" s="137">
        <f>'KNL GROUP P&amp;L'!AI63+'CCL GROUP P&amp;L'!AI63+'YBHN GROUP P&amp;L'!AI63+'YBN Group P&amp;L'!AI63+'HAB P&amp;L'!AI63+'Moe2 P&amp;L'!AI63</f>
        <v/>
      </c>
      <c r="AJ63" s="138">
        <f>'KNL GROUP P&amp;L'!AJ63+'CCL GROUP P&amp;L'!AJ63+'YBHN GROUP P&amp;L'!AJ63+'YBN Group P&amp;L'!AJ63+'HAB P&amp;L'!AJ63+'Moe2 P&amp;L'!AJ63</f>
        <v/>
      </c>
      <c r="AK63" s="138">
        <f>'KNL GROUP P&amp;L'!AK63+'CCL GROUP P&amp;L'!AK63+'YBHN GROUP P&amp;L'!AK63+'YBN Group P&amp;L'!AK63+'HAB P&amp;L'!AK63+'Moe2 P&amp;L'!AK63</f>
        <v/>
      </c>
      <c r="AL63" s="138">
        <f>'KNL GROUP P&amp;L'!AL63+'CCL GROUP P&amp;L'!AL63+'YBHN GROUP P&amp;L'!AL63+'YBN Group P&amp;L'!AL63+'HAB P&amp;L'!AL63+'Moe2 P&amp;L'!AL63</f>
        <v/>
      </c>
      <c r="AM63" s="138">
        <f>'KNL GROUP P&amp;L'!AM63+'CCL GROUP P&amp;L'!AM63+'YBHN GROUP P&amp;L'!AM63+'YBN Group P&amp;L'!AM63+'HAB P&amp;L'!AM63+'Moe2 P&amp;L'!AM63</f>
        <v/>
      </c>
      <c r="AN63" s="137">
        <f>'KNL GROUP P&amp;L'!AN63+'CCL GROUP P&amp;L'!AN63+'YBHN GROUP P&amp;L'!AN63+'YBN Group P&amp;L'!AN63+'HAB P&amp;L'!AN63+'Moe2 P&amp;L'!AN63</f>
        <v/>
      </c>
      <c r="AO63" s="120">
        <f>SUM(AC63:AH63)+SUM(AI63:AN63)</f>
        <v/>
      </c>
      <c r="AP63" s="121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'ABA'!O64+'BK'!O64+'BW'!O64+'CED'!O64+'HAB'!O64+'HB'!O64+'OD'!O64+'HDN'!O64+'KIN'!O64+'LE'!O64+'MER'!O64+'NDN'!O64+'SALT'!O64+'SDN'!O64+'SST'!O64+'WH'!O64+'FH'!O64+'KNL HO'!O64+'CCL HO'!O64+'YBHN HO'!O64+'YBN HO'!O64</f>
        <v/>
      </c>
      <c r="P64" s="37">
        <f>'ABA'!P64+'BK'!P64+'BW'!P64+'CED'!P64+'HAB'!P64+'HB'!P64+'OD'!P64+'HDN'!P64+'KIN'!P64+'LE'!P64+'MER'!P64+'NDN'!P64+'SALT'!P64+'SDN'!P64+'SST'!P64+'WH'!P64+'FH'!P64+'KNL HO'!P64+'CCL HO'!P64+'YBHN HO'!P64+'YBN HO'!P64</f>
        <v/>
      </c>
      <c r="Q64" s="37">
        <f>'ABA'!Q64+'BK'!Q64+'BW'!Q64+'CED'!Q64+'HAB'!Q64+'HB'!Q64+'OD'!Q64+'HDN'!Q64+'KIN'!Q64+'LE'!Q64+'MER'!Q64+'NDN'!Q64+'SALT'!Q64+'SDN'!Q64+'SST'!Q64+'WH'!Q64+'FH'!Q64+'KNL HO'!Q64+'CCL HO'!Q64+'YBHN HO'!Q64+'YBN HO'!Q64</f>
        <v/>
      </c>
      <c r="R64" s="37">
        <f>'ABA'!R64+'BK'!R64+'BW'!R64+'CED'!R64+'HAB'!R64+'HB'!R64+'OD'!R64+'HDN'!R64+'KIN'!R64+'LE'!R64+'MER'!R64+'NDN'!R64+'SALT'!R64+'SDN'!R64+'SST'!R64+'WH'!R64+'FH'!R64+'KNL HO'!R64+'CCL HO'!R64+'YBHN HO'!R64+'YBN HO'!R64</f>
        <v/>
      </c>
      <c r="S64" s="37">
        <f>'ABA'!S64+'BK'!S64+'BW'!S64+'CED'!S64+'HAB'!S64+'HB'!S64+'OD'!S64+'HDN'!S64+'KIN'!S64+'LE'!S64+'MER'!S64+'NDN'!S64+'SALT'!S64+'SDN'!S64+'SST'!S64+'WH'!S64+'FH'!S64+'KNL HO'!S64+'CCL HO'!S64+'YBHN HO'!S64+'YBN HO'!S64</f>
        <v/>
      </c>
      <c r="T64" s="37">
        <f>'ABA'!T64+'BK'!T64+'BW'!T64+'CED'!T64+'HAB'!T64+'HB'!T64+'OD'!T64+'HDN'!T64+'KIN'!T64+'LE'!T64+'MER'!T64+'NDN'!T64+'SALT'!T64+'SDN'!T64+'SST'!T64+'WH'!T64+'FH'!T64+'KNL HO'!T64+'CCL HO'!T64+'YBHN HO'!T64+'YBN HO'!T64</f>
        <v/>
      </c>
      <c r="U64" s="37">
        <f>'ABA'!U64+'BK'!U64+'BW'!U64+'CED'!U64+'HAB'!U64+'HB'!U64+'OD'!U64+'HDN'!U64+'KIN'!U64+'LE'!U64+'MER'!U64+'NDN'!U64+'SALT'!U64+'SDN'!U64+'SST'!U64+'WH'!U64+'FH'!U64+'KNL HO'!U64+'CCL HO'!U64+'YBHN HO'!U64+'YBN HO'!U64</f>
        <v/>
      </c>
      <c r="V64" s="38">
        <f>'KNL HO'!V64+'CCL GROUP P&amp;L'!V64+'YBHN GROUP P&amp;L'!V64+'YBN Group P&amp;L'!V64+'HAB'!V64+'Moe2 P&amp;L'!V64</f>
        <v/>
      </c>
      <c r="W64" s="38">
        <f>'KNL HO'!W64+'CCL GROUP P&amp;L'!W64+'YBHN GROUP P&amp;L'!W64+'YBN Group P&amp;L'!W64+'HAB'!W64+'Moe2 P&amp;L'!W64</f>
        <v/>
      </c>
      <c r="X64" s="38">
        <f>'KNL HO'!X64+'CCL GROUP P&amp;L'!X64+'YBHN GROUP P&amp;L'!X64+'YBN Group P&amp;L'!X64+'HAB'!X64+'Moe2 P&amp;L'!X64</f>
        <v/>
      </c>
      <c r="Y64" s="38">
        <f>'KNL HO'!Y64+'CCL GROUP P&amp;L'!Y64+'YBHN GROUP P&amp;L'!Y64+'YBN Group P&amp;L'!Y64+'HAB'!Y64+'Moe2 P&amp;L'!Y64</f>
        <v/>
      </c>
      <c r="Z64" s="38">
        <f>'KNL HO'!Z64+'CCL GROUP P&amp;L'!Z64+'YBHN GROUP P&amp;L'!Z64+'YBN Group P&amp;L'!Z64+'HAB'!Z64+'Moe2 P&amp;L'!Z64</f>
        <v/>
      </c>
      <c r="AA64" s="36">
        <f>SUM(O64:U64)</f>
        <v/>
      </c>
      <c r="AB64" s="36">
        <f>SUM(O64:Z64)</f>
        <v/>
      </c>
      <c r="AC64" s="38">
        <f>'KNL HO'!AC64+'CCL GROUP P&amp;L'!AC64+'YBHN GROUP P&amp;L'!AC64+'YBN Group P&amp;L'!AC64+'HAB'!AC64+'Moe2 P&amp;L'!AC64</f>
        <v/>
      </c>
      <c r="AD64" s="38">
        <f>'KNL HO'!AD64+'CCL GROUP P&amp;L'!AD64+'YBHN GROUP P&amp;L'!AD64+'YBN Group P&amp;L'!AD64+'HAB'!AD64+'Moe2 P&amp;L'!AD64</f>
        <v/>
      </c>
      <c r="AE64" s="38">
        <f>'KNL HO'!AE64+'CCL GROUP P&amp;L'!AE64+'YBHN GROUP P&amp;L'!AE64+'YBN Group P&amp;L'!AE64+'HAB'!AE64+'Moe2 P&amp;L'!AE64</f>
        <v/>
      </c>
      <c r="AF64" s="38">
        <f>'KNL HO'!AF64+'CCL GROUP P&amp;L'!AF64+'YBHN GROUP P&amp;L'!AF64+'YBN Group P&amp;L'!AF64+'HAB'!AF64+'Moe2 P&amp;L'!AF64</f>
        <v/>
      </c>
      <c r="AG64" s="38">
        <f>'KNL HO'!AG64+'CCL GROUP P&amp;L'!AG64+'YBHN GROUP P&amp;L'!AG64+'YBN Group P&amp;L'!AG64+'HAB'!AG64+'Moe2 P&amp;L'!AG64</f>
        <v/>
      </c>
      <c r="AH64" s="38">
        <f>'KNL HO'!AH64+'CCL GROUP P&amp;L'!AH64+'YBHN GROUP P&amp;L'!AH64+'YBN Group P&amp;L'!AH64+'HAB'!AH64+'Moe2 P&amp;L'!AH64</f>
        <v/>
      </c>
      <c r="AI64" s="137">
        <f>'KNL GROUP P&amp;L'!AI64+'CCL GROUP P&amp;L'!AI64+'YBHN GROUP P&amp;L'!AI64+'YBN Group P&amp;L'!AI64+'HAB P&amp;L'!AI64+'Moe2 P&amp;L'!AI64</f>
        <v/>
      </c>
      <c r="AJ64" s="138">
        <f>'KNL GROUP P&amp;L'!AJ64+'CCL GROUP P&amp;L'!AJ64+'YBHN GROUP P&amp;L'!AJ64+'YBN Group P&amp;L'!AJ64+'HAB P&amp;L'!AJ64+'Moe2 P&amp;L'!AJ64</f>
        <v/>
      </c>
      <c r="AK64" s="138">
        <f>'KNL GROUP P&amp;L'!AK64+'CCL GROUP P&amp;L'!AK64+'YBHN GROUP P&amp;L'!AK64+'YBN Group P&amp;L'!AK64+'HAB P&amp;L'!AK64+'Moe2 P&amp;L'!AK64</f>
        <v/>
      </c>
      <c r="AL64" s="138">
        <f>'KNL GROUP P&amp;L'!AL64+'CCL GROUP P&amp;L'!AL64+'YBHN GROUP P&amp;L'!AL64+'YBN Group P&amp;L'!AL64+'HAB P&amp;L'!AL64+'Moe2 P&amp;L'!AL64</f>
        <v/>
      </c>
      <c r="AM64" s="138">
        <f>'KNL GROUP P&amp;L'!AM64+'CCL GROUP P&amp;L'!AM64+'YBHN GROUP P&amp;L'!AM64+'YBN Group P&amp;L'!AM64+'HAB P&amp;L'!AM64+'Moe2 P&amp;L'!AM64</f>
        <v/>
      </c>
      <c r="AN64" s="137">
        <f>'KNL GROUP P&amp;L'!AN64+'CCL GROUP P&amp;L'!AN64+'YBHN GROUP P&amp;L'!AN64+'YBN Group P&amp;L'!AN64+'HAB P&amp;L'!AN64+'Moe2 P&amp;L'!AN64</f>
        <v/>
      </c>
      <c r="AO64" s="120">
        <f>SUM(AC64:AH64)+SUM(AI64:AN64)</f>
        <v/>
      </c>
      <c r="AP64" s="121">
        <f>IF(AB64&lt;&gt;0,(AO64-AB64)/ABS(AB64),0)</f>
        <v/>
      </c>
    </row>
    <row r="65">
      <c r="A65" s="34" t="inlineStr">
        <is>
          <t>Audit</t>
        </is>
      </c>
      <c r="B65" s="35" t="n">
        <v>18480</v>
      </c>
      <c r="C65" s="35" t="n">
        <v>150</v>
      </c>
      <c r="D65" s="35" t="n">
        <v>43200</v>
      </c>
      <c r="E65" s="35" t="n">
        <v>5672.4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10200</v>
      </c>
      <c r="N65" s="36">
        <f>SUM(B65:M65)</f>
        <v/>
      </c>
      <c r="O65" s="37">
        <f>'ABA'!O65+'BK'!O65+'BW'!O65+'CED'!O65+'HAB'!O65+'HB'!O65+'OD'!O65+'HDN'!O65+'KIN'!O65+'LE'!O65+'MER'!O65+'NDN'!O65+'SALT'!O65+'SDN'!O65+'SST'!O65+'WH'!O65+'FH'!O65+'KNL HO'!O65+'CCL HO'!O65+'YBHN HO'!O65+'YBN HO'!O65</f>
        <v/>
      </c>
      <c r="P65" s="37">
        <f>'ABA'!P65+'BK'!P65+'BW'!P65+'CED'!P65+'HAB'!P65+'HB'!P65+'OD'!P65+'HDN'!P65+'KIN'!P65+'LE'!P65+'MER'!P65+'NDN'!P65+'SALT'!P65+'SDN'!P65+'SST'!P65+'WH'!P65+'FH'!P65+'KNL HO'!P65+'CCL HO'!P65+'YBHN HO'!P65+'YBN HO'!P65</f>
        <v/>
      </c>
      <c r="Q65" s="37">
        <f>'ABA'!Q65+'BK'!Q65+'BW'!Q65+'CED'!Q65+'HAB'!Q65+'HB'!Q65+'OD'!Q65+'HDN'!Q65+'KIN'!Q65+'LE'!Q65+'MER'!Q65+'NDN'!Q65+'SALT'!Q65+'SDN'!Q65+'SST'!Q65+'WH'!Q65+'FH'!Q65+'KNL HO'!Q65+'CCL HO'!Q65+'YBHN HO'!Q65+'YBN HO'!Q65</f>
        <v/>
      </c>
      <c r="R65" s="37">
        <f>'ABA'!R65+'BK'!R65+'BW'!R65+'CED'!R65+'HAB'!R65+'HB'!R65+'OD'!R65+'HDN'!R65+'KIN'!R65+'LE'!R65+'MER'!R65+'NDN'!R65+'SALT'!R65+'SDN'!R65+'SST'!R65+'WH'!R65+'FH'!R65+'KNL HO'!R65+'CCL HO'!R65+'YBHN HO'!R65+'YBN HO'!R65</f>
        <v/>
      </c>
      <c r="S65" s="37">
        <f>'ABA'!S65+'BK'!S65+'BW'!S65+'CED'!S65+'HAB'!S65+'HB'!S65+'OD'!S65+'HDN'!S65+'KIN'!S65+'LE'!S65+'MER'!S65+'NDN'!S65+'SALT'!S65+'SDN'!S65+'SST'!S65+'WH'!S65+'FH'!S65+'KNL HO'!S65+'CCL HO'!S65+'YBHN HO'!S65+'YBN HO'!S65</f>
        <v/>
      </c>
      <c r="T65" s="37">
        <f>'ABA'!T65+'BK'!T65+'BW'!T65+'CED'!T65+'HAB'!T65+'HB'!T65+'OD'!T65+'HDN'!T65+'KIN'!T65+'LE'!T65+'MER'!T65+'NDN'!T65+'SALT'!T65+'SDN'!T65+'SST'!T65+'WH'!T65+'FH'!T65+'KNL HO'!T65+'CCL HO'!T65+'YBHN HO'!T65+'YBN HO'!T65</f>
        <v/>
      </c>
      <c r="U65" s="37">
        <f>'ABA'!U65+'BK'!U65+'BW'!U65+'CED'!U65+'HAB'!U65+'HB'!U65+'OD'!U65+'HDN'!U65+'KIN'!U65+'LE'!U65+'MER'!U65+'NDN'!U65+'SALT'!U65+'SDN'!U65+'SST'!U65+'WH'!U65+'FH'!U65+'KNL HO'!U65+'CCL HO'!U65+'YBHN HO'!U65+'YBN HO'!U65</f>
        <v/>
      </c>
      <c r="V65" s="38">
        <f>'KNL HO'!V65+'CCL GROUP P&amp;L'!V65+'YBHN GROUP P&amp;L'!V65+'YBN Group P&amp;L'!V65+'HAB'!V65+'Moe2 P&amp;L'!V65</f>
        <v/>
      </c>
      <c r="W65" s="38">
        <f>'KNL HO'!W65+'CCL GROUP P&amp;L'!W65+'YBHN GROUP P&amp;L'!W65+'YBN Group P&amp;L'!W65+'HAB'!W65+'Moe2 P&amp;L'!W65</f>
        <v/>
      </c>
      <c r="X65" s="38">
        <f>'KNL HO'!X65+'CCL GROUP P&amp;L'!X65+'YBHN GROUP P&amp;L'!X65+'YBN Group P&amp;L'!X65+'HAB'!X65+'Moe2 P&amp;L'!X65</f>
        <v/>
      </c>
      <c r="Y65" s="38">
        <f>'KNL HO'!Y65+'CCL GROUP P&amp;L'!Y65+'YBHN GROUP P&amp;L'!Y65+'YBN Group P&amp;L'!Y65+'HAB'!Y65+'Moe2 P&amp;L'!Y65</f>
        <v/>
      </c>
      <c r="Z65" s="38">
        <f>'KNL HO'!Z65+'CCL GROUP P&amp;L'!Z65+'YBHN GROUP P&amp;L'!Z65+'YBN Group P&amp;L'!Z65+'HAB'!Z65+'Moe2 P&amp;L'!Z65</f>
        <v/>
      </c>
      <c r="AA65" s="36">
        <f>SUM(O65:U65)</f>
        <v/>
      </c>
      <c r="AB65" s="36">
        <f>SUM(O65:Z65)</f>
        <v/>
      </c>
      <c r="AC65" s="38">
        <f>'KNL HO'!AC65+'CCL GROUP P&amp;L'!AC65+'YBHN GROUP P&amp;L'!AC65+'YBN Group P&amp;L'!AC65+'HAB'!AC65+'Moe2 P&amp;L'!AC65</f>
        <v/>
      </c>
      <c r="AD65" s="38">
        <f>'KNL HO'!AD65+'CCL GROUP P&amp;L'!AD65+'YBHN GROUP P&amp;L'!AD65+'YBN Group P&amp;L'!AD65+'HAB'!AD65+'Moe2 P&amp;L'!AD65</f>
        <v/>
      </c>
      <c r="AE65" s="38">
        <f>'KNL HO'!AE65+'CCL GROUP P&amp;L'!AE65+'YBHN GROUP P&amp;L'!AE65+'YBN Group P&amp;L'!AE65+'HAB'!AE65+'Moe2 P&amp;L'!AE65</f>
        <v/>
      </c>
      <c r="AF65" s="38">
        <f>'KNL HO'!AF65+'CCL GROUP P&amp;L'!AF65+'YBHN GROUP P&amp;L'!AF65+'YBN Group P&amp;L'!AF65+'HAB'!AF65+'Moe2 P&amp;L'!AF65</f>
        <v/>
      </c>
      <c r="AG65" s="38">
        <f>'KNL HO'!AG65+'CCL GROUP P&amp;L'!AG65+'YBHN GROUP P&amp;L'!AG65+'YBN Group P&amp;L'!AG65+'HAB'!AG65+'Moe2 P&amp;L'!AG65</f>
        <v/>
      </c>
      <c r="AH65" s="38">
        <f>'KNL HO'!AH65+'CCL GROUP P&amp;L'!AH65+'YBHN GROUP P&amp;L'!AH65+'YBN Group P&amp;L'!AH65+'HAB'!AH65+'Moe2 P&amp;L'!AH65</f>
        <v/>
      </c>
      <c r="AI65" s="137">
        <f>'KNL GROUP P&amp;L'!AI65+'CCL GROUP P&amp;L'!AI65+'YBHN GROUP P&amp;L'!AI65+'YBN Group P&amp;L'!AI65+'HAB P&amp;L'!AI65+'Moe2 P&amp;L'!AI65</f>
        <v/>
      </c>
      <c r="AJ65" s="138">
        <f>'KNL GROUP P&amp;L'!AJ65+'CCL GROUP P&amp;L'!AJ65+'YBHN GROUP P&amp;L'!AJ65+'YBN Group P&amp;L'!AJ65+'HAB P&amp;L'!AJ65+'Moe2 P&amp;L'!AJ65</f>
        <v/>
      </c>
      <c r="AK65" s="138">
        <f>'KNL GROUP P&amp;L'!AK65+'CCL GROUP P&amp;L'!AK65+'YBHN GROUP P&amp;L'!AK65+'YBN Group P&amp;L'!AK65+'HAB P&amp;L'!AK65+'Moe2 P&amp;L'!AK65</f>
        <v/>
      </c>
      <c r="AL65" s="138">
        <f>'KNL GROUP P&amp;L'!AL65+'CCL GROUP P&amp;L'!AL65+'YBHN GROUP P&amp;L'!AL65+'YBN Group P&amp;L'!AL65+'HAB P&amp;L'!AL65+'Moe2 P&amp;L'!AL65</f>
        <v/>
      </c>
      <c r="AM65" s="138">
        <f>'KNL GROUP P&amp;L'!AM65+'CCL GROUP P&amp;L'!AM65+'YBHN GROUP P&amp;L'!AM65+'YBN Group P&amp;L'!AM65+'HAB P&amp;L'!AM65+'Moe2 P&amp;L'!AM65</f>
        <v/>
      </c>
      <c r="AN65" s="137">
        <f>'KNL GROUP P&amp;L'!AN65+'CCL GROUP P&amp;L'!AN65+'YBHN GROUP P&amp;L'!AN65+'YBN Group P&amp;L'!AN65+'HAB P&amp;L'!AN65+'Moe2 P&amp;L'!AN65</f>
        <v/>
      </c>
      <c r="AO65" s="120">
        <f>SUM(AC65:AH65)+SUM(AI65:AN65)</f>
        <v/>
      </c>
      <c r="AP65" s="121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'ABA'!O66+'BK'!O66+'BW'!O66+'CED'!O66+'HAB'!O66+'HB'!O66+'OD'!O66+'HDN'!O66+'KIN'!O66+'LE'!O66+'MER'!O66+'NDN'!O66+'SALT'!O66+'SDN'!O66+'SST'!O66+'WH'!O66+'FH'!O66+'KNL HO'!O66+'CCL HO'!O66+'YBHN HO'!O66+'YBN HO'!O66</f>
        <v/>
      </c>
      <c r="P66" s="37">
        <f>'ABA'!P66+'BK'!P66+'BW'!P66+'CED'!P66+'HAB'!P66+'HB'!P66+'OD'!P66+'HDN'!P66+'KIN'!P66+'LE'!P66+'MER'!P66+'NDN'!P66+'SALT'!P66+'SDN'!P66+'SST'!P66+'WH'!P66+'FH'!P66+'KNL HO'!P66+'CCL HO'!P66+'YBHN HO'!P66+'YBN HO'!P66</f>
        <v/>
      </c>
      <c r="Q66" s="37">
        <f>'ABA'!Q66+'BK'!Q66+'BW'!Q66+'CED'!Q66+'HAB'!Q66+'HB'!Q66+'OD'!Q66+'HDN'!Q66+'KIN'!Q66+'LE'!Q66+'MER'!Q66+'NDN'!Q66+'SALT'!Q66+'SDN'!Q66+'SST'!Q66+'WH'!Q66+'FH'!Q66+'KNL HO'!Q66+'CCL HO'!Q66+'YBHN HO'!Q66+'YBN HO'!Q66</f>
        <v/>
      </c>
      <c r="R66" s="37">
        <f>'ABA'!R66+'BK'!R66+'BW'!R66+'CED'!R66+'HAB'!R66+'HB'!R66+'OD'!R66+'HDN'!R66+'KIN'!R66+'LE'!R66+'MER'!R66+'NDN'!R66+'SALT'!R66+'SDN'!R66+'SST'!R66+'WH'!R66+'FH'!R66+'KNL HO'!R66+'CCL HO'!R66+'YBHN HO'!R66+'YBN HO'!R66</f>
        <v/>
      </c>
      <c r="S66" s="37">
        <f>'ABA'!S66+'BK'!S66+'BW'!S66+'CED'!S66+'HAB'!S66+'HB'!S66+'OD'!S66+'HDN'!S66+'KIN'!S66+'LE'!S66+'MER'!S66+'NDN'!S66+'SALT'!S66+'SDN'!S66+'SST'!S66+'WH'!S66+'FH'!S66+'KNL HO'!S66+'CCL HO'!S66+'YBHN HO'!S66+'YBN HO'!S66</f>
        <v/>
      </c>
      <c r="T66" s="37">
        <f>'ABA'!T66+'BK'!T66+'BW'!T66+'CED'!T66+'HAB'!T66+'HB'!T66+'OD'!T66+'HDN'!T66+'KIN'!T66+'LE'!T66+'MER'!T66+'NDN'!T66+'SALT'!T66+'SDN'!T66+'SST'!T66+'WH'!T66+'FH'!T66+'KNL HO'!T66+'CCL HO'!T66+'YBHN HO'!T66+'YBN HO'!T66</f>
        <v/>
      </c>
      <c r="U66" s="37">
        <f>'ABA'!U66+'BK'!U66+'BW'!U66+'CED'!U66+'HAB'!U66+'HB'!U66+'OD'!U66+'HDN'!U66+'KIN'!U66+'LE'!U66+'MER'!U66+'NDN'!U66+'SALT'!U66+'SDN'!U66+'SST'!U66+'WH'!U66+'FH'!U66+'KNL HO'!U66+'CCL HO'!U66+'YBHN HO'!U66+'YBN HO'!U66</f>
        <v/>
      </c>
      <c r="V66" s="38">
        <f>'KNL HO'!V66+'CCL GROUP P&amp;L'!V66+'YBHN GROUP P&amp;L'!V66+'YBN Group P&amp;L'!V66+'HAB'!V66+'Moe2 P&amp;L'!V66</f>
        <v/>
      </c>
      <c r="W66" s="38">
        <f>'KNL HO'!W66+'CCL GROUP P&amp;L'!W66+'YBHN GROUP P&amp;L'!W66+'YBN Group P&amp;L'!W66+'HAB'!W66+'Moe2 P&amp;L'!W66</f>
        <v/>
      </c>
      <c r="X66" s="38">
        <f>'KNL HO'!X66+'CCL GROUP P&amp;L'!X66+'YBHN GROUP P&amp;L'!X66+'YBN Group P&amp;L'!X66+'HAB'!X66+'Moe2 P&amp;L'!X66</f>
        <v/>
      </c>
      <c r="Y66" s="38">
        <f>'KNL HO'!Y66+'CCL GROUP P&amp;L'!Y66+'YBHN GROUP P&amp;L'!Y66+'YBN Group P&amp;L'!Y66+'HAB'!Y66+'Moe2 P&amp;L'!Y66</f>
        <v/>
      </c>
      <c r="Z66" s="38">
        <f>'KNL HO'!Z66+'CCL GROUP P&amp;L'!Z66+'YBHN GROUP P&amp;L'!Z66+'YBN Group P&amp;L'!Z66+'HAB'!Z66+'Moe2 P&amp;L'!Z66</f>
        <v/>
      </c>
      <c r="AA66" s="36">
        <f>SUM(O66:U66)</f>
        <v/>
      </c>
      <c r="AB66" s="36">
        <f>SUM(O66:Z66)</f>
        <v/>
      </c>
      <c r="AC66" s="38">
        <f>'KNL HO'!AC66+'CCL GROUP P&amp;L'!AC66+'YBHN GROUP P&amp;L'!AC66+'YBN Group P&amp;L'!AC66+'HAB'!AC66+'Moe2 P&amp;L'!AC66</f>
        <v/>
      </c>
      <c r="AD66" s="38">
        <f>'KNL HO'!AD66+'CCL GROUP P&amp;L'!AD66+'YBHN GROUP P&amp;L'!AD66+'YBN Group P&amp;L'!AD66+'HAB'!AD66+'Moe2 P&amp;L'!AD66</f>
        <v/>
      </c>
      <c r="AE66" s="38">
        <f>'KNL HO'!AE66+'CCL GROUP P&amp;L'!AE66+'YBHN GROUP P&amp;L'!AE66+'YBN Group P&amp;L'!AE66+'HAB'!AE66+'Moe2 P&amp;L'!AE66</f>
        <v/>
      </c>
      <c r="AF66" s="38">
        <f>'KNL HO'!AF66+'CCL GROUP P&amp;L'!AF66+'YBHN GROUP P&amp;L'!AF66+'YBN Group P&amp;L'!AF66+'HAB'!AF66+'Moe2 P&amp;L'!AF66</f>
        <v/>
      </c>
      <c r="AG66" s="38">
        <f>'KNL HO'!AG66+'CCL GROUP P&amp;L'!AG66+'YBHN GROUP P&amp;L'!AG66+'YBN Group P&amp;L'!AG66+'HAB'!AG66+'Moe2 P&amp;L'!AG66</f>
        <v/>
      </c>
      <c r="AH66" s="38">
        <f>'KNL HO'!AH66+'CCL GROUP P&amp;L'!AH66+'YBHN GROUP P&amp;L'!AH66+'YBN Group P&amp;L'!AH66+'HAB'!AH66+'Moe2 P&amp;L'!AH66</f>
        <v/>
      </c>
      <c r="AI66" s="137">
        <f>'KNL GROUP P&amp;L'!AI66+'CCL GROUP P&amp;L'!AI66+'YBHN GROUP P&amp;L'!AI66+'YBN Group P&amp;L'!AI66+'HAB P&amp;L'!AI66+'Moe2 P&amp;L'!AI66</f>
        <v/>
      </c>
      <c r="AJ66" s="138">
        <f>'KNL GROUP P&amp;L'!AJ66+'CCL GROUP P&amp;L'!AJ66+'YBHN GROUP P&amp;L'!AJ66+'YBN Group P&amp;L'!AJ66+'HAB P&amp;L'!AJ66+'Moe2 P&amp;L'!AJ66</f>
        <v/>
      </c>
      <c r="AK66" s="138">
        <f>'KNL GROUP P&amp;L'!AK66+'CCL GROUP P&amp;L'!AK66+'YBHN GROUP P&amp;L'!AK66+'YBN Group P&amp;L'!AK66+'HAB P&amp;L'!AK66+'Moe2 P&amp;L'!AK66</f>
        <v/>
      </c>
      <c r="AL66" s="138">
        <f>'KNL GROUP P&amp;L'!AL66+'CCL GROUP P&amp;L'!AL66+'YBHN GROUP P&amp;L'!AL66+'YBN Group P&amp;L'!AL66+'HAB P&amp;L'!AL66+'Moe2 P&amp;L'!AL66</f>
        <v/>
      </c>
      <c r="AM66" s="138">
        <f>'KNL GROUP P&amp;L'!AM66+'CCL GROUP P&amp;L'!AM66+'YBHN GROUP P&amp;L'!AM66+'YBN Group P&amp;L'!AM66+'HAB P&amp;L'!AM66+'Moe2 P&amp;L'!AM66</f>
        <v/>
      </c>
      <c r="AN66" s="137">
        <f>'KNL GROUP P&amp;L'!AN66+'CCL GROUP P&amp;L'!AN66+'YBHN GROUP P&amp;L'!AN66+'YBN Group P&amp;L'!AN66+'HAB P&amp;L'!AN66+'Moe2 P&amp;L'!AN66</f>
        <v/>
      </c>
      <c r="AO66" s="120">
        <f>SUM(AC66:AH66)+SUM(AI66:AN66)</f>
        <v/>
      </c>
      <c r="AP66" s="121">
        <f>IF(AB66&lt;&gt;0,(AO66-AB66)/ABS(AB66),0)</f>
        <v/>
      </c>
    </row>
    <row r="67">
      <c r="A67" s="34" t="inlineStr">
        <is>
          <t>Proffessional Fees</t>
        </is>
      </c>
      <c r="B67" s="35" t="n">
        <v>-2490.960000000001</v>
      </c>
      <c r="C67" s="35" t="n">
        <v>24986.81</v>
      </c>
      <c r="D67" s="35" t="n">
        <v>6956.65</v>
      </c>
      <c r="E67" s="35" t="n">
        <v>23477.11</v>
      </c>
      <c r="F67" s="35" t="n">
        <v>12828.06</v>
      </c>
      <c r="G67" s="35" t="n">
        <v>6524.48</v>
      </c>
      <c r="H67" s="35" t="n">
        <v>5991.870000000001</v>
      </c>
      <c r="I67" s="35" t="n">
        <v>5914.58</v>
      </c>
      <c r="J67" s="35" t="n">
        <v>17708.91</v>
      </c>
      <c r="K67" s="35" t="n">
        <v>9306.309999999999</v>
      </c>
      <c r="L67" s="35" t="n">
        <v>6955.470000000001</v>
      </c>
      <c r="M67" s="35" t="n">
        <v>10551.59</v>
      </c>
      <c r="N67" s="36">
        <f>SUM(B67:M67)</f>
        <v/>
      </c>
      <c r="O67" s="37">
        <f>'ABA'!O67+'BK'!O67+'BW'!O67+'CED'!O67+'HAB'!O67+'HB'!O67+'OD'!O67+'HDN'!O67+'KIN'!O67+'LE'!O67+'MER'!O67+'NDN'!O67+'SALT'!O67+'SDN'!O67+'SST'!O67+'WH'!O67+'FH'!O67+'KNL HO'!O67+'CCL HO'!O67+'YBHN HO'!O67+'YBN HO'!O67</f>
        <v/>
      </c>
      <c r="P67" s="37">
        <f>'ABA'!P67+'BK'!P67+'BW'!P67+'CED'!P67+'HAB'!P67+'HB'!P67+'OD'!P67+'HDN'!P67+'KIN'!P67+'LE'!P67+'MER'!P67+'NDN'!P67+'SALT'!P67+'SDN'!P67+'SST'!P67+'WH'!P67+'FH'!P67+'KNL HO'!P67+'CCL HO'!P67+'YBHN HO'!P67+'YBN HO'!P67</f>
        <v/>
      </c>
      <c r="Q67" s="37">
        <f>'ABA'!Q67+'BK'!Q67+'BW'!Q67+'CED'!Q67+'HAB'!Q67+'HB'!Q67+'OD'!Q67+'HDN'!Q67+'KIN'!Q67+'LE'!Q67+'MER'!Q67+'NDN'!Q67+'SALT'!Q67+'SDN'!Q67+'SST'!Q67+'WH'!Q67+'FH'!Q67+'KNL HO'!Q67+'CCL HO'!Q67+'YBHN HO'!Q67+'YBN HO'!Q67</f>
        <v/>
      </c>
      <c r="R67" s="37">
        <f>'ABA'!R67+'BK'!R67+'BW'!R67+'CED'!R67+'HAB'!R67+'HB'!R67+'OD'!R67+'HDN'!R67+'KIN'!R67+'LE'!R67+'MER'!R67+'NDN'!R67+'SALT'!R67+'SDN'!R67+'SST'!R67+'WH'!R67+'FH'!R67+'KNL HO'!R67+'CCL HO'!R67+'YBHN HO'!R67+'YBN HO'!R67</f>
        <v/>
      </c>
      <c r="S67" s="37">
        <f>'ABA'!S67+'BK'!S67+'BW'!S67+'CED'!S67+'HAB'!S67+'HB'!S67+'OD'!S67+'HDN'!S67+'KIN'!S67+'LE'!S67+'MER'!S67+'NDN'!S67+'SALT'!S67+'SDN'!S67+'SST'!S67+'WH'!S67+'FH'!S67+'KNL HO'!S67+'CCL HO'!S67+'YBHN HO'!S67+'YBN HO'!S67</f>
        <v/>
      </c>
      <c r="T67" s="37">
        <f>'ABA'!T67+'BK'!T67+'BW'!T67+'CED'!T67+'HAB'!T67+'HB'!T67+'OD'!T67+'HDN'!T67+'KIN'!T67+'LE'!T67+'MER'!T67+'NDN'!T67+'SALT'!T67+'SDN'!T67+'SST'!T67+'WH'!T67+'FH'!T67+'KNL HO'!T67+'CCL HO'!T67+'YBHN HO'!T67+'YBN HO'!T67</f>
        <v/>
      </c>
      <c r="U67" s="37">
        <f>'ABA'!U67+'BK'!U67+'BW'!U67+'CED'!U67+'HAB'!U67+'HB'!U67+'OD'!U67+'HDN'!U67+'KIN'!U67+'LE'!U67+'MER'!U67+'NDN'!U67+'SALT'!U67+'SDN'!U67+'SST'!U67+'WH'!U67+'FH'!U67+'KNL HO'!U67+'CCL HO'!U67+'YBHN HO'!U67+'YBN HO'!U67</f>
        <v/>
      </c>
      <c r="V67" s="38">
        <f>'KNL HO'!V67+'CCL GROUP P&amp;L'!V67+'YBHN GROUP P&amp;L'!V67+'YBN Group P&amp;L'!V67+'HAB'!V67+'Moe2 P&amp;L'!V67</f>
        <v/>
      </c>
      <c r="W67" s="38">
        <f>'KNL HO'!W67+'CCL GROUP P&amp;L'!W67+'YBHN GROUP P&amp;L'!W67+'YBN Group P&amp;L'!W67+'HAB'!W67+'Moe2 P&amp;L'!W67</f>
        <v/>
      </c>
      <c r="X67" s="38">
        <f>'KNL HO'!X67+'CCL GROUP P&amp;L'!X67+'YBHN GROUP P&amp;L'!X67+'YBN Group P&amp;L'!X67+'HAB'!X67+'Moe2 P&amp;L'!X67</f>
        <v/>
      </c>
      <c r="Y67" s="38">
        <f>'KNL HO'!Y67+'CCL GROUP P&amp;L'!Y67+'YBHN GROUP P&amp;L'!Y67+'YBN Group P&amp;L'!Y67+'HAB'!Y67+'Moe2 P&amp;L'!Y67</f>
        <v/>
      </c>
      <c r="Z67" s="38">
        <f>'KNL HO'!Z67+'CCL GROUP P&amp;L'!Z67+'YBHN GROUP P&amp;L'!Z67+'YBN Group P&amp;L'!Z67+'HAB'!Z67+'Moe2 P&amp;L'!Z67</f>
        <v/>
      </c>
      <c r="AA67" s="36">
        <f>SUM(O67:U67)</f>
        <v/>
      </c>
      <c r="AB67" s="36">
        <f>SUM(O67:Z67)</f>
        <v/>
      </c>
      <c r="AC67" s="38">
        <f>'KNL HO'!AC67+'CCL GROUP P&amp;L'!AC67+'YBHN GROUP P&amp;L'!AC67+'YBN Group P&amp;L'!AC67+'HAB'!AC67+'Moe2 P&amp;L'!AC67</f>
        <v/>
      </c>
      <c r="AD67" s="38">
        <f>'KNL HO'!AD67+'CCL GROUP P&amp;L'!AD67+'YBHN GROUP P&amp;L'!AD67+'YBN Group P&amp;L'!AD67+'HAB'!AD67+'Moe2 P&amp;L'!AD67</f>
        <v/>
      </c>
      <c r="AE67" s="38">
        <f>'KNL HO'!AE67+'CCL GROUP P&amp;L'!AE67+'YBHN GROUP P&amp;L'!AE67+'YBN Group P&amp;L'!AE67+'HAB'!AE67+'Moe2 P&amp;L'!AE67</f>
        <v/>
      </c>
      <c r="AF67" s="38">
        <f>'KNL HO'!AF67+'CCL GROUP P&amp;L'!AF67+'YBHN GROUP P&amp;L'!AF67+'YBN Group P&amp;L'!AF67+'HAB'!AF67+'Moe2 P&amp;L'!AF67</f>
        <v/>
      </c>
      <c r="AG67" s="38">
        <f>'KNL HO'!AG67+'CCL GROUP P&amp;L'!AG67+'YBHN GROUP P&amp;L'!AG67+'YBN Group P&amp;L'!AG67+'HAB'!AG67+'Moe2 P&amp;L'!AG67</f>
        <v/>
      </c>
      <c r="AH67" s="38">
        <f>'KNL HO'!AH67+'CCL GROUP P&amp;L'!AH67+'YBHN GROUP P&amp;L'!AH67+'YBN Group P&amp;L'!AH67+'HAB'!AH67+'Moe2 P&amp;L'!AH67</f>
        <v/>
      </c>
      <c r="AI67" s="137">
        <f>'KNL GROUP P&amp;L'!AI67+'CCL GROUP P&amp;L'!AI67+'YBHN GROUP P&amp;L'!AI67+'YBN Group P&amp;L'!AI67+'HAB P&amp;L'!AI67+'Moe2 P&amp;L'!AI67</f>
        <v/>
      </c>
      <c r="AJ67" s="138">
        <f>'KNL GROUP P&amp;L'!AJ67+'CCL GROUP P&amp;L'!AJ67+'YBHN GROUP P&amp;L'!AJ67+'YBN Group P&amp;L'!AJ67+'HAB P&amp;L'!AJ67+'Moe2 P&amp;L'!AJ67</f>
        <v/>
      </c>
      <c r="AK67" s="138">
        <f>'KNL GROUP P&amp;L'!AK67+'CCL GROUP P&amp;L'!AK67+'YBHN GROUP P&amp;L'!AK67+'YBN Group P&amp;L'!AK67+'HAB P&amp;L'!AK67+'Moe2 P&amp;L'!AK67</f>
        <v/>
      </c>
      <c r="AL67" s="138">
        <f>'KNL GROUP P&amp;L'!AL67+'CCL GROUP P&amp;L'!AL67+'YBHN GROUP P&amp;L'!AL67+'YBN Group P&amp;L'!AL67+'HAB P&amp;L'!AL67+'Moe2 P&amp;L'!AL67</f>
        <v/>
      </c>
      <c r="AM67" s="138">
        <f>'KNL GROUP P&amp;L'!AM67+'CCL GROUP P&amp;L'!AM67+'YBHN GROUP P&amp;L'!AM67+'YBN Group P&amp;L'!AM67+'HAB P&amp;L'!AM67+'Moe2 P&amp;L'!AM67</f>
        <v/>
      </c>
      <c r="AN67" s="137">
        <f>'KNL GROUP P&amp;L'!AN67+'CCL GROUP P&amp;L'!AN67+'YBHN GROUP P&amp;L'!AN67+'YBN Group P&amp;L'!AN67+'HAB P&amp;L'!AN67+'Moe2 P&amp;L'!AN67</f>
        <v/>
      </c>
      <c r="AO67" s="120">
        <f>SUM(AC67:AH67)+SUM(AI67:AN67)</f>
        <v/>
      </c>
      <c r="AP67" s="121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355.6</v>
      </c>
      <c r="C68" s="35" t="n">
        <v>382.15</v>
      </c>
      <c r="D68" s="35" t="n">
        <v>494.51</v>
      </c>
      <c r="E68" s="35" t="n">
        <v>424.02</v>
      </c>
      <c r="F68" s="35" t="n">
        <v>451.65</v>
      </c>
      <c r="G68" s="35" t="n">
        <v>545.4</v>
      </c>
      <c r="H68" s="35" t="n">
        <v>1075.45</v>
      </c>
      <c r="I68" s="35" t="n">
        <v>326.4</v>
      </c>
      <c r="J68" s="35" t="n">
        <v>166.53</v>
      </c>
      <c r="K68" s="35" t="n">
        <v>342.5</v>
      </c>
      <c r="L68" s="35" t="n">
        <v>281.9</v>
      </c>
      <c r="M68" s="35" t="n">
        <v>314.79</v>
      </c>
      <c r="N68" s="36">
        <f>SUM(B68:M68)</f>
        <v/>
      </c>
      <c r="O68" s="37">
        <f>'ABA'!O68+'BK'!O68+'BW'!O68+'CED'!O68+'HAB'!O68+'HB'!O68+'OD'!O68+'HDN'!O68+'KIN'!O68+'LE'!O68+'MER'!O68+'NDN'!O68+'SALT'!O68+'SDN'!O68+'SST'!O68+'WH'!O68+'FH'!O68+'KNL HO'!O68+'CCL HO'!O68+'YBHN HO'!O68+'YBN HO'!O68</f>
        <v/>
      </c>
      <c r="P68" s="37">
        <f>'ABA'!P68+'BK'!P68+'BW'!P68+'CED'!P68+'HAB'!P68+'HB'!P68+'OD'!P68+'HDN'!P68+'KIN'!P68+'LE'!P68+'MER'!P68+'NDN'!P68+'SALT'!P68+'SDN'!P68+'SST'!P68+'WH'!P68+'FH'!P68+'KNL HO'!P68+'CCL HO'!P68+'YBHN HO'!P68+'YBN HO'!P68</f>
        <v/>
      </c>
      <c r="Q68" s="37">
        <f>'ABA'!Q68+'BK'!Q68+'BW'!Q68+'CED'!Q68+'HAB'!Q68+'HB'!Q68+'OD'!Q68+'HDN'!Q68+'KIN'!Q68+'LE'!Q68+'MER'!Q68+'NDN'!Q68+'SALT'!Q68+'SDN'!Q68+'SST'!Q68+'WH'!Q68+'FH'!Q68+'KNL HO'!Q68+'CCL HO'!Q68+'YBHN HO'!Q68+'YBN HO'!Q68</f>
        <v/>
      </c>
      <c r="R68" s="37">
        <f>'ABA'!R68+'BK'!R68+'BW'!R68+'CED'!R68+'HAB'!R68+'HB'!R68+'OD'!R68+'HDN'!R68+'KIN'!R68+'LE'!R68+'MER'!R68+'NDN'!R68+'SALT'!R68+'SDN'!R68+'SST'!R68+'WH'!R68+'FH'!R68+'KNL HO'!R68+'CCL HO'!R68+'YBHN HO'!R68+'YBN HO'!R68</f>
        <v/>
      </c>
      <c r="S68" s="37">
        <f>'ABA'!S68+'BK'!S68+'BW'!S68+'CED'!S68+'HAB'!S68+'HB'!S68+'OD'!S68+'HDN'!S68+'KIN'!S68+'LE'!S68+'MER'!S68+'NDN'!S68+'SALT'!S68+'SDN'!S68+'SST'!S68+'WH'!S68+'FH'!S68+'KNL HO'!S68+'CCL HO'!S68+'YBHN HO'!S68+'YBN HO'!S68</f>
        <v/>
      </c>
      <c r="T68" s="37">
        <f>'ABA'!T68+'BK'!T68+'BW'!T68+'CED'!T68+'HAB'!T68+'HB'!T68+'OD'!T68+'HDN'!T68+'KIN'!T68+'LE'!T68+'MER'!T68+'NDN'!T68+'SALT'!T68+'SDN'!T68+'SST'!T68+'WH'!T68+'FH'!T68+'KNL HO'!T68+'CCL HO'!T68+'YBHN HO'!T68+'YBN HO'!T68</f>
        <v/>
      </c>
      <c r="U68" s="37">
        <f>'ABA'!U68+'BK'!U68+'BW'!U68+'CED'!U68+'HAB'!U68+'HB'!U68+'OD'!U68+'HDN'!U68+'KIN'!U68+'LE'!U68+'MER'!U68+'NDN'!U68+'SALT'!U68+'SDN'!U68+'SST'!U68+'WH'!U68+'FH'!U68+'KNL HO'!U68+'CCL HO'!U68+'YBHN HO'!U68+'YBN HO'!U68</f>
        <v/>
      </c>
      <c r="V68" s="38">
        <f>'KNL HO'!V68+'CCL GROUP P&amp;L'!V68+'YBHN GROUP P&amp;L'!V68+'YBN Group P&amp;L'!V68+'HAB'!V68+'Moe2 P&amp;L'!V68</f>
        <v/>
      </c>
      <c r="W68" s="38">
        <f>'KNL HO'!W68+'CCL GROUP P&amp;L'!W68+'YBHN GROUP P&amp;L'!W68+'YBN Group P&amp;L'!W68+'HAB'!W68+'Moe2 P&amp;L'!W68</f>
        <v/>
      </c>
      <c r="X68" s="38">
        <f>'KNL HO'!X68+'CCL GROUP P&amp;L'!X68+'YBHN GROUP P&amp;L'!X68+'YBN Group P&amp;L'!X68+'HAB'!X68+'Moe2 P&amp;L'!X68</f>
        <v/>
      </c>
      <c r="Y68" s="38">
        <f>'KNL HO'!Y68+'CCL GROUP P&amp;L'!Y68+'YBHN GROUP P&amp;L'!Y68+'YBN Group P&amp;L'!Y68+'HAB'!Y68+'Moe2 P&amp;L'!Y68</f>
        <v/>
      </c>
      <c r="Z68" s="38">
        <f>'KNL HO'!Z68+'CCL GROUP P&amp;L'!Z68+'YBHN GROUP P&amp;L'!Z68+'YBN Group P&amp;L'!Z68+'HAB'!Z68+'Moe2 P&amp;L'!Z68</f>
        <v/>
      </c>
      <c r="AA68" s="36">
        <f>SUM(O68:U68)</f>
        <v/>
      </c>
      <c r="AB68" s="104">
        <f>SUM(O68:Z68)</f>
        <v/>
      </c>
      <c r="AC68" s="38">
        <f>'KNL HO'!AC68+'CCL GROUP P&amp;L'!AC68+'YBHN GROUP P&amp;L'!AC68+'YBN Group P&amp;L'!AC68+'HAB'!AC68+'Moe2 P&amp;L'!AC68</f>
        <v/>
      </c>
      <c r="AD68" s="38">
        <f>'KNL HO'!AD68+'CCL GROUP P&amp;L'!AD68+'YBHN GROUP P&amp;L'!AD68+'YBN Group P&amp;L'!AD68+'HAB'!AD68+'Moe2 P&amp;L'!AD68</f>
        <v/>
      </c>
      <c r="AE68" s="38">
        <f>'KNL HO'!AE68+'CCL GROUP P&amp;L'!AE68+'YBHN GROUP P&amp;L'!AE68+'YBN Group P&amp;L'!AE68+'HAB'!AE68+'Moe2 P&amp;L'!AE68</f>
        <v/>
      </c>
      <c r="AF68" s="38">
        <f>'KNL HO'!AF68+'CCL GROUP P&amp;L'!AF68+'YBHN GROUP P&amp;L'!AF68+'YBN Group P&amp;L'!AF68+'HAB'!AF68+'Moe2 P&amp;L'!AF68</f>
        <v/>
      </c>
      <c r="AG68" s="38">
        <f>'KNL HO'!AG68+'CCL GROUP P&amp;L'!AG68+'YBHN GROUP P&amp;L'!AG68+'YBN Group P&amp;L'!AG68+'HAB'!AG68+'Moe2 P&amp;L'!AG68</f>
        <v/>
      </c>
      <c r="AH68" s="38">
        <f>'KNL HO'!AH68+'CCL GROUP P&amp;L'!AH68+'YBHN GROUP P&amp;L'!AH68+'YBN Group P&amp;L'!AH68+'HAB'!AH68+'Moe2 P&amp;L'!AH68</f>
        <v/>
      </c>
      <c r="AI68" s="137">
        <f>'KNL GROUP P&amp;L'!AI68+'CCL GROUP P&amp;L'!AI68+'YBHN GROUP P&amp;L'!AI68+'YBN Group P&amp;L'!AI68+'HAB P&amp;L'!AI68+'Moe2 P&amp;L'!AI68</f>
        <v/>
      </c>
      <c r="AJ68" s="138">
        <f>'KNL GROUP P&amp;L'!AJ68+'CCL GROUP P&amp;L'!AJ68+'YBHN GROUP P&amp;L'!AJ68+'YBN Group P&amp;L'!AJ68+'HAB P&amp;L'!AJ68+'Moe2 P&amp;L'!AJ68</f>
        <v/>
      </c>
      <c r="AK68" s="138">
        <f>'KNL GROUP P&amp;L'!AK68+'CCL GROUP P&amp;L'!AK68+'YBHN GROUP P&amp;L'!AK68+'YBN Group P&amp;L'!AK68+'HAB P&amp;L'!AK68+'Moe2 P&amp;L'!AK68</f>
        <v/>
      </c>
      <c r="AL68" s="138">
        <f>'KNL GROUP P&amp;L'!AL68+'CCL GROUP P&amp;L'!AL68+'YBHN GROUP P&amp;L'!AL68+'YBN Group P&amp;L'!AL68+'HAB P&amp;L'!AL68+'Moe2 P&amp;L'!AL68</f>
        <v/>
      </c>
      <c r="AM68" s="138">
        <f>'KNL GROUP P&amp;L'!AM68+'CCL GROUP P&amp;L'!AM68+'YBHN GROUP P&amp;L'!AM68+'YBN Group P&amp;L'!AM68+'HAB P&amp;L'!AM68+'Moe2 P&amp;L'!AM68</f>
        <v/>
      </c>
      <c r="AN68" s="137">
        <f>'KNL GROUP P&amp;L'!AN68+'CCL GROUP P&amp;L'!AN68+'YBHN GROUP P&amp;L'!AN68+'YBN Group P&amp;L'!AN68+'HAB P&amp;L'!AN68+'Moe2 P&amp;L'!AN68</f>
        <v/>
      </c>
      <c r="AO68" s="120">
        <f>SUM(AC68:AH68)+SUM(AI68:AN68)</f>
        <v/>
      </c>
      <c r="AP68" s="121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127479.33</v>
      </c>
      <c r="C69" s="42" t="n">
        <v>140605.39</v>
      </c>
      <c r="D69" s="42" t="n">
        <v>165696.69</v>
      </c>
      <c r="E69" s="42" t="n">
        <v>203725.6</v>
      </c>
      <c r="F69" s="42" t="n">
        <v>125065.98</v>
      </c>
      <c r="G69" s="42" t="n">
        <v>142071.87</v>
      </c>
      <c r="H69" s="42" t="n">
        <v>142712.62</v>
      </c>
      <c r="I69" s="42" t="n">
        <v>158334.06</v>
      </c>
      <c r="J69" s="42" t="n">
        <v>215286.34</v>
      </c>
      <c r="K69" s="42" t="n">
        <v>147961.99</v>
      </c>
      <c r="L69" s="42" t="n">
        <v>157533.37</v>
      </c>
      <c r="M69" s="42" t="n">
        <v>488946.03</v>
      </c>
      <c r="N69" s="43">
        <f>SUM(B69:M69)</f>
        <v/>
      </c>
      <c r="O69" s="44">
        <f>SUM(O53:O68)</f>
        <v/>
      </c>
      <c r="P69" s="44">
        <f>SUM(P53:P68)</f>
        <v/>
      </c>
      <c r="Q69" s="44">
        <f>SUM(Q53:Q68)</f>
        <v/>
      </c>
      <c r="R69" s="44">
        <f>SUM(R53:R68)</f>
        <v/>
      </c>
      <c r="S69" s="44">
        <f>SUM(S53:S68)</f>
        <v/>
      </c>
      <c r="T69" s="44">
        <f>SUM(T53:T68)</f>
        <v/>
      </c>
      <c r="U69" s="44">
        <f>SUM(U53:U68)</f>
        <v/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SUM(O69:U69)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2">
        <f>SUM(AI53:AI68)</f>
        <v/>
      </c>
      <c r="AJ69" s="123">
        <f>SUM(AJ53:AJ68)</f>
        <v/>
      </c>
      <c r="AK69" s="123">
        <f>SUM(AK53:AK68)</f>
        <v/>
      </c>
      <c r="AL69" s="123">
        <f>SUM(AL53:AL68)</f>
        <v/>
      </c>
      <c r="AM69" s="123">
        <f>SUM(AM53:AM68)</f>
        <v/>
      </c>
      <c r="AN69" s="122">
        <f>SUM(AN53:AN68)</f>
        <v/>
      </c>
      <c r="AO69" s="124">
        <f>SUM(AC69:AH69)+SUM(AI69:AN69)</f>
        <v/>
      </c>
      <c r="AP69" s="125">
        <f>IF(AB69&lt;&gt;0,(AO69-AB69)/ABS(AB69),0)</f>
        <v/>
      </c>
    </row>
    <row r="70" ht="15.75" customHeight="1">
      <c r="A70" s="54" t="inlineStr">
        <is>
          <t>EBITDA</t>
        </is>
      </c>
      <c r="B70" s="55" t="n">
        <v>141740.61</v>
      </c>
      <c r="C70" s="55" t="n">
        <v>161261.61</v>
      </c>
      <c r="D70" s="55" t="n">
        <v>312669.7000000001</v>
      </c>
      <c r="E70" s="55" t="n">
        <v>104412.3299999997</v>
      </c>
      <c r="F70" s="55" t="n">
        <v>72948.60000000011</v>
      </c>
      <c r="G70" s="55" t="n">
        <v>198388.9600000001</v>
      </c>
      <c r="H70" s="55" t="n">
        <v>475618.0999999997</v>
      </c>
      <c r="I70" s="55" t="n">
        <v>-16824.51000000004</v>
      </c>
      <c r="J70" s="55" t="n">
        <v>-96262.10999999993</v>
      </c>
      <c r="K70" s="55" t="n">
        <v>-10399.62</v>
      </c>
      <c r="L70" s="55" t="n">
        <v>166737.3400000001</v>
      </c>
      <c r="M70" s="55" t="n">
        <v>47760.69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3">
        <f>AI50-AI69</f>
        <v/>
      </c>
      <c r="AJ70" s="143">
        <f>AJ50-AJ69</f>
        <v/>
      </c>
      <c r="AK70" s="143">
        <f>AK50-AK69</f>
        <v/>
      </c>
      <c r="AL70" s="143">
        <f>AL50-AL69</f>
        <v/>
      </c>
      <c r="AM70" s="143">
        <f>AM50-AM69</f>
        <v/>
      </c>
      <c r="AN70" s="143">
        <f>AN50-AN69</f>
        <v/>
      </c>
      <c r="AO70" s="144">
        <f>SUM(AC70:AH70)+SUM(AI70:AN70)</f>
        <v/>
      </c>
      <c r="AP70" s="145">
        <f>IF(AB70&lt;&gt;0,(AO70-AB70)/ABS(AB70),0)</f>
        <v/>
      </c>
      <c r="AQ70" s="146">
        <f>AO70-1300000</f>
        <v/>
      </c>
    </row>
    <row r="71">
      <c r="A71" s="28" t="inlineStr">
        <is>
          <t>Exceptional Add Backs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36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36">
        <f>SUM(O71:U71)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7">
        <f>SUM(AC71:AH71)+SUM(AI71:AN71)</f>
        <v/>
      </c>
      <c r="AP71" s="145">
        <f>IF(AB71&lt;&gt;0,(AO71-AB71)/ABS(AB71),0)</f>
        <v/>
      </c>
    </row>
    <row r="72">
      <c r="A72" s="34" t="inlineStr">
        <is>
          <t>Bonus - Attendance</t>
        </is>
      </c>
      <c r="B72" s="35" t="n"/>
      <c r="C72" s="35" t="n"/>
      <c r="D72" s="35" t="n"/>
      <c r="E72" s="35" t="n"/>
      <c r="F72" s="35" t="n"/>
      <c r="G72" s="35" t="n"/>
      <c r="H72" s="35" t="n">
        <v>23662</v>
      </c>
      <c r="I72" s="35" t="n">
        <v>278</v>
      </c>
      <c r="J72" s="35" t="n"/>
      <c r="K72" s="35" t="n"/>
      <c r="L72" s="35" t="n"/>
      <c r="M72" s="35" t="n"/>
      <c r="N72" s="36">
        <f>SUM(B72:M72)</f>
        <v/>
      </c>
      <c r="O72" s="37" t="n"/>
      <c r="P72" s="37" t="n"/>
      <c r="Q72" s="37" t="n"/>
      <c r="R72" s="37" t="n"/>
      <c r="S72" s="37" t="n"/>
      <c r="T72" s="37" t="n"/>
      <c r="U72" s="37" t="n"/>
      <c r="V72" s="38" t="n"/>
      <c r="W72" s="38" t="n"/>
      <c r="X72" s="38" t="n"/>
      <c r="Y72" s="38" t="n"/>
      <c r="Z72" s="38" t="n"/>
      <c r="AA72" s="36">
        <f>SUM(O72:U72)</f>
        <v/>
      </c>
      <c r="AB72" s="56" t="n"/>
      <c r="AC72" s="38" t="n"/>
      <c r="AD72" s="38" t="n"/>
      <c r="AE72" s="38" t="n"/>
      <c r="AF72" s="38" t="n"/>
      <c r="AG72" s="38" t="n"/>
      <c r="AH72" s="38" t="n"/>
      <c r="AI72" s="117" t="n">
        <v>0</v>
      </c>
      <c r="AJ72" s="117" t="n">
        <v>0</v>
      </c>
      <c r="AK72" s="117" t="n">
        <v>0</v>
      </c>
      <c r="AL72" s="117" t="n">
        <v>0</v>
      </c>
      <c r="AM72" s="117" t="n">
        <v>0</v>
      </c>
      <c r="AN72" s="117" t="n">
        <v>0</v>
      </c>
      <c r="AO72" s="156">
        <f>SUM(AC72:AH72)+SUM(AI72:AN72)</f>
        <v/>
      </c>
      <c r="AP72" s="145">
        <f>IF(AB72&lt;&gt;0,(AO72-AB72)/ABS(AB72),0)</f>
        <v/>
      </c>
    </row>
    <row r="73">
      <c r="A73" s="34" t="inlineStr">
        <is>
          <t>Bonus - General</t>
        </is>
      </c>
      <c r="B73" s="35" t="n">
        <v>300</v>
      </c>
      <c r="C73" s="35" t="n">
        <v>918</v>
      </c>
      <c r="D73" s="35" t="n">
        <v>518</v>
      </c>
      <c r="E73" s="35" t="n">
        <v>1618</v>
      </c>
      <c r="F73" s="35" t="n">
        <v>993</v>
      </c>
      <c r="G73" s="35" t="n">
        <v>1443</v>
      </c>
      <c r="H73" s="35" t="n">
        <v>4593</v>
      </c>
      <c r="I73" s="35" t="n">
        <v>900</v>
      </c>
      <c r="J73" s="35" t="n"/>
      <c r="K73" s="35" t="n"/>
      <c r="L73" s="35" t="n"/>
      <c r="M73" s="35" t="n"/>
      <c r="N73" s="36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6">
        <f>SUM(O73:U73)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7" t="n">
        <v>0</v>
      </c>
      <c r="AJ73" s="117" t="n">
        <v>0</v>
      </c>
      <c r="AK73" s="117" t="n">
        <v>0</v>
      </c>
      <c r="AL73" s="117" t="n">
        <v>0</v>
      </c>
      <c r="AM73" s="117" t="n">
        <v>0</v>
      </c>
      <c r="AN73" s="117" t="n">
        <v>0</v>
      </c>
      <c r="AO73" s="156">
        <f>SUM(AC73:AH73)+SUM(AI73:AN73)</f>
        <v/>
      </c>
      <c r="AP73" s="145">
        <f>IF(AB73&lt;&gt;0,(AO73-AB73)/ABS(AB73),0)</f>
        <v/>
      </c>
    </row>
    <row r="74">
      <c r="A74" s="34" t="inlineStr">
        <is>
          <t>Bonus - Directors</t>
        </is>
      </c>
      <c r="B74" s="35" t="n">
        <v>24447</v>
      </c>
      <c r="C74" s="35" t="n">
        <v>24447</v>
      </c>
      <c r="D74" s="35" t="n">
        <v>24447</v>
      </c>
      <c r="E74" s="35" t="n">
        <v>24446</v>
      </c>
      <c r="F74" s="35" t="n">
        <v>24446</v>
      </c>
      <c r="G74" s="35" t="n">
        <v>42271</v>
      </c>
      <c r="H74" s="35" t="n">
        <v>33516</v>
      </c>
      <c r="I74" s="35" t="n">
        <v>51026</v>
      </c>
      <c r="J74" s="35" t="n">
        <v>42272</v>
      </c>
      <c r="K74" s="35" t="n">
        <v>42271</v>
      </c>
      <c r="L74" s="35" t="n">
        <v>42271</v>
      </c>
      <c r="M74" s="35" t="n">
        <v>341213</v>
      </c>
      <c r="N74" s="36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6">
        <f>SUM(O74:U74)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7" t="n">
        <v>0</v>
      </c>
      <c r="AJ74" s="117" t="n">
        <v>0</v>
      </c>
      <c r="AK74" s="117" t="n">
        <v>0</v>
      </c>
      <c r="AL74" s="117" t="n">
        <v>0</v>
      </c>
      <c r="AM74" s="117" t="n">
        <v>0</v>
      </c>
      <c r="AN74" s="117" t="n">
        <v>0</v>
      </c>
      <c r="AO74" s="156">
        <f>SUM(AC74:AH74)+SUM(AI74:AN74)</f>
        <v/>
      </c>
      <c r="AP74" s="145">
        <f>IF(AB74&lt;&gt;0,(AO74-AB74)/ABS(AB74),0)</f>
        <v/>
      </c>
    </row>
    <row r="75">
      <c r="A75" s="34" t="inlineStr">
        <is>
          <t>Bonus - Performance</t>
        </is>
      </c>
      <c r="B75" s="35" t="n"/>
      <c r="C75" s="35" t="n"/>
      <c r="D75" s="35" t="n"/>
      <c r="E75" s="35" t="n">
        <v>35000</v>
      </c>
      <c r="F75" s="35" t="n"/>
      <c r="G75" s="35" t="n"/>
      <c r="H75" s="35" t="n"/>
      <c r="I75" s="35" t="n"/>
      <c r="J75" s="35" t="n">
        <v>17241</v>
      </c>
      <c r="K75" s="35" t="n"/>
      <c r="L75" s="35" t="n"/>
      <c r="M75" s="35" t="n"/>
      <c r="N75" s="36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6">
        <f>SUM(O75:U75)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7" t="n">
        <v>0</v>
      </c>
      <c r="AJ75" s="117" t="n">
        <v>0</v>
      </c>
      <c r="AK75" s="117" t="n">
        <v>0</v>
      </c>
      <c r="AL75" s="117" t="n">
        <v>0</v>
      </c>
      <c r="AM75" s="117" t="n">
        <v>0</v>
      </c>
      <c r="AN75" s="117" t="n">
        <v>0</v>
      </c>
      <c r="AO75" s="156">
        <f>SUM(AC75:AH75)+SUM(AI75:AN75)</f>
        <v/>
      </c>
      <c r="AP75" s="145">
        <f>IF(AB75&lt;&gt;0,(AO75-AB75)/ABS(AB75),0)</f>
        <v/>
      </c>
    </row>
    <row r="76">
      <c r="A76" s="34" t="inlineStr">
        <is>
          <t>PILON</t>
        </is>
      </c>
      <c r="B76" s="35" t="n">
        <v>3148</v>
      </c>
      <c r="C76" s="35" t="n"/>
      <c r="D76" s="35" t="n">
        <v>933</v>
      </c>
      <c r="E76" s="35" t="n">
        <v>22819</v>
      </c>
      <c r="F76" s="35" t="n">
        <v>400</v>
      </c>
      <c r="G76" s="35" t="n"/>
      <c r="H76" s="35" t="n"/>
      <c r="I76" s="35" t="n"/>
      <c r="J76" s="35" t="n">
        <v>14086</v>
      </c>
      <c r="K76" s="35" t="n"/>
      <c r="L76" s="35" t="n"/>
      <c r="M76" s="35" t="n"/>
      <c r="N76" s="36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6">
        <f>SUM(O76:U76)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7" t="n">
        <v>0</v>
      </c>
      <c r="AJ76" s="117" t="n">
        <v>0</v>
      </c>
      <c r="AK76" s="117" t="n">
        <v>0</v>
      </c>
      <c r="AL76" s="117" t="n">
        <v>0</v>
      </c>
      <c r="AM76" s="117" t="n">
        <v>0</v>
      </c>
      <c r="AN76" s="117" t="n">
        <v>0</v>
      </c>
      <c r="AO76" s="156">
        <f>SUM(AC76:AH76)+SUM(AI76:AN76)</f>
        <v/>
      </c>
      <c r="AP76" s="145">
        <f>IF(AB76&lt;&gt;0,(AO76-AB76)/ABS(AB76),0)</f>
        <v/>
      </c>
    </row>
    <row r="77">
      <c r="A77" s="34" t="inlineStr">
        <is>
          <t>All Staff Party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>
        <v>769.91</v>
      </c>
      <c r="J77" s="35" t="n">
        <v>16814</v>
      </c>
      <c r="K77" s="35" t="n"/>
      <c r="L77" s="35" t="n"/>
      <c r="M77" s="35" t="n"/>
      <c r="N77" s="36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6">
        <f>SUM(O77:U77)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7" t="n">
        <v>0</v>
      </c>
      <c r="AJ77" s="117" t="n">
        <v>0</v>
      </c>
      <c r="AK77" s="117" t="n">
        <v>0</v>
      </c>
      <c r="AL77" s="117" t="n">
        <v>0</v>
      </c>
      <c r="AM77" s="117" t="n">
        <v>0</v>
      </c>
      <c r="AN77" s="117" t="n">
        <v>0</v>
      </c>
      <c r="AO77" s="156">
        <f>SUM(AC77:AH77)+SUM(AI77:AN77)</f>
        <v/>
      </c>
      <c r="AP77" s="145">
        <f>IF(AB77&lt;&gt;0,(AO77-AB77)/ABS(AB77),0)</f>
        <v/>
      </c>
    </row>
    <row r="78">
      <c r="A78" s="34" t="inlineStr">
        <is>
          <t>HS Relaunch</t>
        </is>
      </c>
      <c r="B78" s="35" t="n"/>
      <c r="C78" s="35" t="n"/>
      <c r="D78" s="35" t="n"/>
      <c r="E78" s="35" t="n"/>
      <c r="F78" s="35" t="n"/>
      <c r="G78" s="35" t="n">
        <v>8439.74</v>
      </c>
      <c r="H78" s="35" t="n">
        <v>233.52</v>
      </c>
      <c r="I78" s="35" t="n">
        <v>795.67</v>
      </c>
      <c r="J78" s="35" t="n">
        <v>111.91</v>
      </c>
      <c r="K78" s="35" t="n"/>
      <c r="L78" s="35" t="n"/>
      <c r="M78" s="35" t="n"/>
      <c r="N78" s="36">
        <f>SUM(B78:M78)</f>
        <v/>
      </c>
      <c r="O78" s="37" t="n"/>
      <c r="P78" s="37" t="n"/>
      <c r="Q78" s="37" t="n"/>
      <c r="R78" s="37" t="n"/>
      <c r="S78" s="37" t="n"/>
      <c r="T78" s="37" t="n"/>
      <c r="U78" s="37" t="n"/>
      <c r="V78" s="38" t="n"/>
      <c r="W78" s="38" t="n"/>
      <c r="X78" s="38" t="n"/>
      <c r="Y78" s="38" t="n"/>
      <c r="Z78" s="38" t="n"/>
      <c r="AA78" s="36">
        <f>SUM(O78:U78)</f>
        <v/>
      </c>
      <c r="AB78" s="8" t="n"/>
      <c r="AC78" s="38" t="n"/>
      <c r="AD78" s="38" t="n"/>
      <c r="AE78" s="38" t="n"/>
      <c r="AF78" s="38" t="n"/>
      <c r="AG78" s="38" t="n"/>
      <c r="AH78" s="38" t="n"/>
      <c r="AI78" s="117" t="n">
        <v>0</v>
      </c>
      <c r="AJ78" s="117" t="n">
        <v>0</v>
      </c>
      <c r="AK78" s="117" t="n">
        <v>0</v>
      </c>
      <c r="AL78" s="117" t="n">
        <v>0</v>
      </c>
      <c r="AM78" s="117" t="n">
        <v>0</v>
      </c>
      <c r="AN78" s="117" t="n">
        <v>0</v>
      </c>
      <c r="AO78" s="156">
        <f>SUM(AC78:AH78)+SUM(AI78:AN78)</f>
        <v/>
      </c>
      <c r="AP78" s="145">
        <f>IF(AB78&lt;&gt;0,(AO78-AB78)/ABS(AB78),0)</f>
        <v/>
      </c>
    </row>
    <row r="79">
      <c r="A79" s="34" t="inlineStr">
        <is>
          <t>Tech refresh - Netteam</t>
        </is>
      </c>
      <c r="B79" s="35" t="n"/>
      <c r="C79" s="35" t="n"/>
      <c r="D79" s="35" t="n"/>
      <c r="E79" s="35" t="n"/>
      <c r="F79" s="35" t="n"/>
      <c r="G79" s="35" t="n"/>
      <c r="H79" s="35" t="n"/>
      <c r="I79" s="35" t="n">
        <v>1662</v>
      </c>
      <c r="J79" s="35" t="n">
        <v>5820</v>
      </c>
      <c r="K79" s="35" t="n"/>
      <c r="L79" s="35" t="n"/>
      <c r="M79" s="35" t="n"/>
      <c r="N79" s="36">
        <f>SUM(B79:M79)</f>
        <v/>
      </c>
      <c r="O79" s="37" t="n"/>
      <c r="P79" s="37" t="n"/>
      <c r="Q79" s="37" t="n"/>
      <c r="R79" s="37" t="n"/>
      <c r="S79" s="37" t="n"/>
      <c r="T79" s="37" t="n"/>
      <c r="U79" s="37" t="n"/>
      <c r="V79" s="38" t="n"/>
      <c r="W79" s="38" t="n"/>
      <c r="X79" s="38" t="n"/>
      <c r="Y79" s="38" t="n"/>
      <c r="Z79" s="38" t="n"/>
      <c r="AA79" s="36">
        <f>SUM(O79:U79)</f>
        <v/>
      </c>
      <c r="AB79" s="8" t="n"/>
      <c r="AC79" s="38" t="n"/>
      <c r="AD79" s="38" t="n"/>
      <c r="AE79" s="38" t="n"/>
      <c r="AF79" s="38" t="n"/>
      <c r="AG79" s="38" t="n"/>
      <c r="AH79" s="38" t="n"/>
      <c r="AI79" s="117" t="n">
        <v>0</v>
      </c>
      <c r="AJ79" s="117" t="n">
        <v>0</v>
      </c>
      <c r="AK79" s="117" t="n">
        <v>0</v>
      </c>
      <c r="AL79" s="117" t="n">
        <v>0</v>
      </c>
      <c r="AM79" s="117" t="n">
        <v>0</v>
      </c>
      <c r="AN79" s="117" t="n">
        <v>0</v>
      </c>
      <c r="AO79" s="156">
        <f>SUM(AC79:AH79)+SUM(AI79:AN79)</f>
        <v/>
      </c>
      <c r="AP79" s="145">
        <f>IF(AB79&lt;&gt;0,(AO79-AB79)/ABS(AB79),0)</f>
        <v/>
      </c>
    </row>
    <row r="80" ht="15.75" customHeight="1">
      <c r="A80" s="34" t="n"/>
      <c r="B80" s="35" t="n"/>
      <c r="C80" s="35" t="n"/>
      <c r="D80" s="35" t="n"/>
      <c r="E80" s="35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6">
        <f>SUM(B80:M80)</f>
        <v/>
      </c>
      <c r="O80" s="37" t="n"/>
      <c r="P80" s="37" t="n"/>
      <c r="Q80" s="37" t="n"/>
      <c r="R80" s="37" t="n"/>
      <c r="S80" s="37" t="n"/>
      <c r="T80" s="37" t="n"/>
      <c r="U80" s="37" t="n"/>
      <c r="V80" s="38" t="n"/>
      <c r="W80" s="38" t="n"/>
      <c r="X80" s="38" t="n"/>
      <c r="Y80" s="38" t="n"/>
      <c r="Z80" s="38" t="n"/>
      <c r="AA80" s="36">
        <f>SUM(O80:U80)</f>
        <v/>
      </c>
      <c r="AB80" s="8" t="n"/>
      <c r="AC80" s="38" t="n"/>
      <c r="AD80" s="38" t="n"/>
      <c r="AE80" s="38" t="n"/>
      <c r="AF80" s="38" t="n"/>
      <c r="AG80" s="38" t="n"/>
      <c r="AH80" s="38" t="n"/>
      <c r="AI80" s="117" t="n">
        <v>0</v>
      </c>
      <c r="AJ80" s="117" t="n">
        <v>0</v>
      </c>
      <c r="AK80" s="117" t="n">
        <v>0</v>
      </c>
      <c r="AL80" s="117" t="n">
        <v>0</v>
      </c>
      <c r="AM80" s="117" t="n">
        <v>0</v>
      </c>
      <c r="AN80" s="117" t="n">
        <v>0</v>
      </c>
      <c r="AO80" s="156">
        <f>SUM(AC80:AH80)+SUM(AI80:AN80)</f>
        <v/>
      </c>
      <c r="AP80" s="145">
        <f>IF(AB80&lt;&gt;0,(AO80-AB80)/ABS(AB80),0)</f>
        <v/>
      </c>
    </row>
    <row r="81" ht="15.75" customHeight="1">
      <c r="A81" s="107" t="n"/>
      <c r="B81" s="108" t="n">
        <v>169635.61</v>
      </c>
      <c r="C81" s="108" t="n">
        <v>186626.61</v>
      </c>
      <c r="D81" s="108" t="n">
        <v>338567.7000000001</v>
      </c>
      <c r="E81" s="108" t="n">
        <v>188295.3299999997</v>
      </c>
      <c r="F81" s="108" t="n">
        <v>98787.60000000011</v>
      </c>
      <c r="G81" s="108" t="n">
        <v>250542.7</v>
      </c>
      <c r="H81" s="108" t="n">
        <v>537622.62</v>
      </c>
      <c r="I81" s="108" t="n">
        <v>38607.06999999996</v>
      </c>
      <c r="J81" s="108" t="n">
        <v>82.80000000007567</v>
      </c>
      <c r="K81" s="108" t="n">
        <v>31871.38</v>
      </c>
      <c r="L81" s="108" t="n">
        <v>209008.3400000001</v>
      </c>
      <c r="M81" s="108" t="n">
        <v>388973.69</v>
      </c>
      <c r="N81" s="108">
        <f>SUM(B81:M81)</f>
        <v/>
      </c>
      <c r="O81" s="108">
        <f>O70+SUM(O72:O80)</f>
        <v/>
      </c>
      <c r="P81" s="108">
        <f>P70+SUM(P72:P80)</f>
        <v/>
      </c>
      <c r="Q81" s="108">
        <f>Q70+SUM(Q72:Q80)</f>
        <v/>
      </c>
      <c r="R81" s="108">
        <f>R70+SUM(R72:R80)</f>
        <v/>
      </c>
      <c r="S81" s="108">
        <f>S70+SUM(S72:S80)</f>
        <v/>
      </c>
      <c r="T81" s="108">
        <f>T70+SUM(T72:T80)</f>
        <v/>
      </c>
      <c r="U81" s="108">
        <f>U70+SUM(U72:U80)</f>
        <v/>
      </c>
      <c r="V81" s="108">
        <f>V70+SUM(V72:V80)</f>
        <v/>
      </c>
      <c r="W81" s="108">
        <f>W70+SUM(W72:W80)</f>
        <v/>
      </c>
      <c r="X81" s="108">
        <f>X70+SUM(X72:X80)</f>
        <v/>
      </c>
      <c r="Y81" s="108">
        <f>Y70+SUM(Y72:Y80)</f>
        <v/>
      </c>
      <c r="Z81" s="108">
        <f>Z70+SUM(Z72:Z80)</f>
        <v/>
      </c>
      <c r="AA81" s="108">
        <f>AA70+SUM(AA72:AA80)</f>
        <v/>
      </c>
      <c r="AB81" s="8" t="n"/>
      <c r="AC81" s="108" t="n"/>
      <c r="AD81" s="108" t="n"/>
      <c r="AE81" s="108" t="n"/>
      <c r="AF81" s="108" t="n"/>
      <c r="AG81" s="108" t="n"/>
      <c r="AH81" s="108" t="n"/>
      <c r="AI81" s="126" t="n">
        <v>0</v>
      </c>
      <c r="AJ81" s="126" t="n">
        <v>0</v>
      </c>
      <c r="AK81" s="126" t="n">
        <v>0</v>
      </c>
      <c r="AL81" s="126" t="n">
        <v>0</v>
      </c>
      <c r="AM81" s="126" t="n">
        <v>0</v>
      </c>
      <c r="AN81" s="126" t="n">
        <v>0</v>
      </c>
      <c r="AO81" s="144">
        <f>SUM(AC81:AH81)+SUM(AI81:AN81)</f>
        <v/>
      </c>
      <c r="AP81" s="145">
        <f>IF(AB81&lt;&gt;0,(AO81-AB81)/ABS(AB81),0)</f>
        <v/>
      </c>
    </row>
    <row r="82">
      <c r="A82" s="22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109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22" t="inlineStr">
        <is>
          <t>Memo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34" t="inlineStr">
        <is>
          <t>Direct - Sales</t>
        </is>
      </c>
      <c r="B89" s="18" t="n">
        <v>862528.02</v>
      </c>
      <c r="C89" s="18" t="n">
        <v>903324.04</v>
      </c>
      <c r="D89" s="18" t="n">
        <v>1073545.98</v>
      </c>
      <c r="E89" s="18" t="n">
        <v>965821.7599999998</v>
      </c>
      <c r="F89" s="18" t="n">
        <v>855896.3400000001</v>
      </c>
      <c r="G89" s="18" t="n">
        <v>981911.0700000001</v>
      </c>
      <c r="H89" s="18" t="n">
        <v>1289179.55</v>
      </c>
      <c r="I89" s="18" t="n">
        <v>764775.12</v>
      </c>
      <c r="J89" s="18" t="n">
        <v>762931.3199999999</v>
      </c>
      <c r="K89" s="18" t="n">
        <v>796366.03</v>
      </c>
      <c r="L89" s="18" t="n">
        <v>947551</v>
      </c>
      <c r="M89" s="18" t="n">
        <v>1168237.96</v>
      </c>
      <c r="N89" s="8" t="n"/>
      <c r="O89" s="60">
        <f>'ABA'!O89+'BK'!O89+'BW'!O89+'CED'!O89+'HAB'!O89+'HB'!O89+'OD'!O89+'HDN'!O89+'KIN'!O89+'LE'!O89+'MER'!O89+'NDN'!O89+'SALT'!O89+'SDN'!O89+'SST'!O89+'WH'!O89+'FH'!O89+'KNL HO'!O89+'CCL HO'!O89+'YBHN HO'!O89+'YBN HO'!O89</f>
        <v/>
      </c>
      <c r="P89" s="60">
        <f>'ABA'!P89+'BK'!P89+'BW'!P89+'CED'!P89+'HAB'!P89+'HB'!P89+'OD'!P89+'HDN'!P89+'KIN'!P89+'LE'!P89+'MER'!P89+'NDN'!P89+'SALT'!P89+'SDN'!P89+'SST'!P89+'WH'!P89+'FH'!P89+'KNL HO'!P89+'CCL HO'!P89+'YBHN HO'!P89+'YBN HO'!P89</f>
        <v/>
      </c>
      <c r="Q89" s="60">
        <f>'ABA'!Q89+'BK'!Q89+'BW'!Q89+'CED'!Q89+'HAB'!Q89+'HB'!Q89+'OD'!Q89+'HDN'!Q89+'KIN'!Q89+'LE'!Q89+'MER'!Q89+'NDN'!Q89+'SALT'!Q89+'SDN'!Q89+'SST'!Q89+'WH'!Q89+'FH'!Q89+'KNL HO'!Q89+'CCL HO'!Q89+'YBHN HO'!Q89+'YBN HO'!Q89</f>
        <v/>
      </c>
      <c r="R89" s="60">
        <f>'ABA'!R89+'BK'!R89+'BW'!R89+'CED'!R89+'HAB'!R89+'HB'!R89+'OD'!R89+'HDN'!R89+'KIN'!R89+'LE'!R89+'MER'!R89+'NDN'!R89+'SALT'!R89+'SDN'!R89+'SST'!R89+'WH'!R89+'FH'!R89+'KNL HO'!R89+'CCL HO'!R89+'YBHN HO'!R89+'YBN HO'!R89</f>
        <v/>
      </c>
      <c r="S89" s="60">
        <f>'ABA'!S89+'BK'!S89+'BW'!S89+'CED'!S89+'HAB'!S89+'HB'!S89+'OD'!S89+'HDN'!S89+'KIN'!S89+'LE'!S89+'MER'!S89+'NDN'!S89+'SALT'!S89+'SDN'!S89+'SST'!S89+'WH'!S89+'FH'!S89+'KNL HO'!S89+'CCL HO'!S89+'YBHN HO'!S89+'YBN HO'!S89</f>
        <v/>
      </c>
      <c r="T89" s="60">
        <f>'ABA'!T89+'BK'!T89+'BW'!T89+'CED'!T89+'HAB'!T89+'HB'!T89+'OD'!T89+'HDN'!T89+'KIN'!T89+'LE'!T89+'MER'!T89+'NDN'!T89+'SALT'!T89+'SDN'!T89+'SST'!T89+'WH'!T89+'FH'!T89+'KNL HO'!T89+'CCL HO'!T89+'YBHN HO'!T89+'YBN HO'!T89</f>
        <v/>
      </c>
      <c r="U89" s="60">
        <f>'ABA'!U89+'BK'!U89+'BW'!U89+'CED'!U89+'HAB'!U89+'HB'!U89+'OD'!U89+'HDN'!U89+'KIN'!U89+'LE'!U89+'MER'!U89+'NDN'!U89+'SALT'!U89+'SDN'!U89+'SST'!U89+'WH'!U89+'FH'!U89+'KNL HO'!U89+'CCL HO'!U89+'YBHN HO'!U89+'YBN HO'!U89</f>
        <v/>
      </c>
      <c r="V89" s="60">
        <f>-SUMIF('Group TB '!$T:$T,'GROUP TOTALS MONTHLY P&amp;L'!$A89,'Group TB '!J:J)</f>
        <v/>
      </c>
      <c r="W89" s="60">
        <f>-SUMIF('Group TB '!$T:$T,'GROUP TOTALS MONTHLY P&amp;L'!$A89,'Group TB '!K:K)</f>
        <v/>
      </c>
      <c r="X89" s="60">
        <f>-SUMIF('Group TB '!$T:$T,'GROUP TOTALS MONTHLY P&amp;L'!$A89,'Group TB '!L:L)</f>
        <v/>
      </c>
      <c r="Y89" s="60">
        <f>-SUMIF('Group TB '!$T:$T,'GROUP TOTALS MONTHLY P&amp;L'!$A89,'Group TB '!M:M)</f>
        <v/>
      </c>
      <c r="Z89" s="60">
        <f>-SUMIF('Group TB '!$T:$T,'GROUP TOTALS MONTHLY P&amp;L'!$A89,'Group TB 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48" t="n">
        <v>0</v>
      </c>
      <c r="AJ89" s="148" t="n">
        <v>0</v>
      </c>
      <c r="AK89" s="148" t="n">
        <v>0</v>
      </c>
      <c r="AL89" s="148" t="n">
        <v>0</v>
      </c>
      <c r="AM89" s="148" t="n">
        <v>0</v>
      </c>
      <c r="AN89" s="148" t="n">
        <v>0</v>
      </c>
      <c r="AO89" s="149">
        <f>SUM(AC89:AH89)+SUM(AI89:AN89)</f>
        <v/>
      </c>
      <c r="AP89" s="145">
        <f>IF(AB89&lt;&gt;0,(AO89-AB89)/ABS(AB89),0)</f>
        <v/>
      </c>
    </row>
    <row r="90">
      <c r="A90" s="34" t="inlineStr">
        <is>
          <t>Direct - Staff Cost</t>
        </is>
      </c>
      <c r="B90" s="18" t="n">
        <v>-453315.68</v>
      </c>
      <c r="C90" s="18" t="n">
        <v>-457131.66</v>
      </c>
      <c r="D90" s="18" t="n">
        <v>-450046.64</v>
      </c>
      <c r="E90" s="18" t="n">
        <v>-513439.7500000001</v>
      </c>
      <c r="F90" s="18" t="n">
        <v>-520315.8300000001</v>
      </c>
      <c r="G90" s="18" t="n">
        <v>-500062.94</v>
      </c>
      <c r="H90" s="18" t="n">
        <v>-540450.8400000001</v>
      </c>
      <c r="I90" s="18" t="n">
        <v>-494870.5800000001</v>
      </c>
      <c r="J90" s="18" t="n">
        <v>-523267.4399999999</v>
      </c>
      <c r="K90" s="18" t="n">
        <v>-528710.3</v>
      </c>
      <c r="L90" s="18" t="n">
        <v>-502447.01</v>
      </c>
      <c r="M90" s="18" t="n">
        <v>-516214.69</v>
      </c>
      <c r="N90" s="8" t="n"/>
      <c r="O90" s="60">
        <f>'ABA'!O90+'BK'!O90+'BW'!O90+'CED'!O90+'HAB'!O90+'HB'!O90+'OD'!O90+'HDN'!O90+'KIN'!O90+'LE'!O90+'MER'!O90+'NDN'!O90+'SALT'!O90+'SDN'!O90+'SST'!O90+'WH'!O90+'FH'!O90+'KNL HO'!O90+'CCL HO'!O90+'YBHN HO'!O90+'YBN HO'!O90</f>
        <v/>
      </c>
      <c r="P90" s="60">
        <f>'ABA'!P90+'BK'!P90+'BW'!P90+'CED'!P90+'HAB'!P90+'HB'!P90+'OD'!P90+'HDN'!P90+'KIN'!P90+'LE'!P90+'MER'!P90+'NDN'!P90+'SALT'!P90+'SDN'!P90+'SST'!P90+'WH'!P90+'FH'!P90+'KNL HO'!P90+'CCL HO'!P90+'YBHN HO'!P90+'YBN HO'!P90</f>
        <v/>
      </c>
      <c r="Q90" s="60">
        <f>'ABA'!Q90+'BK'!Q90+'BW'!Q90+'CED'!Q90+'HAB'!Q90+'HB'!Q90+'OD'!Q90+'HDN'!Q90+'KIN'!Q90+'LE'!Q90+'MER'!Q90+'NDN'!Q90+'SALT'!Q90+'SDN'!Q90+'SST'!Q90+'WH'!Q90+'FH'!Q90+'KNL HO'!Q90+'CCL HO'!Q90+'YBHN HO'!Q90+'YBN HO'!Q90</f>
        <v/>
      </c>
      <c r="R90" s="60">
        <f>'ABA'!R90+'BK'!R90+'BW'!R90+'CED'!R90+'HAB'!R90+'HB'!R90+'OD'!R90+'HDN'!R90+'KIN'!R90+'LE'!R90+'MER'!R90+'NDN'!R90+'SALT'!R90+'SDN'!R90+'SST'!R90+'WH'!R90+'FH'!R90+'KNL HO'!R90+'CCL HO'!R90+'YBHN HO'!R90+'YBN HO'!R90</f>
        <v/>
      </c>
      <c r="S90" s="60">
        <f>'ABA'!S90+'BK'!S90+'BW'!S90+'CED'!S90+'HAB'!S90+'HB'!S90+'OD'!S90+'HDN'!S90+'KIN'!S90+'LE'!S90+'MER'!S90+'NDN'!S90+'SALT'!S90+'SDN'!S90+'SST'!S90+'WH'!S90+'FH'!S90+'KNL HO'!S90+'CCL HO'!S90+'YBHN HO'!S90+'YBN HO'!S90</f>
        <v/>
      </c>
      <c r="T90" s="60">
        <f>'ABA'!T90+'BK'!T90+'BW'!T90+'CED'!T90+'HAB'!T90+'HB'!T90+'OD'!T90+'HDN'!T90+'KIN'!T90+'LE'!T90+'MER'!T90+'NDN'!T90+'SALT'!T90+'SDN'!T90+'SST'!T90+'WH'!T90+'FH'!T90+'KNL HO'!T90+'CCL HO'!T90+'YBHN HO'!T90+'YBN HO'!T90</f>
        <v/>
      </c>
      <c r="U90" s="60">
        <f>'ABA'!U90+'BK'!U90+'BW'!U90+'CED'!U90+'HAB'!U90+'HB'!U90+'OD'!U90+'HDN'!U90+'KIN'!U90+'LE'!U90+'MER'!U90+'NDN'!U90+'SALT'!U90+'SDN'!U90+'SST'!U90+'WH'!U90+'FH'!U90+'KNL HO'!U90+'CCL HO'!U90+'YBHN HO'!U90+'YBN HO'!U90</f>
        <v/>
      </c>
      <c r="V90" s="60">
        <f>-SUMIF('Group TB '!$T:$T,'GROUP TOTALS MONTHLY P&amp;L'!$A90,'Group TB '!J:J)</f>
        <v/>
      </c>
      <c r="W90" s="60">
        <f>-SUMIF('Group TB '!$T:$T,'GROUP TOTALS MONTHLY P&amp;L'!$A90,'Group TB '!K:K)</f>
        <v/>
      </c>
      <c r="X90" s="60">
        <f>-SUMIF('Group TB '!$T:$T,'GROUP TOTALS MONTHLY P&amp;L'!$A90,'Group TB '!L:L)</f>
        <v/>
      </c>
      <c r="Y90" s="60">
        <f>-SUMIF('Group TB '!$T:$T,'GROUP TOTALS MONTHLY P&amp;L'!$A90,'Group TB '!M:M)</f>
        <v/>
      </c>
      <c r="Z90" s="60">
        <f>-SUMIF('Group TB '!$T:$T,'GROUP TOTALS MONTHLY P&amp;L'!$A90,'Group TB 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148" t="n">
        <v>0</v>
      </c>
      <c r="AJ90" s="148" t="n">
        <v>0</v>
      </c>
      <c r="AK90" s="148" t="n">
        <v>0</v>
      </c>
      <c r="AL90" s="148" t="n">
        <v>0</v>
      </c>
      <c r="AM90" s="148" t="n">
        <v>0</v>
      </c>
      <c r="AN90" s="148" t="n">
        <v>0</v>
      </c>
      <c r="AO90" s="149">
        <f>SUM(AC90:AH90)+SUM(AI90:AN90)</f>
        <v/>
      </c>
      <c r="AP90" s="145">
        <f>IF(AB90&lt;&gt;0,(AO90-AB90)/ABS(AB90),0)</f>
        <v/>
      </c>
    </row>
    <row r="91">
      <c r="A91" s="60" t="inlineStr">
        <is>
          <t>Direct - Childcare Cost</t>
        </is>
      </c>
      <c r="B91" s="18" t="n">
        <v>-35205.68</v>
      </c>
      <c r="C91" s="18" t="n">
        <v>-41585.37</v>
      </c>
      <c r="D91" s="18" t="n">
        <v>-35688.76</v>
      </c>
      <c r="E91" s="18" t="n">
        <v>-30859.64</v>
      </c>
      <c r="F91" s="18" t="n">
        <v>-40642.69000000001</v>
      </c>
      <c r="G91" s="18" t="n">
        <v>-40290.33000000001</v>
      </c>
      <c r="H91" s="18" t="n">
        <v>-38526.12</v>
      </c>
      <c r="I91" s="18" t="n">
        <v>-37931.38</v>
      </c>
      <c r="J91" s="18" t="n">
        <v>-36694.59000000001</v>
      </c>
      <c r="K91" s="18" t="n">
        <v>-39332.78</v>
      </c>
      <c r="L91" s="18" t="n">
        <v>-36711.58</v>
      </c>
      <c r="M91" s="18" t="n">
        <v>-28826.44</v>
      </c>
      <c r="N91" s="8" t="n"/>
      <c r="O91" s="60">
        <f>'ABA'!O91+'BK'!O91+'BW'!O91+'CED'!O91+'HAB'!O91+'HB'!O91+'OD'!O91+'HDN'!O91+'KIN'!O91+'LE'!O91+'MER'!O91+'NDN'!O91+'SALT'!O91+'SDN'!O91+'SST'!O91+'WH'!O91+'FH'!O91+'KNL HO'!O91+'CCL HO'!O91+'YBHN HO'!O91+'YBN HO'!O91</f>
        <v/>
      </c>
      <c r="P91" s="60">
        <f>'ABA'!P91+'BK'!P91+'BW'!P91+'CED'!P91+'HAB'!P91+'HB'!P91+'OD'!P91+'HDN'!P91+'KIN'!P91+'LE'!P91+'MER'!P91+'NDN'!P91+'SALT'!P91+'SDN'!P91+'SST'!P91+'WH'!P91+'FH'!P91+'KNL HO'!P91+'CCL HO'!P91+'YBHN HO'!P91+'YBN HO'!P91</f>
        <v/>
      </c>
      <c r="Q91" s="60">
        <f>'ABA'!Q91+'BK'!Q91+'BW'!Q91+'CED'!Q91+'HAB'!Q91+'HB'!Q91+'OD'!Q91+'HDN'!Q91+'KIN'!Q91+'LE'!Q91+'MER'!Q91+'NDN'!Q91+'SALT'!Q91+'SDN'!Q91+'SST'!Q91+'WH'!Q91+'FH'!Q91+'KNL HO'!Q91+'CCL HO'!Q91+'YBHN HO'!Q91+'YBN HO'!Q91</f>
        <v/>
      </c>
      <c r="R91" s="60">
        <f>'ABA'!R91+'BK'!R91+'BW'!R91+'CED'!R91+'HAB'!R91+'HB'!R91+'OD'!R91+'HDN'!R91+'KIN'!R91+'LE'!R91+'MER'!R91+'NDN'!R91+'SALT'!R91+'SDN'!R91+'SST'!R91+'WH'!R91+'FH'!R91+'KNL HO'!R91+'CCL HO'!R91+'YBHN HO'!R91+'YBN HO'!R91</f>
        <v/>
      </c>
      <c r="S91" s="60">
        <f>'ABA'!S91+'BK'!S91+'BW'!S91+'CED'!S91+'HAB'!S91+'HB'!S91+'OD'!S91+'HDN'!S91+'KIN'!S91+'LE'!S91+'MER'!S91+'NDN'!S91+'SALT'!S91+'SDN'!S91+'SST'!S91+'WH'!S91+'FH'!S91+'KNL HO'!S91+'CCL HO'!S91+'YBHN HO'!S91+'YBN HO'!S91</f>
        <v/>
      </c>
      <c r="T91" s="60">
        <f>'ABA'!T91+'BK'!T91+'BW'!T91+'CED'!T91+'HAB'!T91+'HB'!T91+'OD'!T91+'HDN'!T91+'KIN'!T91+'LE'!T91+'MER'!T91+'NDN'!T91+'SALT'!T91+'SDN'!T91+'SST'!T91+'WH'!T91+'FH'!T91+'KNL HO'!T91+'CCL HO'!T91+'YBHN HO'!T91+'YBN HO'!T91</f>
        <v/>
      </c>
      <c r="U91" s="60">
        <f>'ABA'!U91+'BK'!U91+'BW'!U91+'CED'!U91+'HAB'!U91+'HB'!U91+'OD'!U91+'HDN'!U91+'KIN'!U91+'LE'!U91+'MER'!U91+'NDN'!U91+'SALT'!U91+'SDN'!U91+'SST'!U91+'WH'!U91+'FH'!U91+'KNL HO'!U91+'CCL HO'!U91+'YBHN HO'!U91+'YBN HO'!U91</f>
        <v/>
      </c>
      <c r="V91" s="60">
        <f>-SUMIF('Group TB '!$T:$T,'GROUP TOTALS MONTHLY P&amp;L'!$A91,'Group TB '!J:J)</f>
        <v/>
      </c>
      <c r="W91" s="60">
        <f>-SUMIF('Group TB '!$T:$T,'GROUP TOTALS MONTHLY P&amp;L'!$A91,'Group TB '!K:K)</f>
        <v/>
      </c>
      <c r="X91" s="60">
        <f>-SUMIF('Group TB '!$T:$T,'GROUP TOTALS MONTHLY P&amp;L'!$A91,'Group TB '!L:L)</f>
        <v/>
      </c>
      <c r="Y91" s="60">
        <f>-SUMIF('Group TB '!$T:$T,'GROUP TOTALS MONTHLY P&amp;L'!$A91,'Group TB '!M:M)</f>
        <v/>
      </c>
      <c r="Z91" s="60">
        <f>-SUMIF('Group TB '!$T:$T,'GROUP TOTALS MONTHLY P&amp;L'!$A91,'Group TB 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48" t="n">
        <v>0</v>
      </c>
      <c r="AJ91" s="148" t="n">
        <v>0</v>
      </c>
      <c r="AK91" s="148" t="n">
        <v>0</v>
      </c>
      <c r="AL91" s="148" t="n">
        <v>0</v>
      </c>
      <c r="AM91" s="148" t="n">
        <v>0</v>
      </c>
      <c r="AN91" s="148" t="n">
        <v>0</v>
      </c>
      <c r="AO91" s="149">
        <f>SUM(AC91:AH91)+SUM(AI91:AN91)</f>
        <v/>
      </c>
      <c r="AP91" s="145">
        <f>IF(AB91&lt;&gt;0,(AO91-AB91)/ABS(AB91),0)</f>
        <v/>
      </c>
    </row>
    <row r="92">
      <c r="A92" s="60" t="inlineStr">
        <is>
          <t>Direct - Premises &amp; Admin</t>
        </is>
      </c>
      <c r="B92" s="18" t="n">
        <v>-104786.72</v>
      </c>
      <c r="C92" s="18" t="n">
        <v>-102740.01</v>
      </c>
      <c r="D92" s="18" t="n">
        <v>-109444.19</v>
      </c>
      <c r="E92" s="18" t="n">
        <v>-113384.44</v>
      </c>
      <c r="F92" s="18" t="n">
        <v>-96923.24000000001</v>
      </c>
      <c r="G92" s="18" t="n">
        <v>-101096.97</v>
      </c>
      <c r="H92" s="18" t="n">
        <v>-91871.87000000002</v>
      </c>
      <c r="I92" s="18" t="n">
        <v>-90463.61</v>
      </c>
      <c r="J92" s="18" t="n">
        <v>-83945.06</v>
      </c>
      <c r="K92" s="18" t="n">
        <v>-90760.58000000002</v>
      </c>
      <c r="L92" s="18" t="n">
        <v>-84121.70000000001</v>
      </c>
      <c r="M92" s="18" t="n">
        <v>-86490.11</v>
      </c>
      <c r="N92" s="8" t="n"/>
      <c r="O92" s="60">
        <f>'ABA'!O92+'BK'!O92+'BW'!O92+'CED'!O92+'HAB'!O92+'HB'!O92+'OD'!O92+'HDN'!O92+'KIN'!O92+'LE'!O92+'MER'!O92+'NDN'!O92+'SALT'!O92+'SDN'!O92+'SST'!O92+'WH'!O92+'FH'!O92+'KNL HO'!O92+'CCL HO'!O92+'YBHN HO'!O92+'YBN HO'!O92</f>
        <v/>
      </c>
      <c r="P92" s="60">
        <f>'ABA'!P92+'BK'!P92+'BW'!P92+'CED'!P92+'HAB'!P92+'HB'!P92+'OD'!P92+'HDN'!P92+'KIN'!P92+'LE'!P92+'MER'!P92+'NDN'!P92+'SALT'!P92+'SDN'!P92+'SST'!P92+'WH'!P92+'FH'!P92+'KNL HO'!P92+'CCL HO'!P92+'YBHN HO'!P92+'YBN HO'!P92</f>
        <v/>
      </c>
      <c r="Q92" s="60">
        <f>'ABA'!Q92+'BK'!Q92+'BW'!Q92+'CED'!Q92+'HAB'!Q92+'HB'!Q92+'OD'!Q92+'HDN'!Q92+'KIN'!Q92+'LE'!Q92+'MER'!Q92+'NDN'!Q92+'SALT'!Q92+'SDN'!Q92+'SST'!Q92+'WH'!Q92+'FH'!Q92+'KNL HO'!Q92+'CCL HO'!Q92+'YBHN HO'!Q92+'YBN HO'!Q92</f>
        <v/>
      </c>
      <c r="R92" s="60">
        <f>'ABA'!R92+'BK'!R92+'BW'!R92+'CED'!R92+'HAB'!R92+'HB'!R92+'OD'!R92+'HDN'!R92+'KIN'!R92+'LE'!R92+'MER'!R92+'NDN'!R92+'SALT'!R92+'SDN'!R92+'SST'!R92+'WH'!R92+'FH'!R92+'KNL HO'!R92+'CCL HO'!R92+'YBHN HO'!R92+'YBN HO'!R92</f>
        <v/>
      </c>
      <c r="S92" s="60">
        <f>'ABA'!S92+'BK'!S92+'BW'!S92+'CED'!S92+'HAB'!S92+'HB'!S92+'OD'!S92+'HDN'!S92+'KIN'!S92+'LE'!S92+'MER'!S92+'NDN'!S92+'SALT'!S92+'SDN'!S92+'SST'!S92+'WH'!S92+'FH'!S92+'KNL HO'!S92+'CCL HO'!S92+'YBHN HO'!S92+'YBN HO'!S92</f>
        <v/>
      </c>
      <c r="T92" s="60">
        <f>'ABA'!T92+'BK'!T92+'BW'!T92+'CED'!T92+'HAB'!T92+'HB'!T92+'OD'!T92+'HDN'!T92+'KIN'!T92+'LE'!T92+'MER'!T92+'NDN'!T92+'SALT'!T92+'SDN'!T92+'SST'!T92+'WH'!T92+'FH'!T92+'KNL HO'!T92+'CCL HO'!T92+'YBHN HO'!T92+'YBN HO'!T92</f>
        <v/>
      </c>
      <c r="U92" s="60">
        <f>'ABA'!U92+'BK'!U92+'BW'!U92+'CED'!U92+'HAB'!U92+'HB'!U92+'OD'!U92+'HDN'!U92+'KIN'!U92+'LE'!U92+'MER'!U92+'NDN'!U92+'SALT'!U92+'SDN'!U92+'SST'!U92+'WH'!U92+'FH'!U92+'KNL HO'!U92+'CCL HO'!U92+'YBHN HO'!U92+'YBN HO'!U92</f>
        <v/>
      </c>
      <c r="V92" s="60">
        <f>-SUMIF('Group TB '!$T:$T,'GROUP TOTALS MONTHLY P&amp;L'!$A92,'Group TB '!J:J)</f>
        <v/>
      </c>
      <c r="W92" s="60">
        <f>-SUMIF('Group TB '!$T:$T,'GROUP TOTALS MONTHLY P&amp;L'!$A92,'Group TB '!K:K)</f>
        <v/>
      </c>
      <c r="X92" s="60">
        <f>-SUMIF('Group TB '!$T:$T,'GROUP TOTALS MONTHLY P&amp;L'!$A92,'Group TB '!L:L)</f>
        <v/>
      </c>
      <c r="Y92" s="60">
        <f>-SUMIF('Group TB '!$T:$T,'GROUP TOTALS MONTHLY P&amp;L'!$A92,'Group TB '!M:M)</f>
        <v/>
      </c>
      <c r="Z92" s="60">
        <f>-SUMIF('Group TB '!$T:$T,'GROUP TOTALS MONTHLY P&amp;L'!$A92,'Group TB 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48" t="n">
        <v>0</v>
      </c>
      <c r="AJ92" s="148" t="n">
        <v>0</v>
      </c>
      <c r="AK92" s="148" t="n">
        <v>0</v>
      </c>
      <c r="AL92" s="148" t="n">
        <v>0</v>
      </c>
      <c r="AM92" s="148" t="n">
        <v>0</v>
      </c>
      <c r="AN92" s="148" t="n">
        <v>0</v>
      </c>
      <c r="AO92" s="149">
        <f>SUM(AC92:AH92)+SUM(AI92:AN92)</f>
        <v/>
      </c>
      <c r="AP92" s="145">
        <f>IF(AB92&lt;&gt;0,(AO92-AB92)/ABS(AB92),0)</f>
        <v/>
      </c>
    </row>
    <row r="93">
      <c r="A93" s="60" t="inlineStr">
        <is>
          <t>In-Direct - Staff Cost</t>
        </is>
      </c>
      <c r="B93" s="18" t="n">
        <v>-93611.44</v>
      </c>
      <c r="C93" s="18" t="n">
        <v>-96112.63999999998</v>
      </c>
      <c r="D93" s="18" t="n">
        <v>-95857.95999999999</v>
      </c>
      <c r="E93" s="18" t="n">
        <v>-156700.39</v>
      </c>
      <c r="F93" s="18" t="n">
        <v>-95895.40999999999</v>
      </c>
      <c r="G93" s="18" t="n">
        <v>-114717.56</v>
      </c>
      <c r="H93" s="18" t="n">
        <v>-114931.94</v>
      </c>
      <c r="I93" s="18" t="n">
        <v>-131353.52</v>
      </c>
      <c r="J93" s="18" t="n">
        <v>-154543.8</v>
      </c>
      <c r="K93" s="18" t="n">
        <v>-118297.07</v>
      </c>
      <c r="L93" s="18" t="n">
        <v>-125174.38</v>
      </c>
      <c r="M93" s="18" t="n">
        <v>-443091.7</v>
      </c>
      <c r="N93" s="8" t="n"/>
      <c r="O93" s="60">
        <f>'ABA'!O93+'BK'!O93+'BW'!O93+'CED'!O93+'HAB'!O93+'HB'!O93+'OD'!O93+'HDN'!O93+'KIN'!O93+'LE'!O93+'MER'!O93+'NDN'!O93+'SALT'!O93+'SDN'!O93+'SST'!O93+'WH'!O93+'FH'!O93+'KNL HO'!O93+'CCL HO'!O93+'YBHN HO'!O93+'YBN HO'!O93</f>
        <v/>
      </c>
      <c r="P93" s="60">
        <f>'ABA'!P93+'BK'!P93+'BW'!P93+'CED'!P93+'HAB'!P93+'HB'!P93+'OD'!P93+'HDN'!P93+'KIN'!P93+'LE'!P93+'MER'!P93+'NDN'!P93+'SALT'!P93+'SDN'!P93+'SST'!P93+'WH'!P93+'FH'!P93+'KNL HO'!P93+'CCL HO'!P93+'YBHN HO'!P93+'YBN HO'!P93</f>
        <v/>
      </c>
      <c r="Q93" s="60">
        <f>'ABA'!Q93+'BK'!Q93+'BW'!Q93+'CED'!Q93+'HAB'!Q93+'HB'!Q93+'OD'!Q93+'HDN'!Q93+'KIN'!Q93+'LE'!Q93+'MER'!Q93+'NDN'!Q93+'SALT'!Q93+'SDN'!Q93+'SST'!Q93+'WH'!Q93+'FH'!Q93+'KNL HO'!Q93+'CCL HO'!Q93+'YBHN HO'!Q93+'YBN HO'!Q93</f>
        <v/>
      </c>
      <c r="R93" s="60">
        <f>'ABA'!R93+'BK'!R93+'BW'!R93+'CED'!R93+'HAB'!R93+'HB'!R93+'OD'!R93+'HDN'!R93+'KIN'!R93+'LE'!R93+'MER'!R93+'NDN'!R93+'SALT'!R93+'SDN'!R93+'SST'!R93+'WH'!R93+'FH'!R93+'KNL HO'!R93+'CCL HO'!R93+'YBHN HO'!R93+'YBN HO'!R93</f>
        <v/>
      </c>
      <c r="S93" s="60">
        <f>'ABA'!S93+'BK'!S93+'BW'!S93+'CED'!S93+'HAB'!S93+'HB'!S93+'OD'!S93+'HDN'!S93+'KIN'!S93+'LE'!S93+'MER'!S93+'NDN'!S93+'SALT'!S93+'SDN'!S93+'SST'!S93+'WH'!S93+'FH'!S93+'KNL HO'!S93+'CCL HO'!S93+'YBHN HO'!S93+'YBN HO'!S93</f>
        <v/>
      </c>
      <c r="T93" s="60">
        <f>'ABA'!T93+'BK'!T93+'BW'!T93+'CED'!T93+'HAB'!T93+'HB'!T93+'OD'!T93+'HDN'!T93+'KIN'!T93+'LE'!T93+'MER'!T93+'NDN'!T93+'SALT'!T93+'SDN'!T93+'SST'!T93+'WH'!T93+'FH'!T93+'KNL HO'!T93+'CCL HO'!T93+'YBHN HO'!T93+'YBN HO'!T93</f>
        <v/>
      </c>
      <c r="U93" s="60">
        <f>'ABA'!U93+'BK'!U93+'BW'!U93+'CED'!U93+'HAB'!U93+'HB'!U93+'OD'!U93+'HDN'!U93+'KIN'!U93+'LE'!U93+'MER'!U93+'NDN'!U93+'SALT'!U93+'SDN'!U93+'SST'!U93+'WH'!U93+'FH'!U93+'KNL HO'!U93+'CCL HO'!U93+'YBHN HO'!U93+'YBN HO'!U93</f>
        <v/>
      </c>
      <c r="V93" s="60">
        <f>-SUMIF('Group TB '!$T:$T,'GROUP TOTALS MONTHLY P&amp;L'!$A93,'Group TB '!J:J)</f>
        <v/>
      </c>
      <c r="W93" s="60">
        <f>-SUMIF('Group TB '!$T:$T,'GROUP TOTALS MONTHLY P&amp;L'!$A93,'Group TB '!K:K)</f>
        <v/>
      </c>
      <c r="X93" s="60">
        <f>-SUMIF('Group TB '!$T:$T,'GROUP TOTALS MONTHLY P&amp;L'!$A93,'Group TB '!L:L)</f>
        <v/>
      </c>
      <c r="Y93" s="60">
        <f>-SUMIF('Group TB '!$T:$T,'GROUP TOTALS MONTHLY P&amp;L'!$A93,'Group TB '!M:M)</f>
        <v/>
      </c>
      <c r="Z93" s="60">
        <f>-SUMIF('Group TB '!$T:$T,'GROUP TOTALS MONTHLY P&amp;L'!$A93,'Group TB '!N:N)</f>
        <v/>
      </c>
      <c r="AA93" s="8" t="n"/>
      <c r="AB93" s="8" t="n"/>
      <c r="AC93" s="8" t="n"/>
      <c r="AD93" s="8" t="n"/>
      <c r="AE93" s="8" t="n"/>
      <c r="AF93" s="8" t="n"/>
      <c r="AG93" s="8" t="n"/>
      <c r="AH93" s="8" t="n"/>
      <c r="AI93" s="148" t="n">
        <v>0</v>
      </c>
      <c r="AJ93" s="148" t="n">
        <v>0</v>
      </c>
      <c r="AK93" s="148" t="n">
        <v>0</v>
      </c>
      <c r="AL93" s="148" t="n">
        <v>0</v>
      </c>
      <c r="AM93" s="148" t="n">
        <v>0</v>
      </c>
      <c r="AN93" s="148" t="n">
        <v>0</v>
      </c>
      <c r="AO93" s="149">
        <f>SUM(AC93:AH93)+SUM(AI93:AN93)</f>
        <v/>
      </c>
      <c r="AP93" s="145">
        <f>IF(AB93&lt;&gt;0,(AO93-AB93)/ABS(AB93),0)</f>
        <v/>
      </c>
    </row>
    <row r="94">
      <c r="A94" s="60" t="inlineStr">
        <is>
          <t>In-Direct - Overheads</t>
        </is>
      </c>
      <c r="B94" s="18" t="n">
        <v>-33867.89</v>
      </c>
      <c r="C94" s="18" t="n">
        <v>-44492.75</v>
      </c>
      <c r="D94" s="18" t="n">
        <v>-69838.73</v>
      </c>
      <c r="E94" s="18" t="n">
        <v>-47025.21</v>
      </c>
      <c r="F94" s="18" t="n">
        <v>-29170.57</v>
      </c>
      <c r="G94" s="18" t="n">
        <v>-27354.31</v>
      </c>
      <c r="H94" s="18" t="n">
        <v>-27780.68</v>
      </c>
      <c r="I94" s="18" t="n">
        <v>-26980.54</v>
      </c>
      <c r="J94" s="18" t="n">
        <v>-60742.53999999999</v>
      </c>
      <c r="K94" s="18" t="n">
        <v>-29664.92</v>
      </c>
      <c r="L94" s="18" t="n">
        <v>-32358.99000000001</v>
      </c>
      <c r="M94" s="18" t="n">
        <v>-45854.33</v>
      </c>
      <c r="N94" s="8" t="n"/>
      <c r="O94" s="60">
        <f>'ABA'!O94+'BK'!O94+'BW'!O94+'CED'!O94+'HAB'!O94+'HB'!O94+'OD'!O94+'HDN'!O94+'KIN'!O94+'LE'!O94+'MER'!O94+'NDN'!O94+'SALT'!O94+'SDN'!O94+'SST'!O94+'WH'!O94+'FH'!O94+'KNL HO'!O94+'CCL HO'!O94+'YBHN HO'!O94+'YBN HO'!O94</f>
        <v/>
      </c>
      <c r="P94" s="60">
        <f>'ABA'!P94+'BK'!P94+'BW'!P94+'CED'!P94+'HAB'!P94+'HB'!P94+'OD'!P94+'HDN'!P94+'KIN'!P94+'LE'!P94+'MER'!P94+'NDN'!P94+'SALT'!P94+'SDN'!P94+'SST'!P94+'WH'!P94+'FH'!P94+'KNL HO'!P94+'CCL HO'!P94+'YBHN HO'!P94+'YBN HO'!P94</f>
        <v/>
      </c>
      <c r="Q94" s="60">
        <f>'ABA'!Q94+'BK'!Q94+'BW'!Q94+'CED'!Q94+'HAB'!Q94+'HB'!Q94+'OD'!Q94+'HDN'!Q94+'KIN'!Q94+'LE'!Q94+'MER'!Q94+'NDN'!Q94+'SALT'!Q94+'SDN'!Q94+'SST'!Q94+'WH'!Q94+'FH'!Q94+'KNL HO'!Q94+'CCL HO'!Q94+'YBHN HO'!Q94+'YBN HO'!Q94</f>
        <v/>
      </c>
      <c r="R94" s="60">
        <f>'ABA'!R94+'BK'!R94+'BW'!R94+'CED'!R94+'HAB'!R94+'HB'!R94+'OD'!R94+'HDN'!R94+'KIN'!R94+'LE'!R94+'MER'!R94+'NDN'!R94+'SALT'!R94+'SDN'!R94+'SST'!R94+'WH'!R94+'FH'!R94+'KNL HO'!R94+'CCL HO'!R94+'YBHN HO'!R94+'YBN HO'!R94</f>
        <v/>
      </c>
      <c r="S94" s="60">
        <f>'ABA'!S94+'BK'!S94+'BW'!S94+'CED'!S94+'HAB'!S94+'HB'!S94+'OD'!S94+'HDN'!S94+'KIN'!S94+'LE'!S94+'MER'!S94+'NDN'!S94+'SALT'!S94+'SDN'!S94+'SST'!S94+'WH'!S94+'FH'!S94+'KNL HO'!S94+'CCL HO'!S94+'YBHN HO'!S94+'YBN HO'!S94</f>
        <v/>
      </c>
      <c r="T94" s="60">
        <f>'ABA'!T94+'BK'!T94+'BW'!T94+'CED'!T94+'HAB'!T94+'HB'!T94+'OD'!T94+'HDN'!T94+'KIN'!T94+'LE'!T94+'MER'!T94+'NDN'!T94+'SALT'!T94+'SDN'!T94+'SST'!T94+'WH'!T94+'FH'!T94+'KNL HO'!T94+'CCL HO'!T94+'YBHN HO'!T94+'YBN HO'!T94</f>
        <v/>
      </c>
      <c r="U94" s="60">
        <f>'ABA'!U94+'BK'!U94+'BW'!U94+'CED'!U94+'HAB'!U94+'HB'!U94+'OD'!U94+'HDN'!U94+'KIN'!U94+'LE'!U94+'MER'!U94+'NDN'!U94+'SALT'!U94+'SDN'!U94+'SST'!U94+'WH'!U94+'FH'!U94+'KNL HO'!U94+'CCL HO'!U94+'YBHN HO'!U94+'YBN HO'!U94</f>
        <v/>
      </c>
      <c r="V94" s="60">
        <f>-SUMIF('Group TB '!$T:$T,'GROUP TOTALS MONTHLY P&amp;L'!$A94,'Group TB '!J:J)</f>
        <v/>
      </c>
      <c r="W94" s="60">
        <f>-SUMIF('Group TB '!$T:$T,'GROUP TOTALS MONTHLY P&amp;L'!$A94,'Group TB '!K:K)</f>
        <v/>
      </c>
      <c r="X94" s="60">
        <f>-SUMIF('Group TB '!$T:$T,'GROUP TOTALS MONTHLY P&amp;L'!$A94,'Group TB '!L:L)</f>
        <v/>
      </c>
      <c r="Y94" s="60">
        <f>-SUMIF('Group TB '!$T:$T,'GROUP TOTALS MONTHLY P&amp;L'!$A94,'Group TB '!M:M)</f>
        <v/>
      </c>
      <c r="Z94" s="60">
        <f>-SUMIF('Group TB '!$T:$T,'GROUP TOTALS MONTHLY P&amp;L'!$A94,'Group TB '!N:N)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148" t="n">
        <v>0</v>
      </c>
      <c r="AJ94" s="148" t="n">
        <v>0</v>
      </c>
      <c r="AK94" s="148" t="n">
        <v>0</v>
      </c>
      <c r="AL94" s="148" t="n">
        <v>0</v>
      </c>
      <c r="AM94" s="148" t="n">
        <v>0</v>
      </c>
      <c r="AN94" s="148" t="n">
        <v>0</v>
      </c>
      <c r="AO94" s="149">
        <f>SUM(AC94:AH94)+SUM(AI94:AN94)</f>
        <v/>
      </c>
      <c r="AP94" s="145">
        <f>IF(AB94&lt;&gt;0,(AO94-AB94)/ABS(AB94),0)</f>
        <v/>
      </c>
    </row>
    <row r="95" ht="15.75" customHeight="1">
      <c r="A95" s="8" t="n"/>
      <c r="B95" s="67" t="n">
        <v>141740.61</v>
      </c>
      <c r="C95" s="67" t="n">
        <v>161261.6100000001</v>
      </c>
      <c r="D95" s="67" t="n">
        <v>312669.7000000001</v>
      </c>
      <c r="E95" s="67" t="n">
        <v>104412.3299999997</v>
      </c>
      <c r="F95" s="67" t="n">
        <v>72948.60000000003</v>
      </c>
      <c r="G95" s="67" t="n">
        <v>198388.9600000001</v>
      </c>
      <c r="H95" s="67" t="n">
        <v>475618.0999999997</v>
      </c>
      <c r="I95" s="67" t="n">
        <v>-16824.51000000006</v>
      </c>
      <c r="J95" s="67" t="n">
        <v>-96262.11000000003</v>
      </c>
      <c r="K95" s="67" t="n">
        <v>-10399.62000000004</v>
      </c>
      <c r="L95" s="67" t="n">
        <v>166737.34</v>
      </c>
      <c r="M95" s="67" t="n">
        <v>47760.69000000013</v>
      </c>
      <c r="N95" s="8" t="n"/>
      <c r="O95" s="64">
        <f>SUM(O89:O94)</f>
        <v/>
      </c>
      <c r="P95" s="64">
        <f>SUM(P89:P94)</f>
        <v/>
      </c>
      <c r="Q95" s="64">
        <f>SUM(Q89:Q94)</f>
        <v/>
      </c>
      <c r="R95" s="64">
        <f>SUM(R89:R94)</f>
        <v/>
      </c>
      <c r="S95" s="64">
        <f>SUM(S89:S94)</f>
        <v/>
      </c>
      <c r="T95" s="64">
        <f>SUM(T89:T94)</f>
        <v/>
      </c>
      <c r="U95" s="64">
        <f>SUM(U89:U94)</f>
        <v/>
      </c>
      <c r="V95" s="64">
        <f>SUM(V89:V94)</f>
        <v/>
      </c>
      <c r="W95" s="64">
        <f>SUM(W89:W94)</f>
        <v/>
      </c>
      <c r="X95" s="64">
        <f>SUM(X89:X94)</f>
        <v/>
      </c>
      <c r="Y95" s="64">
        <f>SUM(Y89:Y94)</f>
        <v/>
      </c>
      <c r="Z95" s="64">
        <f>SUM(Z89:Z94)</f>
        <v/>
      </c>
      <c r="AA95" s="8" t="n"/>
      <c r="AB95" s="8" t="n"/>
      <c r="AC95" s="64" t="n"/>
      <c r="AD95" s="64" t="n"/>
      <c r="AE95" s="64" t="n"/>
      <c r="AF95" s="64" t="n"/>
      <c r="AG95" s="64" t="n"/>
      <c r="AH95" s="64" t="n"/>
      <c r="AI95" s="134" t="n">
        <v>0</v>
      </c>
      <c r="AJ95" s="134" t="n">
        <v>0</v>
      </c>
      <c r="AK95" s="134" t="n">
        <v>0</v>
      </c>
      <c r="AL95" s="134" t="n">
        <v>0</v>
      </c>
      <c r="AM95" s="134" t="n">
        <v>0</v>
      </c>
      <c r="AN95" s="134" t="n">
        <v>0</v>
      </c>
      <c r="AO95" s="150">
        <f>SUM(AC95:AH95)+SUM(AI95:AN95)</f>
        <v/>
      </c>
      <c r="AP95" s="145">
        <f>IF(AB95&lt;&gt;0,(AO95-AB95)/ABS(AB95),0)</f>
        <v/>
      </c>
    </row>
    <row r="96" ht="15.75" customHeight="1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4.365574568510056e-11</v>
      </c>
      <c r="L96" s="18" t="n">
        <v>0</v>
      </c>
      <c r="M96" s="18" t="n">
        <v>-1.309672370553017e-10</v>
      </c>
      <c r="N96" s="8" t="n"/>
      <c r="O96" s="60">
        <f>+O70-O95</f>
        <v/>
      </c>
      <c r="P96" s="60">
        <f>+P70-P95</f>
        <v/>
      </c>
      <c r="Q96" s="60">
        <f>+Q70-Q95</f>
        <v/>
      </c>
      <c r="R96" s="60">
        <f>+R70-R95</f>
        <v/>
      </c>
      <c r="S96" s="60">
        <f>+S70-S95</f>
        <v/>
      </c>
      <c r="T96" s="60">
        <f>+T70-T95</f>
        <v/>
      </c>
      <c r="U96" s="60">
        <f>+U70-U95</f>
        <v/>
      </c>
      <c r="V96" s="60">
        <f>+V70-V95</f>
        <v/>
      </c>
      <c r="W96" s="60">
        <f>+W70-W95</f>
        <v/>
      </c>
      <c r="X96" s="60">
        <f>+X70-X95</f>
        <v/>
      </c>
      <c r="Y96" s="60">
        <f>+Y70-Y95</f>
        <v/>
      </c>
      <c r="Z96" s="60">
        <f>+Z70-Z95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48" t="n">
        <v>0</v>
      </c>
      <c r="AJ96" s="148" t="n">
        <v>0</v>
      </c>
      <c r="AK96" s="148" t="n">
        <v>0</v>
      </c>
      <c r="AL96" s="148" t="n">
        <v>0</v>
      </c>
      <c r="AM96" s="148" t="n">
        <v>0</v>
      </c>
      <c r="AN96" s="148" t="n">
        <v>0</v>
      </c>
      <c r="AO96" s="149">
        <f>SUM(AC96:AH96)+SUM(AI96:AN96)</f>
        <v/>
      </c>
      <c r="AP96" s="145">
        <f>IF(AB96&lt;&gt;0,(AO96-AB96)/ABS(AB96),0)</f>
        <v/>
      </c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34" t="inlineStr">
        <is>
          <t>CHECK TO TB</t>
        </is>
      </c>
      <c r="B98" s="18" t="n">
        <v>0</v>
      </c>
      <c r="C98" s="18" t="n">
        <v>0</v>
      </c>
      <c r="D98" s="18" t="n">
        <v>0</v>
      </c>
      <c r="E98" s="18" t="n">
        <v>0</v>
      </c>
      <c r="F98" s="18" t="n">
        <v>0</v>
      </c>
      <c r="G98" s="18" t="n">
        <v>0</v>
      </c>
      <c r="H98" s="18" t="n">
        <v>0</v>
      </c>
      <c r="I98" s="18" t="n">
        <v>-7.639755494892597e-11</v>
      </c>
      <c r="J98" s="18" t="n">
        <v>0</v>
      </c>
      <c r="K98" s="18" t="n">
        <v>-2.364686224609613e-11</v>
      </c>
      <c r="L98" s="18" t="n">
        <v>0</v>
      </c>
      <c r="M98" s="18" t="n">
        <v>717.000000000131</v>
      </c>
      <c r="N98" s="8" t="n"/>
      <c r="O98" s="60">
        <f>O95+O99</f>
        <v/>
      </c>
      <c r="P98" s="60">
        <f>P95+P99</f>
        <v/>
      </c>
      <c r="Q98" s="60">
        <f>Q95+Q99</f>
        <v/>
      </c>
      <c r="R98" s="60">
        <f>R95+R99</f>
        <v/>
      </c>
      <c r="S98" s="60">
        <f>S95+S99</f>
        <v/>
      </c>
      <c r="T98" s="60">
        <f>T95+T99</f>
        <v/>
      </c>
      <c r="U98" s="60">
        <f>U95+U99</f>
        <v/>
      </c>
      <c r="V98" s="60">
        <f>V95+V99</f>
        <v/>
      </c>
      <c r="W98" s="60">
        <f>W95+W99</f>
        <v/>
      </c>
      <c r="X98" s="60">
        <f>X95+X99</f>
        <v/>
      </c>
      <c r="Y98" s="60">
        <f>Y95+Y99</f>
        <v/>
      </c>
      <c r="Z98" s="60">
        <f>Z95+Z99</f>
        <v/>
      </c>
      <c r="AA98" s="8" t="n"/>
      <c r="AB98" s="8" t="n"/>
      <c r="AC98" s="8" t="n"/>
      <c r="AD98" s="8" t="n"/>
      <c r="AE98" s="8" t="n"/>
      <c r="AF98" s="8" t="n"/>
      <c r="AG98" s="8" t="n"/>
      <c r="AH98" s="8" t="n"/>
      <c r="AI98" s="148" t="n">
        <v>0</v>
      </c>
      <c r="AJ98" s="148" t="n">
        <v>0</v>
      </c>
      <c r="AK98" s="148" t="n">
        <v>0</v>
      </c>
      <c r="AL98" s="148" t="n">
        <v>0</v>
      </c>
      <c r="AM98" s="148" t="n">
        <v>0</v>
      </c>
      <c r="AN98" s="148" t="n">
        <v>0</v>
      </c>
      <c r="AO98" s="149">
        <f>SUM(AC98:AH98)+SUM(AI98:AN98)</f>
        <v/>
      </c>
      <c r="AP98" s="145">
        <f>IF(AB98&lt;&gt;0,(AO98-AB98)/ABS(AB98),0)</f>
        <v/>
      </c>
    </row>
    <row r="99">
      <c r="A99" s="8" t="n"/>
      <c r="B99" s="18" t="n">
        <v>-141740.61</v>
      </c>
      <c r="C99" s="18" t="n">
        <v>-161261.61</v>
      </c>
      <c r="D99" s="18" t="n">
        <v>-312669.6999999999</v>
      </c>
      <c r="E99" s="18" t="n">
        <v>-104412.3299999997</v>
      </c>
      <c r="F99" s="18" t="n">
        <v>-72948.60000000002</v>
      </c>
      <c r="G99" s="18" t="n">
        <v>-198388.9599999999</v>
      </c>
      <c r="H99" s="18" t="n">
        <v>-475618.0999999997</v>
      </c>
      <c r="I99" s="18" t="n">
        <v>16824.50999999998</v>
      </c>
      <c r="J99" s="18" t="n">
        <v>96262.11000000007</v>
      </c>
      <c r="K99" s="18" t="n">
        <v>10399.62000000002</v>
      </c>
      <c r="L99" s="18" t="n">
        <v>-166737.34</v>
      </c>
      <c r="M99" s="18" t="n">
        <v>-47043.69</v>
      </c>
      <c r="N99" s="8" t="n"/>
      <c r="O99" s="60">
        <f>'ABA'!O99+'BK'!O99+'BW'!O99+'CED'!O99+'HAB'!O99+'HB'!O99+'OD'!O99+'HDN'!O99+'KIN'!O99+'LE'!O99+'MER'!O99+'NDN'!O99+'SALT'!O99+'SDN'!O99+'SST'!O99+'WH'!O99+'FH'!O99+'KNL HO'!O99+'CCL HO'!O99+'YBHN HO'!O99+'YBN HO'!O99</f>
        <v/>
      </c>
      <c r="P99" s="60">
        <f>'ABA'!P99+'BK'!P99+'BW'!P99+'CED'!P99+'HAB'!P99+'HB'!P99+'OD'!P99+'HDN'!P99+'KIN'!P99+'LE'!P99+'MER'!P99+'NDN'!P99+'SALT'!P99+'SDN'!P99+'SST'!P99+'WH'!P99+'FH'!P99+'KNL HO'!P99+'CCL HO'!P99+'YBHN HO'!P99+'YBN HO'!P99</f>
        <v/>
      </c>
      <c r="Q99" s="60">
        <f>'ABA'!Q99+'BK'!Q99+'BW'!Q99+'CED'!Q99+'HAB'!Q99+'HB'!Q99+'OD'!Q99+'HDN'!Q99+'KIN'!Q99+'LE'!Q99+'MER'!Q99+'NDN'!Q99+'SALT'!Q99+'SDN'!Q99+'SST'!Q99+'WH'!Q99+'FH'!Q99+'KNL HO'!Q99+'CCL HO'!Q99+'YBHN HO'!Q99+'YBN HO'!Q99</f>
        <v/>
      </c>
      <c r="R99" s="60">
        <f>'ABA'!R99+'BK'!R99+'BW'!R99+'CED'!R99+'HAB'!R99+'HB'!R99+'OD'!R99+'HDN'!R99+'KIN'!R99+'LE'!R99+'MER'!R99+'NDN'!R99+'SALT'!R99+'SDN'!R99+'SST'!R99+'WH'!R99+'FH'!R99+'KNL HO'!R99+'CCL HO'!R99+'YBHN HO'!R99+'YBN HO'!R99</f>
        <v/>
      </c>
      <c r="S99" s="60">
        <f>'ABA'!S99+'BK'!S99+'BW'!S99+'CED'!S99+'HAB'!S99+'HB'!S99+'OD'!S99+'HDN'!S99+'KIN'!S99+'LE'!S99+'MER'!S99+'NDN'!S99+'SALT'!S99+'SDN'!S99+'SST'!S99+'WH'!S99+'FH'!S99+'KNL HO'!S99+'CCL HO'!S99+'YBHN HO'!S99+'YBN HO'!S99</f>
        <v/>
      </c>
      <c r="T99" s="60">
        <f>'ABA'!T99+'BK'!T99+'BW'!T99+'CED'!T99+'HAB'!T99+'HB'!T99+'OD'!T99+'HDN'!T99+'KIN'!T99+'LE'!T99+'MER'!T99+'NDN'!T99+'SALT'!T99+'SDN'!T99+'SST'!T99+'WH'!T99+'FH'!T99+'KNL HO'!T99+'CCL HO'!T99+'YBHN HO'!T99+'YBN HO'!T99</f>
        <v/>
      </c>
      <c r="U99" s="60">
        <f>'ABA'!U99+'BK'!U99+'BW'!U99+'CED'!U99+'HAB'!U99+'HB'!U99+'OD'!U99+'HDN'!U99+'KIN'!U99+'LE'!U99+'MER'!U99+'NDN'!U99+'SALT'!U99+'SDN'!U99+'SST'!U99+'WH'!U99+'FH'!U99+'KNL HO'!U99+'CCL HO'!U99+'YBHN HO'!U99+'YBN HO'!U99</f>
        <v/>
      </c>
      <c r="V99" s="60">
        <f>SUM('Group TB '!J2:J67)</f>
        <v/>
      </c>
      <c r="W99" s="60">
        <f>SUM('Group TB '!K2:K67)</f>
        <v/>
      </c>
      <c r="X99" s="60">
        <f>SUM('Group TB '!L2:L67)</f>
        <v/>
      </c>
      <c r="Y99" s="60">
        <f>SUM('Group TB '!M2:M67)</f>
        <v/>
      </c>
      <c r="Z99" s="60">
        <f>SUM('Group TB '!N2:N67)</f>
        <v/>
      </c>
      <c r="AA99" s="8" t="n"/>
      <c r="AB99" s="8" t="n"/>
      <c r="AC99" s="8" t="n"/>
      <c r="AD99" s="8" t="n"/>
      <c r="AE99" s="8" t="n"/>
      <c r="AF99" s="8" t="n"/>
      <c r="AG99" s="8" t="n"/>
      <c r="AH99" s="8" t="n"/>
      <c r="AI99" s="148" t="n">
        <v>0</v>
      </c>
      <c r="AJ99" s="148" t="n">
        <v>0</v>
      </c>
      <c r="AK99" s="148" t="n">
        <v>0</v>
      </c>
      <c r="AL99" s="148" t="n">
        <v>0</v>
      </c>
      <c r="AM99" s="148" t="n">
        <v>0</v>
      </c>
      <c r="AN99" s="148" t="n">
        <v>0</v>
      </c>
      <c r="AO99" s="149">
        <f>SUM(AC99:AH99)+SUM(AI99:AN99)</f>
        <v/>
      </c>
      <c r="AP99" s="145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2026-09-16T13:59:17Z</dcterms:created>
  <dcterms:modified xmlns:dcterms="http://purl.org/dc/terms/" xmlns:xsi="http://www.w3.org/2001/XMLSchema-instance" xsi:type="dcterms:W3CDTF">2026-09-16T14:01:12Z</dcterms:modified>
</cp:coreProperties>
</file>