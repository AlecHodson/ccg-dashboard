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Moe2" sheetId="22" state="visible" r:id="rId22"/>
    <sheet xmlns:r="http://schemas.openxmlformats.org/officeDocument/2006/relationships" name="KNL Group" sheetId="23" state="visible" r:id="rId23"/>
    <sheet xmlns:r="http://schemas.openxmlformats.org/officeDocument/2006/relationships" name="CCL Group" sheetId="24" state="visible" r:id="rId24"/>
    <sheet xmlns:r="http://schemas.openxmlformats.org/officeDocument/2006/relationships" name="YBHN Group" sheetId="25" state="visible" r:id="rId25"/>
    <sheet xmlns:r="http://schemas.openxmlformats.org/officeDocument/2006/relationships" name="YBN Group" sheetId="26" state="visible" r:id="rId26"/>
    <sheet xmlns:r="http://schemas.openxmlformats.org/officeDocument/2006/relationships" name="GROUP TOTALS" sheetId="27" state="visible" r:id="rId27"/>
    <sheet xmlns:r="http://schemas.openxmlformats.org/officeDocument/2006/relationships" name="ABA Plan" sheetId="28" state="visible" r:id="rId28"/>
    <sheet xmlns:r="http://schemas.openxmlformats.org/officeDocument/2006/relationships" name="BK Plan" sheetId="29" state="visible" r:id="rId29"/>
    <sheet xmlns:r="http://schemas.openxmlformats.org/officeDocument/2006/relationships" name="BW Plan" sheetId="30" state="visible" r:id="rId30"/>
    <sheet xmlns:r="http://schemas.openxmlformats.org/officeDocument/2006/relationships" name="CED Plan" sheetId="31" state="visible" r:id="rId31"/>
    <sheet xmlns:r="http://schemas.openxmlformats.org/officeDocument/2006/relationships" name="HAB Plan" sheetId="32" state="visible" r:id="rId32"/>
    <sheet xmlns:r="http://schemas.openxmlformats.org/officeDocument/2006/relationships" name="HB Plan" sheetId="33" state="visible" r:id="rId33"/>
    <sheet xmlns:r="http://schemas.openxmlformats.org/officeDocument/2006/relationships" name="OD Plan" sheetId="34" state="visible" r:id="rId34"/>
    <sheet xmlns:r="http://schemas.openxmlformats.org/officeDocument/2006/relationships" name="HDN Plan" sheetId="35" state="visible" r:id="rId35"/>
    <sheet xmlns:r="http://schemas.openxmlformats.org/officeDocument/2006/relationships" name="KIN Plan" sheetId="36" state="visible" r:id="rId36"/>
    <sheet xmlns:r="http://schemas.openxmlformats.org/officeDocument/2006/relationships" name="LE Plan" sheetId="37" state="visible" r:id="rId37"/>
    <sheet xmlns:r="http://schemas.openxmlformats.org/officeDocument/2006/relationships" name="MER Plan" sheetId="38" state="visible" r:id="rId38"/>
    <sheet xmlns:r="http://schemas.openxmlformats.org/officeDocument/2006/relationships" name="NDN Plan" sheetId="39" state="visible" r:id="rId39"/>
    <sheet xmlns:r="http://schemas.openxmlformats.org/officeDocument/2006/relationships" name="SALT Plan" sheetId="40" state="visible" r:id="rId40"/>
    <sheet xmlns:r="http://schemas.openxmlformats.org/officeDocument/2006/relationships" name="SDN Plan" sheetId="41" state="visible" r:id="rId41"/>
    <sheet xmlns:r="http://schemas.openxmlformats.org/officeDocument/2006/relationships" name="SST Plan" sheetId="42" state="visible" r:id="rId42"/>
    <sheet xmlns:r="http://schemas.openxmlformats.org/officeDocument/2006/relationships" name="WH Plan" sheetId="43" state="visible" r:id="rId43"/>
    <sheet xmlns:r="http://schemas.openxmlformats.org/officeDocument/2006/relationships" name="FH Plan" sheetId="44" state="visible" r:id="rId44"/>
    <sheet xmlns:r="http://schemas.openxmlformats.org/officeDocument/2006/relationships" name="KNL HO Plan" sheetId="45" state="visible" r:id="rId45"/>
    <sheet xmlns:r="http://schemas.openxmlformats.org/officeDocument/2006/relationships" name="CCL HO Plan" sheetId="46" state="visible" r:id="rId46"/>
    <sheet xmlns:r="http://schemas.openxmlformats.org/officeDocument/2006/relationships" name="YBHN HO Plan" sheetId="47" state="visible" r:id="rId47"/>
    <sheet xmlns:r="http://schemas.openxmlformats.org/officeDocument/2006/relationships" name="YBN HO Plan" sheetId="48" state="visible" r:id="rId48"/>
    <sheet xmlns:r="http://schemas.openxmlformats.org/officeDocument/2006/relationships" name="Moe2 Plan" sheetId="49" state="visible" r:id="rId49"/>
    <sheet xmlns:r="http://schemas.openxmlformats.org/officeDocument/2006/relationships" name="KNL Group Plan" sheetId="50" state="visible" r:id="rId50"/>
    <sheet xmlns:r="http://schemas.openxmlformats.org/officeDocument/2006/relationships" name="CCL Group Plan" sheetId="51" state="visible" r:id="rId51"/>
    <sheet xmlns:r="http://schemas.openxmlformats.org/officeDocument/2006/relationships" name="YBHN Group Plan" sheetId="52" state="visible" r:id="rId52"/>
    <sheet xmlns:r="http://schemas.openxmlformats.org/officeDocument/2006/relationships" name="YBN Group Plan" sheetId="53" state="visible" r:id="rId53"/>
    <sheet xmlns:r="http://schemas.openxmlformats.org/officeDocument/2006/relationships" name="GROUP TOTALS Plan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Aptos Narrow"/>
      <sz val="11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Calibri"/>
      <family val="2"/>
      <color rgb="FF000000"/>
      <sz val="11"/>
      <u val="single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color rgb="001A1A2E"/>
      <sz val="11"/>
    </font>
    <font>
      <b val="1"/>
      <color rgb="FF000000"/>
      <sz val="11"/>
    </font>
    <font>
      <color rgb="00555555"/>
      <sz val="9"/>
    </font>
    <font>
      <b val="1"/>
      <color rgb="001A1A2E"/>
      <sz val="11"/>
    </font>
    <font>
      <b val="1"/>
      <sz val="11"/>
    </font>
  </fonts>
  <fills count="13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 wrapText="1"/>
    </xf>
    <xf numFmtId="164" fontId="4" fillId="3" borderId="4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wrapText="1"/>
    </xf>
    <xf numFmtId="164" fontId="3" fillId="2" borderId="0" pivotButton="0" quotePrefix="0" xfId="0"/>
    <xf numFmtId="164" fontId="3" fillId="3" borderId="5" pivotButton="0" quotePrefix="0" xfId="0"/>
    <xf numFmtId="164" fontId="3" fillId="4" borderId="0" pivotButton="0" quotePrefix="0" xfId="0"/>
    <xf numFmtId="164" fontId="3" fillId="3" borderId="6" pivotButton="0" quotePrefix="0" xfId="0"/>
    <xf numFmtId="164" fontId="3" fillId="0" borderId="0" applyAlignment="1" pivotButton="0" quotePrefix="0" xfId="0">
      <alignment horizontal="left"/>
    </xf>
    <xf numFmtId="164" fontId="3" fillId="2" borderId="0" applyAlignment="1" pivotButton="0" quotePrefix="0" xfId="0">
      <alignment horizontal="right"/>
    </xf>
    <xf numFmtId="164" fontId="3" fillId="3" borderId="5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4" fontId="3" fillId="3" borderId="6" applyAlignment="1" pivotButton="0" quotePrefix="0" xfId="0">
      <alignment horizontal="right"/>
    </xf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0" fontId="5" fillId="0" borderId="0" pivotButton="0" quotePrefix="0" xfId="0"/>
    <xf numFmtId="164" fontId="6" fillId="2" borderId="0" pivotButton="0" quotePrefix="0" xfId="0"/>
    <xf numFmtId="164" fontId="7" fillId="3" borderId="5" pivotButton="0" quotePrefix="0" xfId="0"/>
    <xf numFmtId="164" fontId="6" fillId="0" borderId="0" pivotButton="0" quotePrefix="0" xfId="0"/>
    <xf numFmtId="164" fontId="6" fillId="4" borderId="0" pivotButton="0" quotePrefix="0" xfId="0"/>
    <xf numFmtId="164" fontId="7" fillId="3" borderId="6" pivotButton="0" quotePrefix="0" xfId="0"/>
    <xf numFmtId="164" fontId="7" fillId="0" borderId="0" pivotButton="0" quotePrefix="0" xfId="0"/>
    <xf numFmtId="164" fontId="3" fillId="0" borderId="7" applyAlignment="1" pivotButton="0" quotePrefix="0" xfId="0">
      <alignment horizontal="left"/>
    </xf>
    <xf numFmtId="164" fontId="3" fillId="2" borderId="8" applyAlignment="1" pivotButton="0" quotePrefix="0" xfId="0">
      <alignment horizontal="right"/>
    </xf>
    <xf numFmtId="164" fontId="7" fillId="3" borderId="9" pivotButton="0" quotePrefix="0" xfId="0"/>
    <xf numFmtId="164" fontId="3" fillId="0" borderId="8" applyAlignment="1" pivotButton="0" quotePrefix="0" xfId="0">
      <alignment horizontal="right"/>
    </xf>
    <xf numFmtId="164" fontId="3" fillId="4" borderId="8" applyAlignment="1" pivotButton="0" quotePrefix="0" xfId="0">
      <alignment horizontal="right"/>
    </xf>
    <xf numFmtId="164" fontId="4" fillId="5" borderId="0" applyAlignment="1" pivotButton="0" quotePrefix="0" xfId="0">
      <alignment horizontal="left"/>
    </xf>
    <xf numFmtId="9" fontId="4" fillId="5" borderId="0" applyAlignment="1" pivotButton="0" quotePrefix="0" xfId="0">
      <alignment horizontal="right"/>
    </xf>
    <xf numFmtId="165" fontId="3" fillId="5" borderId="0" pivotButton="0" quotePrefix="0" xfId="0"/>
    <xf numFmtId="164" fontId="7" fillId="5" borderId="5" pivotButton="0" quotePrefix="0" xfId="0"/>
    <xf numFmtId="164" fontId="7" fillId="5" borderId="6" pivotButton="0" quotePrefix="0" xfId="0"/>
    <xf numFmtId="165" fontId="3" fillId="0" borderId="0" pivotButton="0" quotePrefix="0" xfId="0"/>
    <xf numFmtId="164" fontId="3" fillId="3" borderId="9" applyAlignment="1" pivotButton="0" quotePrefix="0" xfId="0">
      <alignment horizontal="right"/>
    </xf>
    <xf numFmtId="164" fontId="3" fillId="3" borderId="7" applyAlignment="1" pivotButton="0" quotePrefix="0" xfId="0">
      <alignment horizontal="right"/>
    </xf>
    <xf numFmtId="164" fontId="4" fillId="6" borderId="0" applyAlignment="1" pivotButton="0" quotePrefix="0" xfId="0">
      <alignment horizontal="left"/>
    </xf>
    <xf numFmtId="164" fontId="4" fillId="6" borderId="0" pivotButton="0" quotePrefix="0" xfId="0"/>
    <xf numFmtId="164" fontId="4" fillId="0" borderId="0" pivotButton="0" quotePrefix="0" xfId="0"/>
    <xf numFmtId="164" fontId="4" fillId="2" borderId="0" pivotButton="0" quotePrefix="0" xfId="0"/>
    <xf numFmtId="164" fontId="4" fillId="4" borderId="0" pivotButton="0" quotePrefix="0" xfId="0"/>
    <xf numFmtId="0" fontId="8" fillId="0" borderId="0" pivotButton="0" quotePrefix="0" xfId="0"/>
    <xf numFmtId="164" fontId="3" fillId="0" borderId="0" pivotButton="0" quotePrefix="0" xfId="0"/>
    <xf numFmtId="166" fontId="9" fillId="0" borderId="0" pivotButton="0" quotePrefix="0" xfId="0"/>
    <xf numFmtId="2" fontId="9" fillId="0" borderId="0" pivotButton="0" quotePrefix="0" xfId="0"/>
    <xf numFmtId="164" fontId="10" fillId="0" borderId="0" applyAlignment="1" pivotButton="0" quotePrefix="0" xfId="0">
      <alignment horizontal="left"/>
    </xf>
    <xf numFmtId="164" fontId="3" fillId="0" borderId="10" pivotButton="0" quotePrefix="0" xfId="0"/>
    <xf numFmtId="164" fontId="3" fillId="7" borderId="0" pivotButton="0" quotePrefix="0" xfId="0"/>
    <xf numFmtId="9" fontId="4" fillId="2" borderId="0" applyAlignment="1" pivotButton="0" quotePrefix="0" xfId="0">
      <alignment horizontal="right"/>
    </xf>
    <xf numFmtId="164" fontId="3" fillId="2" borderId="10" pivotButton="0" quotePrefix="0" xfId="0"/>
    <xf numFmtId="164" fontId="3" fillId="4" borderId="10" pivotButton="0" quotePrefix="0" xfId="0"/>
    <xf numFmtId="0" fontId="5" fillId="7" borderId="0" pivotButton="0" quotePrefix="0" xfId="0"/>
    <xf numFmtId="0" fontId="11" fillId="0" borderId="0" pivotButton="0" quotePrefix="0" xfId="0"/>
    <xf numFmtId="0" fontId="5" fillId="0" borderId="10" pivotButton="0" quotePrefix="0" xfId="0"/>
    <xf numFmtId="164" fontId="4" fillId="0" borderId="10" pivotButton="0" quotePrefix="0" xfId="0"/>
    <xf numFmtId="0" fontId="5" fillId="0" borderId="11" pivotButton="0" quotePrefix="0" xfId="0"/>
    <xf numFmtId="164" fontId="6" fillId="2" borderId="11" pivotButton="0" quotePrefix="0" xfId="0"/>
    <xf numFmtId="164" fontId="7" fillId="3" borderId="12" pivotButton="0" quotePrefix="0" xfId="0"/>
    <xf numFmtId="164" fontId="6" fillId="0" borderId="11" pivotButton="0" quotePrefix="0" xfId="0"/>
    <xf numFmtId="164" fontId="6" fillId="4" borderId="11" pivotButton="0" quotePrefix="0" xfId="0"/>
    <xf numFmtId="164" fontId="4" fillId="6" borderId="13" pivotButton="0" quotePrefix="0" xfId="0"/>
    <xf numFmtId="9" fontId="4" fillId="0" borderId="0" applyAlignment="1" pivotButton="0" quotePrefix="0" xfId="0">
      <alignment horizontal="right"/>
    </xf>
    <xf numFmtId="165" fontId="9" fillId="0" borderId="0" pivotButton="0" quotePrefix="0" xfId="0"/>
    <xf numFmtId="164" fontId="3" fillId="5" borderId="0" pivotButton="0" quotePrefix="0" xfId="0"/>
    <xf numFmtId="164" fontId="4" fillId="0" borderId="10" applyAlignment="1" pivotButton="0" quotePrefix="0" xfId="0">
      <alignment horizontal="left"/>
    </xf>
    <xf numFmtId="164" fontId="4" fillId="3" borderId="4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7" fillId="0" borderId="6" pivotButton="0" quotePrefix="0" xfId="0"/>
    <xf numFmtId="164" fontId="7" fillId="3" borderId="7" pivotButton="0" quotePrefix="0" xfId="0"/>
    <xf numFmtId="164" fontId="12" fillId="0" borderId="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4" fillId="8" borderId="3" applyAlignment="1" pivotButton="0" quotePrefix="0" xfId="0">
      <alignment horizontal="center" wrapText="1"/>
    </xf>
    <xf numFmtId="164" fontId="3" fillId="8" borderId="5" pivotButton="0" quotePrefix="0" xfId="0"/>
    <xf numFmtId="164" fontId="3" fillId="8" borderId="5" applyAlignment="1" pivotButton="0" quotePrefix="0" xfId="0">
      <alignment horizontal="right"/>
    </xf>
    <xf numFmtId="164" fontId="4" fillId="8" borderId="5" applyAlignment="1" pivotButton="0" quotePrefix="0" xfId="0">
      <alignment horizontal="right"/>
    </xf>
    <xf numFmtId="164" fontId="7" fillId="8" borderId="5" pivotButton="0" quotePrefix="0" xfId="0"/>
    <xf numFmtId="164" fontId="7" fillId="8" borderId="9" pivotButton="0" quotePrefix="0" xfId="0"/>
    <xf numFmtId="9" fontId="4" fillId="8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7" fillId="3" borderId="15" pivotButton="0" quotePrefix="0" xfId="0"/>
    <xf numFmtId="164" fontId="4" fillId="6" borderId="5" pivotButton="0" quotePrefix="0" xfId="0"/>
    <xf numFmtId="164" fontId="4" fillId="8" borderId="5" pivotButton="0" quotePrefix="0" xfId="0"/>
    <xf numFmtId="164" fontId="6" fillId="9" borderId="0" pivotButton="0" quotePrefix="0" xfId="0"/>
    <xf numFmtId="164" fontId="7" fillId="3" borderId="16" pivotButton="0" quotePrefix="0" xfId="0"/>
    <xf numFmtId="164" fontId="2" fillId="8" borderId="0" pivotButton="0" quotePrefix="0" xfId="0"/>
    <xf numFmtId="164" fontId="3" fillId="8" borderId="0" pivotButton="0" quotePrefix="0" xfId="0"/>
    <xf numFmtId="164" fontId="4" fillId="6" borderId="7" applyAlignment="1" pivotButton="0" quotePrefix="0" xfId="0">
      <alignment horizontal="left"/>
    </xf>
    <xf numFmtId="164" fontId="4" fillId="6" borderId="8" pivotButton="0" quotePrefix="0" xfId="0"/>
    <xf numFmtId="168" fontId="13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/>
    </xf>
    <xf numFmtId="164" fontId="15" fillId="10" borderId="3" applyAlignment="1" pivotButton="0" quotePrefix="0" xfId="0">
      <alignment horizontal="center"/>
    </xf>
    <xf numFmtId="164" fontId="15" fillId="10" borderId="4" applyAlignment="1" pivotButton="0" quotePrefix="0" xfId="0">
      <alignment horizontal="center"/>
    </xf>
    <xf numFmtId="164" fontId="15" fillId="10" borderId="0" applyAlignment="1" pivotButton="0" quotePrefix="0" xfId="0">
      <alignment horizontal="center"/>
    </xf>
    <xf numFmtId="164" fontId="15" fillId="10" borderId="3" applyAlignment="1" pivotButton="0" quotePrefix="0" xfId="0">
      <alignment horizontal="center" wrapText="1"/>
    </xf>
    <xf numFmtId="0" fontId="15" fillId="10" borderId="0" applyAlignment="1" pivotButton="0" quotePrefix="0" xfId="0">
      <alignment horizontal="center" wrapText="1"/>
    </xf>
    <xf numFmtId="164" fontId="16" fillId="11" borderId="0" applyAlignment="1" pivotButton="0" quotePrefix="0" xfId="0">
      <alignment horizontal="right" vertical="center"/>
    </xf>
    <xf numFmtId="164" fontId="16" fillId="11" borderId="5" applyAlignment="1" pivotButton="0" quotePrefix="0" xfId="0">
      <alignment horizontal="right" vertical="center"/>
    </xf>
    <xf numFmtId="164" fontId="16" fillId="11" borderId="6" applyAlignment="1" pivotButton="0" quotePrefix="0" xfId="0">
      <alignment horizontal="right" vertical="center"/>
    </xf>
    <xf numFmtId="3" fontId="17" fillId="4" borderId="5" applyAlignment="1" pivotButton="0" quotePrefix="0" xfId="0">
      <alignment horizontal="right"/>
    </xf>
    <xf numFmtId="169" fontId="18" fillId="12" borderId="5" applyAlignment="1" pivotButton="0" quotePrefix="0" xfId="0">
      <alignment horizontal="right"/>
    </xf>
    <xf numFmtId="164" fontId="19" fillId="11" borderId="0" applyAlignment="1" pivotButton="0" quotePrefix="0" xfId="0">
      <alignment horizontal="right" vertical="center"/>
    </xf>
    <xf numFmtId="164" fontId="19" fillId="11" borderId="5" applyAlignment="1" pivotButton="0" quotePrefix="0" xfId="0">
      <alignment horizontal="right" vertical="center"/>
    </xf>
    <xf numFmtId="164" fontId="19" fillId="11" borderId="6" applyAlignment="1" pivotButton="0" quotePrefix="0" xfId="0">
      <alignment horizontal="right" vertical="center"/>
    </xf>
    <xf numFmtId="3" fontId="20" fillId="4" borderId="5" applyAlignment="1" pivotButton="0" quotePrefix="0" xfId="0">
      <alignment horizontal="right"/>
    </xf>
    <xf numFmtId="164" fontId="16" fillId="11" borderId="9" applyAlignment="1" pivotButton="0" quotePrefix="0" xfId="0">
      <alignment horizontal="right" vertical="center"/>
    </xf>
    <xf numFmtId="3" fontId="17" fillId="4" borderId="9" applyAlignment="1" pivotButton="0" quotePrefix="0" xfId="0">
      <alignment horizontal="right"/>
    </xf>
    <xf numFmtId="169" fontId="18" fillId="12" borderId="9" applyAlignment="1" pivotButton="0" quotePrefix="0" xfId="0">
      <alignment horizontal="right"/>
    </xf>
    <xf numFmtId="9" fontId="19" fillId="11" borderId="0" applyAlignment="1" pivotButton="0" quotePrefix="0" xfId="0">
      <alignment horizontal="right" vertical="center"/>
    </xf>
    <xf numFmtId="9" fontId="19" fillId="11" borderId="5" applyAlignment="1" pivotButton="0" quotePrefix="0" xfId="0">
      <alignment horizontal="right" vertical="center"/>
    </xf>
    <xf numFmtId="9" fontId="19" fillId="11" borderId="6" applyAlignment="1" pivotButton="0" quotePrefix="0" xfId="0">
      <alignment horizontal="right" vertical="center"/>
    </xf>
    <xf numFmtId="3" fontId="17" fillId="5" borderId="5" applyAlignment="1" pivotButton="0" quotePrefix="0" xfId="0">
      <alignment horizontal="right"/>
    </xf>
    <xf numFmtId="164" fontId="16" fillId="11" borderId="7" applyAlignment="1" pivotButton="0" quotePrefix="0" xfId="0">
      <alignment horizontal="right" vertical="center"/>
    </xf>
    <xf numFmtId="3" fontId="17" fillId="6" borderId="0" applyAlignment="1" pivotButton="0" quotePrefix="0" xfId="0">
      <alignment horizontal="right"/>
    </xf>
    <xf numFmtId="169" fontId="18" fillId="12" borderId="0" applyAlignment="1" pivotButton="0" quotePrefix="0" xfId="0">
      <alignment horizontal="right"/>
    </xf>
    <xf numFmtId="170" fontId="14" fillId="10" borderId="0" applyAlignment="1" pivotButton="0" quotePrefix="0" xfId="0">
      <alignment horizontal="right"/>
    </xf>
    <xf numFmtId="3" fontId="17" fillId="4" borderId="0" applyAlignment="1" pivotButton="0" quotePrefix="0" xfId="0">
      <alignment horizontal="right"/>
    </xf>
    <xf numFmtId="0" fontId="16" fillId="11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/>
    </xf>
    <xf numFmtId="3" fontId="17" fillId="0" borderId="0" applyAlignment="1" pivotButton="0" quotePrefix="0" xfId="0">
      <alignment horizontal="right"/>
    </xf>
    <xf numFmtId="3" fontId="17" fillId="7" borderId="0" applyAlignment="1" pivotButton="0" quotePrefix="0" xfId="0">
      <alignment horizontal="right"/>
    </xf>
    <xf numFmtId="164" fontId="16" fillId="11" borderId="10" applyAlignment="1" pivotButton="0" quotePrefix="0" xfId="0">
      <alignment horizontal="right" vertical="center"/>
    </xf>
    <xf numFmtId="3" fontId="17" fillId="0" borderId="10" applyAlignment="1" pivotButton="0" quotePrefix="0" xfId="0">
      <alignment horizontal="right"/>
    </xf>
    <xf numFmtId="169" fontId="18" fillId="12" borderId="10" applyAlignment="1" pivotButton="0" quotePrefix="0" xfId="0">
      <alignment horizontal="right"/>
    </xf>
    <xf numFmtId="3" fontId="20" fillId="4" borderId="0" applyAlignment="1" pivotButton="0" quotePrefix="0" xfId="0">
      <alignment horizontal="right"/>
    </xf>
    <xf numFmtId="3" fontId="17" fillId="5" borderId="0" applyAlignment="1" pivotButton="0" quotePrefix="0" xfId="0">
      <alignment horizontal="right"/>
    </xf>
    <xf numFmtId="164" fontId="19" fillId="11" borderId="9" applyAlignment="1" pivotButton="0" quotePrefix="0" xfId="0">
      <alignment horizontal="right" vertical="center"/>
    </xf>
    <xf numFmtId="3" fontId="17" fillId="6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950807.38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50" t="n">
        <v>0.0318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50" t="n">
        <v>0.004240000000000001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50" t="n">
        <v>0.006240000000000001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378993.15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>
        <v>0</v>
      </c>
      <c r="P57" s="36" t="n">
        <v>0</v>
      </c>
      <c r="Q57" s="36" t="n">
        <v>0</v>
      </c>
      <c r="R57" s="36" t="n">
        <v>313.5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313.5</v>
      </c>
      <c r="AB57" s="35" t="n">
        <v>313.5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/>
      <c r="W59" s="37" t="n"/>
      <c r="X59" s="37" t="n"/>
      <c r="Y59" s="37" t="n"/>
      <c r="Z59" s="37" t="n"/>
      <c r="AA59" s="35" t="n">
        <v>1503.6</v>
      </c>
      <c r="AB59" s="35" t="n">
        <v>1503.6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>
        <v>3.6</v>
      </c>
      <c r="P60" s="36" t="n">
        <v>1.8</v>
      </c>
      <c r="Q60" s="36" t="n">
        <v>48.15999999999999</v>
      </c>
      <c r="R60" s="36" t="n">
        <v>4.2</v>
      </c>
      <c r="S60" s="36" t="n">
        <v>3</v>
      </c>
      <c r="T60" s="36" t="n">
        <v>6.6</v>
      </c>
      <c r="U60" s="36" t="n">
        <v>4.8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72.15999999999998</v>
      </c>
      <c r="AB60" s="35" t="n">
        <v>97.15999999999998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>
        <v>0</v>
      </c>
      <c r="P62" s="36" t="n">
        <v>0</v>
      </c>
      <c r="Q62" s="36" t="n">
        <v>0</v>
      </c>
      <c r="R62" s="36" t="n">
        <v>30</v>
      </c>
      <c r="S62" s="36" t="n">
        <v>0</v>
      </c>
      <c r="T62" s="36" t="n">
        <v>356</v>
      </c>
      <c r="U62" s="36" t="n">
        <v>179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565</v>
      </c>
      <c r="AB62" s="35" t="n">
        <v>565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0.2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0.2</v>
      </c>
      <c r="AB65" s="35" t="n">
        <v>0.2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218.4</v>
      </c>
      <c r="P69" s="43" t="n">
        <v>216.6</v>
      </c>
      <c r="Q69" s="43" t="n">
        <v>262.96</v>
      </c>
      <c r="R69" s="43" t="n">
        <v>562.7</v>
      </c>
      <c r="S69" s="43" t="n">
        <v>217.8</v>
      </c>
      <c r="T69" s="43" t="n">
        <v>577.4</v>
      </c>
      <c r="U69" s="43" t="n">
        <v>398.6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2454.46</v>
      </c>
      <c r="AB69" s="42" t="n">
        <v>2479.46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375238.32</v>
      </c>
      <c r="O70" s="54" t="n">
        <v>22753.11000000002</v>
      </c>
      <c r="P70" s="54" t="n">
        <v>40869.28000000001</v>
      </c>
      <c r="Q70" s="54" t="n">
        <v>56361.71999999999</v>
      </c>
      <c r="R70" s="54" t="n">
        <v>44487.84999999999</v>
      </c>
      <c r="S70" s="54" t="n">
        <v>32946.94999999998</v>
      </c>
      <c r="T70" s="54" t="n">
        <v>44618.81999999999</v>
      </c>
      <c r="U70" s="54" t="n">
        <v>58752.72999999998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300790.46</v>
      </c>
      <c r="AB70" s="54" t="n">
        <v>504328.52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J73" s="58" t="inlineStr">
        <is>
          <t>Model assumptions 2027:</t>
        </is>
      </c>
      <c r="AN73" s="55" t="n"/>
      <c r="AO73" s="55" t="n"/>
      <c r="AP73" s="55" t="n"/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59" t="inlineStr">
        <is>
          <t>Fee Uplift not yet in calcs - offer changing this is purely on FAMLY current data</t>
        </is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699.2399999999997</v>
      </c>
      <c r="R38" s="36" t="n">
        <v>870</v>
      </c>
      <c r="S38" s="36" t="n">
        <v>652.4200000000001</v>
      </c>
      <c r="T38" s="36" t="n">
        <v>416.51</v>
      </c>
      <c r="U38" s="36" t="n">
        <v>537.13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200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200</v>
      </c>
      <c r="AB57" s="35" t="n">
        <v>200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>
        <v>2.4</v>
      </c>
      <c r="P60" s="36" t="n">
        <v>2.4</v>
      </c>
      <c r="Q60" s="36" t="n">
        <v>2.4</v>
      </c>
      <c r="R60" s="36" t="n">
        <v>2.4</v>
      </c>
      <c r="S60" s="36" t="n">
        <v>1.8</v>
      </c>
      <c r="T60" s="36" t="n">
        <v>2.4</v>
      </c>
      <c r="U60" s="36" t="n">
        <v>2.4</v>
      </c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16.2</v>
      </c>
      <c r="AB60" s="35" t="n">
        <v>16.2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65.73999999999999</v>
      </c>
      <c r="U62" s="36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65.73999999999999</v>
      </c>
      <c r="AB62" s="35" t="n">
        <v>65.73999999999999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217.2</v>
      </c>
      <c r="P69" s="43" t="n">
        <v>417.2</v>
      </c>
      <c r="Q69" s="43" t="n">
        <v>217.2</v>
      </c>
      <c r="R69" s="43" t="n">
        <v>217.2</v>
      </c>
      <c r="S69" s="43" t="n">
        <v>216.6</v>
      </c>
      <c r="T69" s="43" t="n">
        <v>282.94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1785.54</v>
      </c>
      <c r="AB69" s="42" t="n">
        <v>2860.54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12625.51999999999</v>
      </c>
      <c r="P70" s="54" t="n">
        <v>11940.43</v>
      </c>
      <c r="Q70" s="54" t="n">
        <v>14731.66999999999</v>
      </c>
      <c r="R70" s="54" t="n">
        <v>8877.470000000012</v>
      </c>
      <c r="S70" s="54" t="n">
        <v>8301.929999999998</v>
      </c>
      <c r="T70" s="54" t="n">
        <v>10160.52</v>
      </c>
      <c r="U70" s="54" t="n">
        <v>14546.11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81183.64999999999</v>
      </c>
      <c r="AB70" s="54" t="n">
        <v>81099.03666666665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  <c r="AN73" s="33" t="n"/>
      <c r="AO73" s="33" t="n"/>
      <c r="AP73" s="33" t="n"/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  <c r="AN74" s="33" t="n"/>
      <c r="AO74" s="33" t="n"/>
      <c r="AP74" s="33" t="n"/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N75" s="33" t="n"/>
      <c r="AO75" s="33" t="n"/>
      <c r="AP75" s="33" t="n"/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N81" s="59" t="n"/>
      <c r="AA81" s="59" t="n">
        <v>0</v>
      </c>
      <c r="AB81" t="n">
        <v>0</v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>
        <v>290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290</v>
      </c>
      <c r="AB57" s="35" t="n">
        <v>290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1503.6</v>
      </c>
      <c r="AB59" s="35" t="n">
        <v>2577.6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>
        <v>34.15</v>
      </c>
      <c r="P60" s="36" t="n">
        <v>3.6</v>
      </c>
      <c r="Q60" s="36" t="n">
        <v>4.2</v>
      </c>
      <c r="R60" s="36" t="n">
        <v>4.8</v>
      </c>
      <c r="S60" s="36" t="n">
        <v>3.6</v>
      </c>
      <c r="T60" s="36" t="n">
        <v>3</v>
      </c>
      <c r="U60" s="36" t="n">
        <v>5.4</v>
      </c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58.75</v>
      </c>
      <c r="AB60" s="35" t="n">
        <v>76.75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>
        <v>0</v>
      </c>
      <c r="P62" s="36" t="n">
        <v>0</v>
      </c>
      <c r="Q62" s="36" t="n">
        <v>120</v>
      </c>
      <c r="R62" s="36" t="n">
        <v>266</v>
      </c>
      <c r="S62" s="36" t="n">
        <v>310</v>
      </c>
      <c r="T62" s="36" t="n">
        <v>0</v>
      </c>
      <c r="U62" s="36" t="n">
        <v>90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786</v>
      </c>
      <c r="AB62" s="35" t="n">
        <v>786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538.95</v>
      </c>
      <c r="P69" s="43" t="n">
        <v>218.4</v>
      </c>
      <c r="Q69" s="43" t="n">
        <v>339</v>
      </c>
      <c r="R69" s="43" t="n">
        <v>485.6</v>
      </c>
      <c r="S69" s="43" t="n">
        <v>528.4</v>
      </c>
      <c r="T69" s="43" t="n">
        <v>217.8</v>
      </c>
      <c r="U69" s="43" t="n">
        <v>310.2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2638.35</v>
      </c>
      <c r="AB69" s="42" t="n">
        <v>3730.35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43788.94000000002</v>
      </c>
      <c r="P70" s="54" t="n">
        <v>82097.59000000003</v>
      </c>
      <c r="Q70" s="54" t="n">
        <v>123942.68</v>
      </c>
      <c r="R70" s="54" t="n">
        <v>73899.93999999999</v>
      </c>
      <c r="S70" s="54" t="n">
        <v>48896.71000000001</v>
      </c>
      <c r="T70" s="54" t="n">
        <v>123692.38</v>
      </c>
      <c r="U70" s="54" t="n">
        <v>104219.21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600537.4500000001</v>
      </c>
      <c r="AB70" s="54" t="n">
        <v>840681.23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50" t="n">
        <v>0.003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50" t="n">
        <v>0.005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100955.81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158.94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158.94</v>
      </c>
      <c r="AB57" s="35" t="n">
        <v>158.94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>
        <v>0.6</v>
      </c>
      <c r="P60" s="36" t="n">
        <v>0.6</v>
      </c>
      <c r="Q60" s="36" t="n">
        <v>0</v>
      </c>
      <c r="R60" s="36" t="n">
        <v>0</v>
      </c>
      <c r="S60" s="36" t="n">
        <v>0.6</v>
      </c>
      <c r="T60" s="36" t="n">
        <v>0.6</v>
      </c>
      <c r="U60" s="36" t="n">
        <v>0.6</v>
      </c>
      <c r="V60" s="37" t="n"/>
      <c r="W60" s="37" t="n"/>
      <c r="X60" s="37" t="n"/>
      <c r="Y60" s="37" t="n"/>
      <c r="Z60" s="37" t="n"/>
      <c r="AA60" s="35" t="n">
        <v>3</v>
      </c>
      <c r="AB60" s="35" t="n">
        <v>3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>
        <v>0</v>
      </c>
      <c r="P62" s="36" t="n">
        <v>20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31.8</v>
      </c>
      <c r="V62" s="37" t="n"/>
      <c r="W62" s="37" t="n"/>
      <c r="X62" s="37" t="n"/>
      <c r="Y62" s="37" t="n"/>
      <c r="Z62" s="37" t="n"/>
      <c r="AA62" s="35" t="n">
        <v>51.8</v>
      </c>
      <c r="AB62" s="35" t="n">
        <v>51.8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215.4</v>
      </c>
      <c r="P69" s="43" t="n">
        <v>235.4</v>
      </c>
      <c r="Q69" s="43" t="n">
        <v>214.8</v>
      </c>
      <c r="R69" s="43" t="n">
        <v>373.74</v>
      </c>
      <c r="S69" s="43" t="n">
        <v>215.4</v>
      </c>
      <c r="T69" s="43" t="n">
        <v>215.4</v>
      </c>
      <c r="U69" s="43" t="n">
        <v>247.2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1717.34</v>
      </c>
      <c r="AB69" s="42" t="n">
        <v>2792.34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92551.67</v>
      </c>
      <c r="O70" s="54" t="n">
        <v>2398.01</v>
      </c>
      <c r="P70" s="54" t="n">
        <v>10980.4</v>
      </c>
      <c r="Q70" s="54" t="n">
        <v>16912.23999999999</v>
      </c>
      <c r="R70" s="54" t="n">
        <v>5431.559999999999</v>
      </c>
      <c r="S70" s="54" t="n">
        <v>2386.559999999999</v>
      </c>
      <c r="T70" s="54" t="n">
        <v>5831.900000000007</v>
      </c>
      <c r="U70" s="54" t="n">
        <v>7368.829999999999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51309.5</v>
      </c>
      <c r="AB70" s="54" t="n">
        <v>22287.85000000001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45</v>
      </c>
      <c r="V58" s="37" t="n"/>
      <c r="W58" s="37" t="n"/>
      <c r="X58" s="37" t="n"/>
      <c r="Y58" s="37" t="n"/>
      <c r="Z58" s="37" t="n"/>
      <c r="AA58" s="35" t="n">
        <v>45</v>
      </c>
      <c r="AB58" s="35" t="n">
        <v>45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>
        <v>83.40000000000001</v>
      </c>
      <c r="P60" s="36" t="n">
        <v>2.4</v>
      </c>
      <c r="Q60" s="36" t="n">
        <v>222.4</v>
      </c>
      <c r="R60" s="36" t="n">
        <v>91.8</v>
      </c>
      <c r="S60" s="36" t="n">
        <v>1.799999999999997</v>
      </c>
      <c r="T60" s="36" t="n">
        <v>107.39</v>
      </c>
      <c r="U60" s="36" t="n">
        <v>1.2</v>
      </c>
      <c r="V60" s="37" t="n"/>
      <c r="W60" s="37" t="n"/>
      <c r="X60" s="37" t="n"/>
      <c r="Y60" s="37" t="n"/>
      <c r="Z60" s="37" t="n"/>
      <c r="AA60" s="35" t="n">
        <v>510.39</v>
      </c>
      <c r="AB60" s="35" t="n">
        <v>510.39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42.75</v>
      </c>
      <c r="P65" s="36" t="n">
        <v>42.75</v>
      </c>
      <c r="Q65" s="36" t="n">
        <v>1582.75</v>
      </c>
      <c r="R65" s="36" t="n">
        <v>42.75</v>
      </c>
      <c r="S65" s="36" t="n">
        <v>42.75</v>
      </c>
      <c r="T65" s="36" t="n">
        <v>42.75</v>
      </c>
      <c r="U65" s="36" t="n">
        <v>510</v>
      </c>
      <c r="V65" s="37" t="n"/>
      <c r="W65" s="37" t="n"/>
      <c r="X65" s="37" t="n"/>
      <c r="Y65" s="37" t="n"/>
      <c r="Z65" s="37" t="n"/>
      <c r="AA65" s="35" t="n">
        <v>2306.5</v>
      </c>
      <c r="AB65" s="35" t="n">
        <v>2306.5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1695</v>
      </c>
      <c r="P66" s="36" t="n">
        <v>1682</v>
      </c>
      <c r="Q66" s="36" t="n">
        <v>1669</v>
      </c>
      <c r="R66" s="36" t="n">
        <v>1657</v>
      </c>
      <c r="S66" s="36" t="n">
        <v>1644</v>
      </c>
      <c r="T66" s="36" t="n">
        <v>1631</v>
      </c>
      <c r="U66" s="36" t="n">
        <v>1619</v>
      </c>
      <c r="V66" s="37" t="n"/>
      <c r="W66" s="37" t="n"/>
      <c r="X66" s="37" t="n"/>
      <c r="Y66" s="37" t="n"/>
      <c r="Z66" s="37" t="n"/>
      <c r="AA66" s="35" t="n">
        <v>11597</v>
      </c>
      <c r="AB66" s="35" t="n">
        <v>11597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>
        <v>8.5</v>
      </c>
      <c r="P67" s="36" t="n">
        <v>68.5</v>
      </c>
      <c r="Q67" s="36" t="n">
        <v>8.5</v>
      </c>
      <c r="R67" s="36" t="n">
        <v>8.5</v>
      </c>
      <c r="S67" s="36" t="n">
        <v>16</v>
      </c>
      <c r="T67" s="36" t="n">
        <v>8.5</v>
      </c>
      <c r="U67" s="36" t="n">
        <v>8.5</v>
      </c>
      <c r="V67" s="37" t="n"/>
      <c r="W67" s="37" t="n"/>
      <c r="X67" s="37" t="n"/>
      <c r="Y67" s="37" t="n"/>
      <c r="Z67" s="37" t="n"/>
      <c r="AA67" s="35" t="n">
        <v>127</v>
      </c>
      <c r="AB67" s="35" t="n">
        <v>127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>
        <v>-11.07</v>
      </c>
      <c r="P68" s="36" t="n">
        <v>-9.82</v>
      </c>
      <c r="Q68" s="36" t="n">
        <v>-8.34</v>
      </c>
      <c r="R68" s="36" t="n">
        <v>0</v>
      </c>
      <c r="S68" s="36" t="n">
        <v>-9.539999999999999</v>
      </c>
      <c r="T68" s="36" t="n">
        <v>-8.65</v>
      </c>
      <c r="U68" s="36" t="n">
        <v>0</v>
      </c>
      <c r="V68" s="37" t="n"/>
      <c r="W68" s="37" t="n"/>
      <c r="X68" s="37" t="n"/>
      <c r="Y68" s="37" t="n"/>
      <c r="Z68" s="37" t="n"/>
      <c r="AA68" s="35" t="n">
        <v>-47.42</v>
      </c>
      <c r="AB68" s="35" t="n">
        <v>-47.42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2033.38</v>
      </c>
      <c r="P69" s="43" t="n">
        <v>2000.63</v>
      </c>
      <c r="Q69" s="43" t="n">
        <v>3689.11</v>
      </c>
      <c r="R69" s="43" t="n">
        <v>2014.85</v>
      </c>
      <c r="S69" s="43" t="n">
        <v>1909.81</v>
      </c>
      <c r="T69" s="43" t="n">
        <v>1995.79</v>
      </c>
      <c r="U69" s="43" t="n">
        <v>2398.5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16042.07</v>
      </c>
      <c r="AB69" s="42" t="n">
        <v>17117.07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169041.1</v>
      </c>
      <c r="O70" s="54" t="n">
        <v>10699.80000000001</v>
      </c>
      <c r="P70" s="54" t="n">
        <v>22545.13</v>
      </c>
      <c r="Q70" s="54" t="n">
        <v>28850.7</v>
      </c>
      <c r="R70" s="54" t="n">
        <v>28283.66</v>
      </c>
      <c r="S70" s="54" t="n">
        <v>19782.69000000001</v>
      </c>
      <c r="T70" s="54" t="n">
        <v>19100.75</v>
      </c>
      <c r="U70" s="54" t="n">
        <v>27738.04000000001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157000.77</v>
      </c>
      <c r="AB70" s="54" t="n">
        <v>190595.06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s="59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</row>
    <row r="85">
      <c r="A85" s="59" t="inlineStr">
        <is>
          <t>Memo</t>
        </is>
      </c>
      <c r="AA85" s="59" t="n">
        <v>0</v>
      </c>
      <c r="AB85" s="55" t="n">
        <v>0</v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</row>
    <row r="94">
      <c r="AA94" t="n">
        <v>0</v>
      </c>
      <c r="AB94" t="n">
        <v>0</v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50" t="n">
        <v>0.002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50" t="n">
        <v>0.004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>
        <v>1.2</v>
      </c>
      <c r="P60" s="36" t="n">
        <v>2.4</v>
      </c>
      <c r="Q60" s="36" t="n">
        <v>2.4</v>
      </c>
      <c r="R60" s="36" t="n">
        <v>3</v>
      </c>
      <c r="S60" s="36" t="n">
        <v>2.4</v>
      </c>
      <c r="T60" s="36" t="n">
        <v>2.4</v>
      </c>
      <c r="U60" s="36" t="n">
        <v>2.4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16.2</v>
      </c>
      <c r="AB60" s="35" t="n">
        <v>41.2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>
        <v>105</v>
      </c>
      <c r="P62" s="36" t="n">
        <v>0</v>
      </c>
      <c r="Q62" s="36" t="n">
        <v>125</v>
      </c>
      <c r="R62" s="36" t="n">
        <v>60</v>
      </c>
      <c r="S62" s="36" t="n">
        <v>0</v>
      </c>
      <c r="T62" s="36" t="n">
        <v>0</v>
      </c>
      <c r="U62" s="36" t="n">
        <v>0</v>
      </c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290</v>
      </c>
      <c r="AB62" s="35" t="n">
        <v>790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321</v>
      </c>
      <c r="P69" s="43" t="n">
        <v>217.2</v>
      </c>
      <c r="Q69" s="43" t="n">
        <v>342.2</v>
      </c>
      <c r="R69" s="43" t="n">
        <v>277.8</v>
      </c>
      <c r="S69" s="43" t="n">
        <v>217.2</v>
      </c>
      <c r="T69" s="43" t="n">
        <v>217.2</v>
      </c>
      <c r="U69" s="43" t="n">
        <v>217.2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1809.8</v>
      </c>
      <c r="AB69" s="42" t="n">
        <v>3409.8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19280.52</v>
      </c>
      <c r="P70" s="54" t="n">
        <v>16539.10999999999</v>
      </c>
      <c r="Q70" s="54" t="n">
        <v>28913.76999999999</v>
      </c>
      <c r="R70" s="54" t="n">
        <v>25615.40999999999</v>
      </c>
      <c r="S70" s="54" t="n">
        <v>17513.30999999999</v>
      </c>
      <c r="T70" s="54" t="n">
        <v>23250.61</v>
      </c>
      <c r="U70" s="54" t="n">
        <v>24757.42999999999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155870.1599999999</v>
      </c>
      <c r="AB70" s="54" t="n">
        <v>218476.84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2046.3</v>
      </c>
      <c r="P8" s="36" t="n">
        <v>1629.21</v>
      </c>
      <c r="Q8" s="36" t="n">
        <v>3226.52</v>
      </c>
      <c r="R8" s="36" t="n">
        <v>2461.4</v>
      </c>
      <c r="S8" s="36" t="n">
        <v>3080.89</v>
      </c>
      <c r="T8" s="36" t="n">
        <v>4473.620000000001</v>
      </c>
      <c r="U8" s="36" t="n">
        <v>2195.93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19113.87</v>
      </c>
      <c r="AB8" s="35" t="n">
        <v>32214.87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4002.88</v>
      </c>
      <c r="P9" s="36" t="n">
        <v>4002.88</v>
      </c>
      <c r="Q9" s="36" t="n">
        <v>3850.42</v>
      </c>
      <c r="R9" s="36" t="n">
        <v>14524.92</v>
      </c>
      <c r="S9" s="36" t="n">
        <v>14524.92</v>
      </c>
      <c r="T9" s="36" t="n">
        <v>26395.81</v>
      </c>
      <c r="U9" s="36" t="n">
        <v>18481.88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85783.71000000001</v>
      </c>
      <c r="AB9" s="35" t="n">
        <v>170679.71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6049.18</v>
      </c>
      <c r="P11" s="43" t="n">
        <v>5632.09</v>
      </c>
      <c r="Q11" s="43" t="n">
        <v>7076.940000000001</v>
      </c>
      <c r="R11" s="43" t="n">
        <v>16986.32</v>
      </c>
      <c r="S11" s="43" t="n">
        <v>17605.81</v>
      </c>
      <c r="T11" s="43" t="n">
        <v>30869.43</v>
      </c>
      <c r="U11" s="43" t="n">
        <v>20677.81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104897.58</v>
      </c>
      <c r="AB11" s="42" t="n">
        <v>202894.58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6880.48</v>
      </c>
      <c r="P16" s="36" t="n">
        <v>6311.75</v>
      </c>
      <c r="Q16" s="36" t="n">
        <v>6248.47</v>
      </c>
      <c r="R16" s="36" t="n">
        <v>7380.8</v>
      </c>
      <c r="S16" s="36" t="n">
        <v>10697.44</v>
      </c>
      <c r="T16" s="36" t="n">
        <v>9263.35</v>
      </c>
      <c r="U16" s="36" t="n">
        <v>10329.69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57111.98</v>
      </c>
      <c r="AB16" s="35" t="n">
        <v>102681.98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781.87</v>
      </c>
      <c r="P17" s="36" t="n">
        <v>696.5599999999999</v>
      </c>
      <c r="Q17" s="36" t="n">
        <v>687.0700000000001</v>
      </c>
      <c r="R17" s="36" t="n">
        <v>742.29</v>
      </c>
      <c r="S17" s="36" t="n">
        <v>1023.34</v>
      </c>
      <c r="T17" s="36" t="n">
        <v>848.35</v>
      </c>
      <c r="U17" s="36" t="n">
        <v>1212.71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5992.190000000001</v>
      </c>
      <c r="AB17" s="35" t="n">
        <v>10347.19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143.99</v>
      </c>
      <c r="P18" s="36" t="n">
        <v>126.92</v>
      </c>
      <c r="Q18" s="36" t="n">
        <v>125.02</v>
      </c>
      <c r="R18" s="36" t="n">
        <v>128.71</v>
      </c>
      <c r="S18" s="36" t="n">
        <v>166.88</v>
      </c>
      <c r="T18" s="36" t="n">
        <v>116.2</v>
      </c>
      <c r="U18" s="36" t="n">
        <v>154.18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961.9</v>
      </c>
      <c r="AB18" s="35" t="n">
        <v>1681.85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33.1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33.1</v>
      </c>
      <c r="AB19" s="35" t="n">
        <v>133.1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25.27</v>
      </c>
      <c r="P21" s="36" t="n">
        <v>0</v>
      </c>
      <c r="Q21" s="36" t="n">
        <v>25.27</v>
      </c>
      <c r="R21" s="36" t="n">
        <v>0</v>
      </c>
      <c r="S21" s="36" t="n">
        <v>46.84</v>
      </c>
      <c r="T21" s="36" t="n">
        <v>21.69</v>
      </c>
      <c r="U21" s="36" t="n">
        <v>28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147.07</v>
      </c>
      <c r="AB21" s="35" t="n">
        <v>347.07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7831.61</v>
      </c>
      <c r="P25" s="43" t="n">
        <v>7135.23</v>
      </c>
      <c r="Q25" s="43" t="n">
        <v>7085.83</v>
      </c>
      <c r="R25" s="43" t="n">
        <v>8251.799999999999</v>
      </c>
      <c r="S25" s="43" t="n">
        <v>11967.6</v>
      </c>
      <c r="T25" s="43" t="n">
        <v>10249.59</v>
      </c>
      <c r="U25" s="43" t="n">
        <v>11724.58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64246.24</v>
      </c>
      <c r="AB25" s="42" t="n">
        <v>115776.19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38.53</v>
      </c>
      <c r="T27" s="36" t="n">
        <v>37.88</v>
      </c>
      <c r="U27" s="36" t="n">
        <v>37.47</v>
      </c>
      <c r="V27" s="37" t="n"/>
      <c r="W27" s="37" t="n"/>
      <c r="X27" s="37" t="n"/>
      <c r="Y27" s="37" t="n"/>
      <c r="Z27" s="37" t="n"/>
      <c r="AA27" s="35" t="n">
        <v>113.88</v>
      </c>
      <c r="AB27" s="35" t="n">
        <v>113.88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17.99</v>
      </c>
      <c r="P28" s="36" t="n">
        <v>27.42</v>
      </c>
      <c r="Q28" s="36" t="n">
        <v>0</v>
      </c>
      <c r="R28" s="36" t="n">
        <v>63.38</v>
      </c>
      <c r="S28" s="36" t="n">
        <v>62.07</v>
      </c>
      <c r="T28" s="36" t="n">
        <v>27.56000000000001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198.42</v>
      </c>
      <c r="AB28" s="35" t="n">
        <v>478.42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11.99</v>
      </c>
      <c r="S29" s="36" t="n">
        <v>74.04000000000001</v>
      </c>
      <c r="T29" s="36" t="n">
        <v>128.3</v>
      </c>
      <c r="U29" s="36" t="n">
        <v>96.41</v>
      </c>
      <c r="V29" s="37" t="n"/>
      <c r="W29" s="37" t="n"/>
      <c r="X29" s="37" t="n"/>
      <c r="Y29" s="37" t="n"/>
      <c r="Z29" s="37" t="n"/>
      <c r="AA29" s="35" t="n">
        <v>310.74</v>
      </c>
      <c r="AB29" s="35" t="n">
        <v>310.74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255.55</v>
      </c>
      <c r="P31" s="36" t="n">
        <v>0</v>
      </c>
      <c r="Q31" s="36" t="n">
        <v>44.79</v>
      </c>
      <c r="R31" s="36" t="n">
        <v>120.51</v>
      </c>
      <c r="S31" s="36" t="n">
        <v>0</v>
      </c>
      <c r="T31" s="36" t="n">
        <v>0</v>
      </c>
      <c r="U31" s="36" t="n">
        <v>79.77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500.62</v>
      </c>
      <c r="AB31" s="35" t="n">
        <v>750.62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14.52</v>
      </c>
      <c r="Q32" s="36" t="n">
        <v>0</v>
      </c>
      <c r="R32" s="36" t="n">
        <v>49.29</v>
      </c>
      <c r="S32" s="36" t="n">
        <v>22.47</v>
      </c>
      <c r="T32" s="36" t="n">
        <v>0</v>
      </c>
      <c r="U32" s="36" t="n">
        <v>50.5</v>
      </c>
      <c r="V32" s="37" t="n"/>
      <c r="W32" s="37" t="n"/>
      <c r="X32" s="37" t="n"/>
      <c r="Y32" s="37" t="n"/>
      <c r="Z32" s="37" t="n"/>
      <c r="AA32" s="35" t="n">
        <v>136.78</v>
      </c>
      <c r="AB32" s="35" t="n">
        <v>136.78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273.54</v>
      </c>
      <c r="P34" s="43" t="n">
        <v>41.94</v>
      </c>
      <c r="Q34" s="43" t="n">
        <v>44.79</v>
      </c>
      <c r="R34" s="43" t="n">
        <v>245.17</v>
      </c>
      <c r="S34" s="43" t="n">
        <v>197.11</v>
      </c>
      <c r="T34" s="43" t="n">
        <v>193.74</v>
      </c>
      <c r="U34" s="43" t="n">
        <v>264.15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1260.44</v>
      </c>
      <c r="AB34" s="42" t="n">
        <v>2070.44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336.81</v>
      </c>
      <c r="P37" s="36" t="n">
        <v>336.81</v>
      </c>
      <c r="Q37" s="36" t="n">
        <v>336.81</v>
      </c>
      <c r="R37" s="36" t="n">
        <v>353.67</v>
      </c>
      <c r="S37" s="36" t="n">
        <v>353.67</v>
      </c>
      <c r="T37" s="36" t="n">
        <v>353.67</v>
      </c>
      <c r="U37" s="36" t="n">
        <v>353.67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2425.11</v>
      </c>
      <c r="AB37" s="35" t="n">
        <v>4720.110000000001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98.63</v>
      </c>
      <c r="P38" s="36" t="n">
        <v>138.37</v>
      </c>
      <c r="Q38" s="36" t="n">
        <v>99.57999999999998</v>
      </c>
      <c r="R38" s="36" t="n">
        <v>180.32</v>
      </c>
      <c r="S38" s="36" t="n">
        <v>172.86</v>
      </c>
      <c r="T38" s="36" t="n">
        <v>111.99</v>
      </c>
      <c r="U38" s="36" t="n">
        <v>78.16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879.91</v>
      </c>
      <c r="AB38" s="35" t="n">
        <v>2179.91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15.19000000000001</v>
      </c>
      <c r="P39" s="36" t="n">
        <v>0</v>
      </c>
      <c r="Q39" s="36" t="n">
        <v>0</v>
      </c>
      <c r="R39" s="36" t="n">
        <v>0</v>
      </c>
      <c r="S39" s="36" t="n">
        <v>122.85</v>
      </c>
      <c r="T39" s="36" t="n">
        <v>0</v>
      </c>
      <c r="U39" s="36" t="n">
        <v>129.6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267.64</v>
      </c>
      <c r="AB39" s="35" t="n">
        <v>2767.64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23.7</v>
      </c>
      <c r="S40" s="36" t="n">
        <v>4.88</v>
      </c>
      <c r="T40" s="36" t="n">
        <v>11.99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40.57</v>
      </c>
      <c r="AB40" s="35" t="n">
        <v>840.5699999999999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323.76</v>
      </c>
      <c r="P41" s="36" t="n">
        <v>323.75</v>
      </c>
      <c r="Q41" s="36" t="n">
        <v>431.19</v>
      </c>
      <c r="R41" s="36" t="n">
        <v>512.8499999999999</v>
      </c>
      <c r="S41" s="36" t="n">
        <v>180.02</v>
      </c>
      <c r="T41" s="36" t="n">
        <v>75.59999999999999</v>
      </c>
      <c r="U41" s="36" t="n">
        <v>310.88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2158.05</v>
      </c>
      <c r="AB41" s="35" t="n">
        <v>3158.05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10</v>
      </c>
      <c r="P42" s="36" t="n">
        <v>10</v>
      </c>
      <c r="Q42" s="36" t="n">
        <v>10</v>
      </c>
      <c r="R42" s="36" t="n">
        <v>10</v>
      </c>
      <c r="S42" s="36" t="n">
        <v>25.98</v>
      </c>
      <c r="T42" s="36" t="n">
        <v>10</v>
      </c>
      <c r="U42" s="36" t="n">
        <v>36.76000000000001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112.74</v>
      </c>
      <c r="AB42" s="35" t="n">
        <v>112.74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1.99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1.99</v>
      </c>
      <c r="AB43" s="35" t="n">
        <v>51.99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784.39</v>
      </c>
      <c r="P47" s="43" t="n">
        <v>808.9300000000001</v>
      </c>
      <c r="Q47" s="43" t="n">
        <v>877.5799999999999</v>
      </c>
      <c r="R47" s="43" t="n">
        <v>1080.54</v>
      </c>
      <c r="S47" s="43" t="n">
        <v>860.26</v>
      </c>
      <c r="T47" s="43" t="n">
        <v>563.25</v>
      </c>
      <c r="U47" s="43" t="n">
        <v>911.0600000000001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5886.01</v>
      </c>
      <c r="AB47" s="51" t="n">
        <v>14331.01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8889.539999999999</v>
      </c>
      <c r="P48" s="24" t="n">
        <v>7986.099999999999</v>
      </c>
      <c r="Q48" s="24" t="n">
        <v>8008.2</v>
      </c>
      <c r="R48" s="24" t="n">
        <v>9577.509999999998</v>
      </c>
      <c r="S48" s="24" t="n">
        <v>13024.97</v>
      </c>
      <c r="T48" s="24" t="n">
        <v>11006.58</v>
      </c>
      <c r="U48" s="24" t="n">
        <v>12899.79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71392.69</v>
      </c>
      <c r="AB48" s="35" t="n">
        <v>132177.64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-2840.359999999999</v>
      </c>
      <c r="P50" s="54" t="n">
        <v>-2354.009999999999</v>
      </c>
      <c r="Q50" s="54" t="n">
        <v>-931.2599999999993</v>
      </c>
      <c r="R50" s="54" t="n">
        <v>7408.810000000001</v>
      </c>
      <c r="S50" s="54" t="n">
        <v>4580.84</v>
      </c>
      <c r="T50" s="54" t="n">
        <v>19862.85</v>
      </c>
      <c r="U50" s="54" t="n">
        <v>7778.02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33504.89</v>
      </c>
      <c r="AB50" s="54" t="n">
        <v>70716.94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>
        <v>14.4</v>
      </c>
      <c r="P60" s="36" t="n">
        <v>3.6</v>
      </c>
      <c r="Q60" s="36" t="n">
        <v>3.6</v>
      </c>
      <c r="R60" s="36" t="n">
        <v>257.8</v>
      </c>
      <c r="S60" s="36" t="n">
        <v>5.4</v>
      </c>
      <c r="T60" s="36" t="n">
        <v>6</v>
      </c>
      <c r="U60" s="36" t="n">
        <v>6</v>
      </c>
      <c r="V60" s="37" t="n"/>
      <c r="W60" s="37" t="n"/>
      <c r="X60" s="37" t="n"/>
      <c r="Y60" s="37" t="n"/>
      <c r="Z60" s="37" t="n"/>
      <c r="AA60" s="35" t="n">
        <v>296.8</v>
      </c>
      <c r="AB60" s="35" t="n">
        <v>296.8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79</v>
      </c>
      <c r="P66" s="36" t="n">
        <v>78</v>
      </c>
      <c r="Q66" s="36" t="n">
        <v>76</v>
      </c>
      <c r="R66" s="36" t="n">
        <v>75</v>
      </c>
      <c r="S66" s="36" t="n">
        <v>73</v>
      </c>
      <c r="T66" s="36" t="n">
        <v>72</v>
      </c>
      <c r="U66" s="36" t="n">
        <v>70</v>
      </c>
      <c r="V66" s="37" t="n"/>
      <c r="W66" s="37" t="n"/>
      <c r="X66" s="37" t="n"/>
      <c r="Y66" s="37" t="n"/>
      <c r="Z66" s="37" t="n"/>
      <c r="AA66" s="35" t="n">
        <v>523</v>
      </c>
      <c r="AB66" s="35" t="n">
        <v>523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308.2</v>
      </c>
      <c r="P69" s="43" t="n">
        <v>296.4</v>
      </c>
      <c r="Q69" s="43" t="n">
        <v>294.4</v>
      </c>
      <c r="R69" s="43" t="n">
        <v>547.6</v>
      </c>
      <c r="S69" s="43" t="n">
        <v>293.2</v>
      </c>
      <c r="T69" s="43" t="n">
        <v>292.8</v>
      </c>
      <c r="U69" s="43" t="n">
        <v>290.8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2323.4</v>
      </c>
      <c r="AB69" s="42" t="n">
        <v>3398.4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-3148.559999999999</v>
      </c>
      <c r="P70" s="54" t="n">
        <v>-2650.409999999999</v>
      </c>
      <c r="Q70" s="54" t="n">
        <v>-1225.659999999999</v>
      </c>
      <c r="R70" s="54" t="n">
        <v>6861.210000000001</v>
      </c>
      <c r="S70" s="54" t="n">
        <v>4287.64</v>
      </c>
      <c r="T70" s="54" t="n">
        <v>19570.05</v>
      </c>
      <c r="U70" s="54" t="n">
        <v>7487.22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31181.49000000001</v>
      </c>
      <c r="AB70" s="54" t="n">
        <v>67318.54000000001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4828.200000000001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>
        <v>106.79</v>
      </c>
      <c r="P60" s="36" t="n">
        <v>8.99</v>
      </c>
      <c r="Q60" s="36" t="n">
        <v>13.19</v>
      </c>
      <c r="R60" s="36" t="n">
        <v>100.2</v>
      </c>
      <c r="S60" s="36" t="n">
        <v>4.2</v>
      </c>
      <c r="T60" s="36" t="n">
        <v>-11.23</v>
      </c>
      <c r="U60" s="36" t="n">
        <v>4.199999999999999</v>
      </c>
      <c r="V60" s="37" t="n"/>
      <c r="W60" s="37" t="n"/>
      <c r="X60" s="37" t="n"/>
      <c r="Y60" s="37" t="n"/>
      <c r="Z60" s="37" t="n"/>
      <c r="AA60" s="35" t="n">
        <v>226.34</v>
      </c>
      <c r="AB60" s="35" t="n">
        <v>226.34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321.59</v>
      </c>
      <c r="P69" s="43" t="n">
        <v>223.79</v>
      </c>
      <c r="Q69" s="43" t="n">
        <v>227.99</v>
      </c>
      <c r="R69" s="43" t="n">
        <v>315</v>
      </c>
      <c r="S69" s="43" t="n">
        <v>219</v>
      </c>
      <c r="T69" s="43" t="n">
        <v>203.57</v>
      </c>
      <c r="U69" s="43" t="n">
        <v>219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1729.94</v>
      </c>
      <c r="AB69" s="42" t="n">
        <v>2804.94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</v>
      </c>
      <c r="O70" s="54" t="n">
        <v>-1328.030000000002</v>
      </c>
      <c r="P70" s="54" t="n">
        <v>7143.870000000004</v>
      </c>
      <c r="Q70" s="54" t="n">
        <v>12977.78</v>
      </c>
      <c r="R70" s="54" t="n">
        <v>18797.11</v>
      </c>
      <c r="S70" s="54" t="n">
        <v>17966.52</v>
      </c>
      <c r="T70" s="54" t="n">
        <v>22819.50000000001</v>
      </c>
      <c r="U70" s="55" t="n">
        <v>33931.20000000002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112307.95</v>
      </c>
      <c r="AB70" s="54" t="n">
        <v>168897.6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50" t="n">
        <v>0.004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50" t="n">
        <v>0.006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136157.38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890.4000000000001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2179.2</v>
      </c>
      <c r="AB59" s="35" t="n">
        <v>3254.2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>
        <v>2.4</v>
      </c>
      <c r="P60" s="36" t="n">
        <v>9.390000000000001</v>
      </c>
      <c r="Q60" s="36" t="n">
        <v>20.38</v>
      </c>
      <c r="R60" s="36" t="n">
        <v>2.4</v>
      </c>
      <c r="S60" s="36" t="n">
        <v>4.2</v>
      </c>
      <c r="T60" s="36" t="n">
        <v>5.4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49.57</v>
      </c>
      <c r="AB60" s="35" t="n">
        <v>49.57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>
        <v>0</v>
      </c>
      <c r="P62" s="36" t="n">
        <v>25</v>
      </c>
      <c r="Q62" s="36" t="n">
        <v>0</v>
      </c>
      <c r="R62" s="36" t="n">
        <v>60</v>
      </c>
      <c r="S62" s="36" t="n">
        <v>25</v>
      </c>
      <c r="T62" s="36" t="n">
        <v>70</v>
      </c>
      <c r="U62" s="36" t="n">
        <v>144</v>
      </c>
      <c r="V62" s="37" t="n"/>
      <c r="W62" s="37" t="n"/>
      <c r="X62" s="37" t="n"/>
      <c r="Y62" s="37" t="n"/>
      <c r="Z62" s="37" t="n"/>
      <c r="AA62" s="35" t="n">
        <v>324</v>
      </c>
      <c r="AB62" s="35" t="n">
        <v>324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217.2</v>
      </c>
      <c r="P69" s="43" t="n">
        <v>249.19</v>
      </c>
      <c r="Q69" s="43" t="n">
        <v>235.18</v>
      </c>
      <c r="R69" s="43" t="n">
        <v>277.2</v>
      </c>
      <c r="S69" s="43" t="n">
        <v>244</v>
      </c>
      <c r="T69" s="43" t="n">
        <v>290.2</v>
      </c>
      <c r="U69" s="43" t="n">
        <v>1039.8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2552.77</v>
      </c>
      <c r="AB69" s="42" t="n">
        <v>3627.77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132595</v>
      </c>
      <c r="O70" s="54" t="n">
        <v>843.6700000000026</v>
      </c>
      <c r="P70" s="54" t="n">
        <v>2667.420000000004</v>
      </c>
      <c r="Q70" s="54" t="n">
        <v>13204.72999999999</v>
      </c>
      <c r="R70" s="54" t="n">
        <v>13979.06</v>
      </c>
      <c r="S70" s="54" t="n">
        <v>11515.78</v>
      </c>
      <c r="T70" s="54" t="n">
        <v>13022.68</v>
      </c>
      <c r="U70" s="54" t="n">
        <v>22962.28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78195.62</v>
      </c>
      <c r="AB70" s="54" t="n">
        <v>161467.12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50" t="n">
        <v>0.0624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>
        <v>70.2</v>
      </c>
      <c r="P60" s="36" t="n">
        <v>8.59</v>
      </c>
      <c r="Q60" s="36" t="n">
        <v>27.2</v>
      </c>
      <c r="R60" s="36" t="n">
        <v>630.5</v>
      </c>
      <c r="S60" s="36" t="n">
        <v>13.2</v>
      </c>
      <c r="T60" s="36" t="n">
        <v>13.2</v>
      </c>
      <c r="U60" s="36" t="n">
        <v>13.2</v>
      </c>
      <c r="V60" s="37" t="n"/>
      <c r="W60" s="37" t="n"/>
      <c r="X60" s="37" t="n"/>
      <c r="Y60" s="37" t="n"/>
      <c r="Z60" s="37" t="n"/>
      <c r="AA60" s="35" t="n">
        <v>776.09</v>
      </c>
      <c r="AB60" s="35" t="n">
        <v>776.09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255</v>
      </c>
      <c r="P66" s="36" t="n">
        <v>254</v>
      </c>
      <c r="Q66" s="36" t="n">
        <v>252</v>
      </c>
      <c r="R66" s="36" t="n">
        <v>251</v>
      </c>
      <c r="S66" s="36" t="n">
        <v>249</v>
      </c>
      <c r="T66" s="36" t="n">
        <v>248</v>
      </c>
      <c r="U66" s="36" t="n">
        <v>246</v>
      </c>
      <c r="V66" s="37" t="n"/>
      <c r="W66" s="37" t="n"/>
      <c r="X66" s="37" t="n"/>
      <c r="Y66" s="37" t="n"/>
      <c r="Z66" s="37" t="n"/>
      <c r="AA66" s="35" t="n">
        <v>1755</v>
      </c>
      <c r="AB66" s="35" t="n">
        <v>1755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540</v>
      </c>
      <c r="P69" s="43" t="n">
        <v>477.39</v>
      </c>
      <c r="Q69" s="43" t="n">
        <v>494</v>
      </c>
      <c r="R69" s="43" t="n">
        <v>1096.3</v>
      </c>
      <c r="S69" s="43" t="n">
        <v>477</v>
      </c>
      <c r="T69" s="43" t="n">
        <v>476</v>
      </c>
      <c r="U69" s="43" t="n">
        <v>474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4034.69</v>
      </c>
      <c r="AB69" s="42" t="n">
        <v>5109.69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3575.060000000001</v>
      </c>
      <c r="P70" s="54" t="n">
        <v>3927.090000000007</v>
      </c>
      <c r="Q70" s="54" t="n">
        <v>13207.82</v>
      </c>
      <c r="R70" s="54" t="n">
        <v>1741.299999999999</v>
      </c>
      <c r="S70" s="54" t="n">
        <v>3591.530000000002</v>
      </c>
      <c r="T70" s="54" t="n">
        <v>823.8199999999997</v>
      </c>
      <c r="U70" s="54" t="n">
        <v>2658.330000000002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29524.95000000002</v>
      </c>
      <c r="AB70" s="54" t="n">
        <v>3970.450000000014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>
        <v>7.199999999999999</v>
      </c>
      <c r="P60" s="36" t="n">
        <v>6.600000000000001</v>
      </c>
      <c r="Q60" s="36" t="n">
        <v>7.8</v>
      </c>
      <c r="R60" s="36" t="n">
        <v>6</v>
      </c>
      <c r="S60" s="36" t="n">
        <v>7.199999999999999</v>
      </c>
      <c r="T60" s="36" t="n">
        <v>8.399999999999999</v>
      </c>
      <c r="U60" s="36" t="n">
        <v>7.199999999999999</v>
      </c>
      <c r="V60" s="37" t="n"/>
      <c r="W60" s="37" t="n"/>
      <c r="X60" s="37" t="n"/>
      <c r="Y60" s="37" t="n"/>
      <c r="Z60" s="37" t="n"/>
      <c r="AA60" s="35" t="n">
        <v>50.4</v>
      </c>
      <c r="AB60" s="35" t="n">
        <v>50.4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>
        <v>556</v>
      </c>
      <c r="P62" s="36" t="n">
        <v>566</v>
      </c>
      <c r="Q62" s="36" t="n">
        <v>60</v>
      </c>
      <c r="R62" s="36" t="n">
        <v>164</v>
      </c>
      <c r="S62" s="36" t="n">
        <v>195</v>
      </c>
      <c r="T62" s="36" t="n">
        <v>135</v>
      </c>
      <c r="U62" s="36" t="n">
        <v>337</v>
      </c>
      <c r="V62" s="37" t="n"/>
      <c r="W62" s="37" t="n"/>
      <c r="X62" s="37" t="n"/>
      <c r="Y62" s="37" t="n"/>
      <c r="Z62" s="37" t="n"/>
      <c r="AA62" s="35" t="n">
        <v>2013</v>
      </c>
      <c r="AB62" s="35" t="n">
        <v>2013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778</v>
      </c>
      <c r="P69" s="43" t="n">
        <v>787.4</v>
      </c>
      <c r="Q69" s="43" t="n">
        <v>282.6</v>
      </c>
      <c r="R69" s="43" t="n">
        <v>384.8</v>
      </c>
      <c r="S69" s="43" t="n">
        <v>417</v>
      </c>
      <c r="T69" s="43" t="n">
        <v>358.2</v>
      </c>
      <c r="U69" s="43" t="n">
        <v>559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3567</v>
      </c>
      <c r="AB69" s="42" t="n">
        <v>4642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51867.28</v>
      </c>
      <c r="P70" s="54" t="n">
        <v>38028.28</v>
      </c>
      <c r="Q70" s="54" t="n">
        <v>50917.76000000001</v>
      </c>
      <c r="R70" s="54" t="n">
        <v>47387.42999999998</v>
      </c>
      <c r="S70" s="54" t="n">
        <v>34505.20000000002</v>
      </c>
      <c r="T70" s="54" t="n">
        <v>40191.86</v>
      </c>
      <c r="U70" s="54" t="n">
        <v>55722.37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318620.18</v>
      </c>
      <c r="AB70" s="54" t="n">
        <v>449787.83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A71" s="59" t="n">
        <v>0</v>
      </c>
      <c r="AB71" s="55" t="n">
        <v>0</v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35677.81999999999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>
        <v>45</v>
      </c>
      <c r="P60" s="36" t="n">
        <v>0</v>
      </c>
      <c r="Q60" s="36" t="n">
        <v>3</v>
      </c>
      <c r="R60" s="36" t="n">
        <v>50.4</v>
      </c>
      <c r="S60" s="36" t="n">
        <v>2.4</v>
      </c>
      <c r="T60" s="36" t="n">
        <v>-12.43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90.77000000000001</v>
      </c>
      <c r="AB60" s="35" t="n">
        <v>90.77000000000001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35</v>
      </c>
      <c r="V62" s="37" t="n"/>
      <c r="W62" s="37" t="n"/>
      <c r="X62" s="37" t="n"/>
      <c r="Y62" s="37" t="n"/>
      <c r="Z62" s="37" t="n"/>
      <c r="AA62" s="35" t="n">
        <v>35</v>
      </c>
      <c r="AB62" s="35" t="n">
        <v>35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259.8</v>
      </c>
      <c r="P69" s="43" t="n">
        <v>214.8</v>
      </c>
      <c r="Q69" s="43" t="n">
        <v>217.8</v>
      </c>
      <c r="R69" s="43" t="n">
        <v>265.2</v>
      </c>
      <c r="S69" s="43" t="n">
        <v>217.2</v>
      </c>
      <c r="T69" s="43" t="n">
        <v>202.37</v>
      </c>
      <c r="U69" s="43" t="n">
        <v>252.2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1629.37</v>
      </c>
      <c r="AB69" s="42" t="n">
        <v>2704.37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31277.12999999999</v>
      </c>
      <c r="O70" s="54" t="n">
        <v>-1855.130000000002</v>
      </c>
      <c r="P70" s="54" t="n">
        <v>-2717.999999999997</v>
      </c>
      <c r="Q70" s="54" t="n">
        <v>-768.8699999999997</v>
      </c>
      <c r="R70" s="54" t="n">
        <v>-5142.979999999999</v>
      </c>
      <c r="S70" s="54" t="n">
        <v>-8888.419999999998</v>
      </c>
      <c r="T70" s="54" t="n">
        <v>-3515.62</v>
      </c>
      <c r="U70" s="55" t="n">
        <v>784.570000000004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-22104.44999999999</v>
      </c>
      <c r="AB70" s="54" t="n">
        <v>-16684.83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J93" s="63" t="n"/>
      <c r="AK93" s="63" t="n"/>
      <c r="AL93" s="63" t="n"/>
      <c r="AM93" s="63" t="n"/>
      <c r="AN93" s="63" t="n"/>
      <c r="AO93" s="63" t="n"/>
      <c r="AP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822585.03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0</v>
      </c>
      <c r="V58" s="37" t="n"/>
      <c r="W58" s="37" t="n"/>
      <c r="X58" s="37" t="n"/>
      <c r="Y58" s="37" t="n"/>
      <c r="Z58" s="37" t="n"/>
      <c r="AA58" s="35" t="n">
        <v>256.5</v>
      </c>
      <c r="AB58" s="35" t="n">
        <v>256.5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>
        <v>244.7</v>
      </c>
      <c r="P59" s="36" t="n">
        <v>244.7</v>
      </c>
      <c r="Q59" s="36" t="n">
        <v>244.7</v>
      </c>
      <c r="R59" s="36" t="n">
        <v>244.7</v>
      </c>
      <c r="S59" s="36" t="n">
        <v>244.7</v>
      </c>
      <c r="T59" s="36" t="n">
        <v>244.7</v>
      </c>
      <c r="U59" s="36" t="n">
        <v>244.7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1712.9</v>
      </c>
      <c r="AB59" s="35" t="n">
        <v>2787.9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>
        <v>151.8</v>
      </c>
      <c r="P60" s="36" t="n">
        <v>8.790000000000001</v>
      </c>
      <c r="Q60" s="36" t="n">
        <v>43.65</v>
      </c>
      <c r="R60" s="36" t="n">
        <v>175.8</v>
      </c>
      <c r="S60" s="36" t="n">
        <v>1.8</v>
      </c>
      <c r="T60" s="36" t="n">
        <v>59.3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443.54</v>
      </c>
      <c r="AB60" s="35" t="n">
        <v>443.54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58.25</v>
      </c>
      <c r="P64" s="36" t="n">
        <v>58.25</v>
      </c>
      <c r="Q64" s="36" t="n">
        <v>58.25</v>
      </c>
      <c r="R64" s="36" t="n">
        <v>58.25</v>
      </c>
      <c r="S64" s="36" t="n">
        <v>58.25</v>
      </c>
      <c r="T64" s="36" t="n">
        <v>58.25</v>
      </c>
      <c r="U64" s="36" t="n">
        <v>0</v>
      </c>
      <c r="V64" s="37" t="n"/>
      <c r="W64" s="37" t="n"/>
      <c r="X64" s="37" t="n"/>
      <c r="Y64" s="37" t="n"/>
      <c r="Z64" s="37" t="n"/>
      <c r="AA64" s="35" t="n">
        <v>349.5</v>
      </c>
      <c r="AB64" s="35" t="n">
        <v>349.5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1200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1200</v>
      </c>
      <c r="AB65" s="35" t="n">
        <v>1200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>
        <v>9.99</v>
      </c>
      <c r="P67" s="36" t="n">
        <v>9.99</v>
      </c>
      <c r="Q67" s="36" t="n">
        <v>9.99</v>
      </c>
      <c r="R67" s="36" t="n">
        <v>9.99</v>
      </c>
      <c r="S67" s="36" t="n">
        <v>9.99</v>
      </c>
      <c r="T67" s="36" t="n">
        <v>19.98</v>
      </c>
      <c r="U67" s="36" t="n">
        <v>0</v>
      </c>
      <c r="V67" s="37" t="n"/>
      <c r="W67" s="37" t="n"/>
      <c r="X67" s="37" t="n"/>
      <c r="Y67" s="37" t="n"/>
      <c r="Z67" s="37" t="n"/>
      <c r="AA67" s="35" t="n">
        <v>69.93000000000001</v>
      </c>
      <c r="AB67" s="35" t="n">
        <v>69.93000000000001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</v>
      </c>
      <c r="O69" s="43" t="n">
        <v>507.49</v>
      </c>
      <c r="P69" s="43" t="n">
        <v>364.48</v>
      </c>
      <c r="Q69" s="43" t="n">
        <v>1599.34</v>
      </c>
      <c r="R69" s="43" t="n">
        <v>531.49</v>
      </c>
      <c r="S69" s="43" t="n">
        <v>357.49</v>
      </c>
      <c r="T69" s="43" t="n">
        <v>424.98</v>
      </c>
      <c r="U69" s="43" t="n">
        <v>247.1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4032.37</v>
      </c>
      <c r="AB69" s="42" t="n">
        <v>5107.37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257628.99</v>
      </c>
      <c r="O70" s="54" t="n">
        <v>17202.18</v>
      </c>
      <c r="P70" s="54" t="n">
        <v>38585.12</v>
      </c>
      <c r="Q70" s="54" t="n">
        <v>34988.98</v>
      </c>
      <c r="R70" s="54" t="n">
        <v>37137.91000000001</v>
      </c>
      <c r="S70" s="54" t="n">
        <v>30100.40000000001</v>
      </c>
      <c r="T70" s="54" t="n">
        <v>33046.95</v>
      </c>
      <c r="U70" s="55" t="n">
        <v>44991.89000000001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236053.4300000001</v>
      </c>
      <c r="AB70" s="54" t="n">
        <v>345408.9300000001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A78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A79" t="n">
        <v>0</v>
      </c>
      <c r="AB79" t="n">
        <v>0</v>
      </c>
    </row>
    <row r="80">
      <c r="AA80" t="n">
        <v>0</v>
      </c>
      <c r="AB80" t="n">
        <v>0</v>
      </c>
    </row>
    <row r="81">
      <c r="A81" s="59" t="inlineStr">
        <is>
          <t>Memo</t>
        </is>
      </c>
      <c r="AA81" t="n">
        <v>0</v>
      </c>
      <c r="AB81" t="n">
        <v>0</v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79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</v>
      </c>
      <c r="Q38" s="36" t="n">
        <v>662.26</v>
      </c>
      <c r="R38" s="36" t="n">
        <v>865.9299999999999</v>
      </c>
      <c r="S38" s="36" t="n">
        <v>733.6799999999999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42930.08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>
        <v>79.8</v>
      </c>
      <c r="P60" s="36" t="n">
        <v>15.98</v>
      </c>
      <c r="Q60" s="36" t="n">
        <v>9.59</v>
      </c>
      <c r="R60" s="36" t="n">
        <v>-124.6</v>
      </c>
      <c r="S60" s="36" t="n">
        <v>2.4</v>
      </c>
      <c r="T60" s="36" t="n">
        <v>-20.26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-34.69</v>
      </c>
      <c r="AB60" s="35" t="n">
        <v>-34.69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220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294.6</v>
      </c>
      <c r="P69" s="43" t="n">
        <v>230.78</v>
      </c>
      <c r="Q69" s="43" t="n">
        <v>444.39</v>
      </c>
      <c r="R69" s="43" t="n">
        <v>90.20000000000002</v>
      </c>
      <c r="S69" s="43" t="n">
        <v>217.2</v>
      </c>
      <c r="T69" s="43" t="n">
        <v>319.14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1813.51</v>
      </c>
      <c r="AB69" s="42" t="n">
        <v>2888.51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164055.69</v>
      </c>
      <c r="O70" s="54" t="n">
        <v>397.970000000007</v>
      </c>
      <c r="P70" s="54" t="n">
        <v>19974.57</v>
      </c>
      <c r="Q70" s="54" t="n">
        <v>23334.38999999999</v>
      </c>
      <c r="R70" s="54" t="n">
        <v>21539.00999999999</v>
      </c>
      <c r="S70" s="54" t="n">
        <v>13831.96</v>
      </c>
      <c r="T70" s="54" t="n">
        <v>11909.56</v>
      </c>
      <c r="U70" s="55" t="n">
        <v>27556.5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118543.96</v>
      </c>
      <c r="AB70" s="54" t="n">
        <v>138983.1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>
        <v>6.6</v>
      </c>
      <c r="P60" s="36" t="n">
        <v>7.199999999999999</v>
      </c>
      <c r="Q60" s="36" t="n">
        <v>42.96</v>
      </c>
      <c r="R60" s="36" t="n">
        <v>4.8</v>
      </c>
      <c r="S60" s="36" t="n">
        <v>5.399999999999999</v>
      </c>
      <c r="T60" s="36" t="n">
        <v>6.6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78.95999999999999</v>
      </c>
      <c r="AB60" s="35" t="n">
        <v>78.95999999999999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>
        <v>65</v>
      </c>
      <c r="P62" s="36" t="n">
        <v>25</v>
      </c>
      <c r="Q62" s="36" t="n">
        <v>0</v>
      </c>
      <c r="R62" s="36" t="n">
        <v>62.34</v>
      </c>
      <c r="S62" s="36" t="n">
        <v>0</v>
      </c>
      <c r="T62" s="36" t="n">
        <v>0</v>
      </c>
      <c r="U62" s="36" t="n">
        <v>20.66</v>
      </c>
      <c r="V62" s="37" t="n"/>
      <c r="W62" s="37" t="n"/>
      <c r="X62" s="37" t="n"/>
      <c r="Y62" s="37" t="n"/>
      <c r="Z62" s="37" t="n"/>
      <c r="AA62" s="35" t="n">
        <v>173</v>
      </c>
      <c r="AB62" s="35" t="n">
        <v>173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220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286.4</v>
      </c>
      <c r="P69" s="43" t="n">
        <v>247</v>
      </c>
      <c r="Q69" s="43" t="n">
        <v>257.76</v>
      </c>
      <c r="R69" s="43" t="n">
        <v>281.94</v>
      </c>
      <c r="S69" s="43" t="n">
        <v>440.2</v>
      </c>
      <c r="T69" s="43" t="n">
        <v>221.4</v>
      </c>
      <c r="U69" s="43" t="n">
        <v>240.86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1975.56</v>
      </c>
      <c r="AB69" s="42" t="n">
        <v>3050.56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24612.42</v>
      </c>
      <c r="P70" s="54" t="n">
        <v>20049.3</v>
      </c>
      <c r="Q70" s="54" t="n">
        <v>37130.77999999999</v>
      </c>
      <c r="R70" s="54" t="n">
        <v>26418.21999999998</v>
      </c>
      <c r="S70" s="54" t="n">
        <v>20133.75999999999</v>
      </c>
      <c r="T70" s="54" t="n">
        <v>40250.37</v>
      </c>
      <c r="U70" s="54" t="n">
        <v>38703.16000000002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207298.01</v>
      </c>
      <c r="AB70" s="54" t="n">
        <v>273293.82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>
        <v>61.8</v>
      </c>
      <c r="P60" s="36" t="n">
        <v>1.2</v>
      </c>
      <c r="Q60" s="36" t="n">
        <v>1.2</v>
      </c>
      <c r="R60" s="36" t="n">
        <v>380.88</v>
      </c>
      <c r="S60" s="36" t="n">
        <v>14.4</v>
      </c>
      <c r="T60" s="36" t="n">
        <v>14.4</v>
      </c>
      <c r="U60" s="36" t="n">
        <v>14.4</v>
      </c>
      <c r="V60" s="37" t="n"/>
      <c r="W60" s="37" t="n"/>
      <c r="X60" s="37" t="n"/>
      <c r="Y60" s="37" t="n"/>
      <c r="Z60" s="37" t="n"/>
      <c r="AA60" s="35" t="n">
        <v>488.28</v>
      </c>
      <c r="AB60" s="35" t="n">
        <v>488.28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178</v>
      </c>
      <c r="P66" s="36" t="n">
        <v>176</v>
      </c>
      <c r="Q66" s="36" t="n">
        <v>175</v>
      </c>
      <c r="R66" s="36" t="n">
        <v>173</v>
      </c>
      <c r="S66" s="36" t="n">
        <v>172</v>
      </c>
      <c r="T66" s="36" t="n">
        <v>170</v>
      </c>
      <c r="U66" s="36" t="n">
        <v>169</v>
      </c>
      <c r="V66" s="37" t="n"/>
      <c r="W66" s="37" t="n"/>
      <c r="X66" s="37" t="n"/>
      <c r="Y66" s="37" t="n"/>
      <c r="Z66" s="37" t="n"/>
      <c r="AA66" s="35" t="n">
        <v>1213</v>
      </c>
      <c r="AB66" s="35" t="n">
        <v>1213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454.6</v>
      </c>
      <c r="P69" s="43" t="n">
        <v>392</v>
      </c>
      <c r="Q69" s="43" t="n">
        <v>391</v>
      </c>
      <c r="R69" s="43" t="n">
        <v>768.6800000000001</v>
      </c>
      <c r="S69" s="43" t="n">
        <v>401.2</v>
      </c>
      <c r="T69" s="43" t="n">
        <v>399.2</v>
      </c>
      <c r="U69" s="43" t="n">
        <v>398.2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3204.88</v>
      </c>
      <c r="AB69" s="42" t="n">
        <v>4279.88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2831.15</v>
      </c>
      <c r="P70" s="54" t="n">
        <v>5822.190000000002</v>
      </c>
      <c r="Q70" s="54" t="n">
        <v>5663.730000000003</v>
      </c>
      <c r="R70" s="54" t="n">
        <v>12371.96</v>
      </c>
      <c r="S70" s="54" t="n">
        <v>12995.6</v>
      </c>
      <c r="T70" s="54" t="n">
        <v>10813.93999999999</v>
      </c>
      <c r="U70" s="54" t="n">
        <v>16165.92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66664.49000000001</v>
      </c>
      <c r="AB70" s="54" t="n">
        <v>105289.1083333334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6575.920000000004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45</v>
      </c>
      <c r="V58" s="37" t="n"/>
      <c r="W58" s="37" t="n"/>
      <c r="X58" s="37" t="n"/>
      <c r="Y58" s="37" t="n"/>
      <c r="Z58" s="37" t="n"/>
      <c r="AA58" s="35" t="n">
        <v>301.5</v>
      </c>
      <c r="AB58" s="35" t="n">
        <v>301.5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29.4</v>
      </c>
      <c r="P60" s="36" t="n">
        <v>2.4</v>
      </c>
      <c r="Q60" s="36" t="n">
        <v>1.8</v>
      </c>
      <c r="R60" s="36" t="n">
        <v>30</v>
      </c>
      <c r="S60" s="36" t="n">
        <v>3</v>
      </c>
      <c r="T60" s="36" t="n">
        <v>1.8</v>
      </c>
      <c r="U60" s="36" t="n">
        <v>3.6</v>
      </c>
      <c r="V60" s="37" t="n"/>
      <c r="W60" s="37" t="n"/>
      <c r="X60" s="37" t="n"/>
      <c r="Y60" s="37" t="n"/>
      <c r="Z60" s="37" t="n"/>
      <c r="AA60" s="35" t="n">
        <v>72</v>
      </c>
      <c r="AB60" s="35" t="n">
        <v>72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190</v>
      </c>
      <c r="P66" s="36" t="n">
        <v>187</v>
      </c>
      <c r="Q66" s="36" t="n">
        <v>183</v>
      </c>
      <c r="R66" s="36" t="n">
        <v>179</v>
      </c>
      <c r="S66" s="36" t="n">
        <v>175</v>
      </c>
      <c r="T66" s="36" t="n">
        <v>171</v>
      </c>
      <c r="U66" s="36" t="n">
        <v>167</v>
      </c>
      <c r="V66" s="37" t="n"/>
      <c r="W66" s="37" t="n"/>
      <c r="X66" s="37" t="n"/>
      <c r="Y66" s="37" t="n"/>
      <c r="Z66" s="37" t="n"/>
      <c r="AA66" s="35" t="n">
        <v>1252</v>
      </c>
      <c r="AB66" s="35" t="n">
        <v>1252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476.95</v>
      </c>
      <c r="P69" s="43" t="n">
        <v>446.95</v>
      </c>
      <c r="Q69" s="43" t="n">
        <v>442.35</v>
      </c>
      <c r="R69" s="43" t="n">
        <v>466.55</v>
      </c>
      <c r="S69" s="43" t="n">
        <v>435.55</v>
      </c>
      <c r="T69" s="43" t="n">
        <v>430.35</v>
      </c>
      <c r="U69" s="43" t="n">
        <v>430.4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3129.1</v>
      </c>
      <c r="AB69" s="42" t="n">
        <v>4204.1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2418.700000000003</v>
      </c>
      <c r="O70" s="54" t="n">
        <v>-7569.639999999997</v>
      </c>
      <c r="P70" s="54" t="n">
        <v>-7156.48</v>
      </c>
      <c r="Q70" s="54" t="n">
        <v>-27111.45</v>
      </c>
      <c r="R70" s="54" t="n">
        <v>-10066.73</v>
      </c>
      <c r="S70" s="54" t="n">
        <v>-9105.749999999996</v>
      </c>
      <c r="T70" s="54" t="n">
        <v>-4977.610000000002</v>
      </c>
      <c r="U70" s="54" t="n">
        <v>-6575.679999999998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-72563.34</v>
      </c>
      <c r="AB70" s="54" t="n">
        <v>-116121.24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>
        <v>0</v>
      </c>
      <c r="P10" s="36" t="n">
        <v>0</v>
      </c>
      <c r="Q10" s="36" t="n">
        <v>0</v>
      </c>
      <c r="R10" s="36" t="n">
        <v>172.14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172.14</v>
      </c>
      <c r="AB10" s="35" t="n">
        <v>172.14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172.14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172.14</v>
      </c>
      <c r="AB11" s="42" t="n">
        <v>172.14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387.07</v>
      </c>
      <c r="U19" s="36" t="n">
        <v>0</v>
      </c>
      <c r="V19" s="37" t="n"/>
      <c r="W19" s="37" t="n"/>
      <c r="X19" s="37" t="n"/>
      <c r="Y19" s="37" t="n"/>
      <c r="Z19" s="37" t="n"/>
      <c r="AA19" s="35" t="n">
        <v>387.07</v>
      </c>
      <c r="AB19" s="35" t="n">
        <v>387.07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>
        <v>493.2</v>
      </c>
      <c r="P20" s="36" t="n">
        <v>2522.46</v>
      </c>
      <c r="Q20" s="36" t="n">
        <v>2024.48</v>
      </c>
      <c r="R20" s="36" t="n">
        <v>4208.4</v>
      </c>
      <c r="S20" s="36" t="n">
        <v>596</v>
      </c>
      <c r="T20" s="36" t="n">
        <v>1334</v>
      </c>
      <c r="U20" s="36" t="n">
        <v>1782</v>
      </c>
      <c r="V20" s="37" t="n"/>
      <c r="W20" s="37" t="n"/>
      <c r="X20" s="37" t="n"/>
      <c r="Y20" s="37" t="n"/>
      <c r="Z20" s="37" t="n"/>
      <c r="AA20" s="35" t="n">
        <v>12960.54</v>
      </c>
      <c r="AB20" s="35" t="n">
        <v>12960.54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>
        <v>265.89</v>
      </c>
      <c r="P21" s="36" t="n">
        <v>485.88</v>
      </c>
      <c r="Q21" s="36" t="n">
        <v>738.96</v>
      </c>
      <c r="R21" s="36" t="n">
        <v>565.87</v>
      </c>
      <c r="S21" s="36" t="n">
        <v>319.87</v>
      </c>
      <c r="T21" s="36" t="n">
        <v>617.22</v>
      </c>
      <c r="U21" s="36" t="n">
        <v>207.09</v>
      </c>
      <c r="V21" s="37" t="n"/>
      <c r="W21" s="37" t="n"/>
      <c r="X21" s="37" t="n"/>
      <c r="Y21" s="37" t="n"/>
      <c r="Z21" s="37" t="n"/>
      <c r="AA21" s="35" t="n">
        <v>3200.78</v>
      </c>
      <c r="AB21" s="35" t="n">
        <v>3200.78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>
        <v>1338.5</v>
      </c>
      <c r="P22" s="36" t="n">
        <v>80.67</v>
      </c>
      <c r="Q22" s="36" t="n">
        <v>33.64</v>
      </c>
      <c r="R22" s="36" t="n">
        <v>321.2</v>
      </c>
      <c r="S22" s="36" t="n">
        <v>139.75</v>
      </c>
      <c r="T22" s="36" t="n">
        <v>52.01</v>
      </c>
      <c r="U22" s="36" t="n">
        <v>0</v>
      </c>
      <c r="V22" s="37" t="n"/>
      <c r="W22" s="37" t="n"/>
      <c r="X22" s="37" t="n"/>
      <c r="Y22" s="37" t="n"/>
      <c r="Z22" s="37" t="n"/>
      <c r="AA22" s="35" t="n">
        <v>1965.77</v>
      </c>
      <c r="AB22" s="35" t="n">
        <v>1965.77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>
        <v>450</v>
      </c>
      <c r="P23" s="36" t="n">
        <v>450</v>
      </c>
      <c r="Q23" s="36" t="n">
        <v>130</v>
      </c>
      <c r="R23" s="36" t="n">
        <v>200</v>
      </c>
      <c r="S23" s="36" t="n">
        <v>780</v>
      </c>
      <c r="T23" s="36" t="n">
        <v>340</v>
      </c>
      <c r="U23" s="36" t="n">
        <v>450</v>
      </c>
      <c r="V23" s="37" t="n"/>
      <c r="W23" s="37" t="n"/>
      <c r="X23" s="37" t="n"/>
      <c r="Y23" s="37" t="n"/>
      <c r="Z23" s="37" t="n"/>
      <c r="AA23" s="35" t="n">
        <v>2800</v>
      </c>
      <c r="AB23" s="35" t="n">
        <v>2800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2547.59</v>
      </c>
      <c r="P25" s="43" t="n">
        <v>3539.01</v>
      </c>
      <c r="Q25" s="43" t="n">
        <v>2927.08</v>
      </c>
      <c r="R25" s="43" t="n">
        <v>5295.469999999999</v>
      </c>
      <c r="S25" s="43" t="n">
        <v>1835.62</v>
      </c>
      <c r="T25" s="43" t="n">
        <v>2730.3</v>
      </c>
      <c r="U25" s="43" t="n">
        <v>2439.09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21314.16</v>
      </c>
      <c r="AB25" s="42" t="n">
        <v>21314.16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360</v>
      </c>
      <c r="U28" s="36" t="n">
        <v>-4779.11</v>
      </c>
      <c r="V28" s="37" t="n"/>
      <c r="W28" s="37" t="n"/>
      <c r="X28" s="37" t="n"/>
      <c r="Y28" s="37" t="n"/>
      <c r="Z28" s="37" t="n"/>
      <c r="AA28" s="35" t="n">
        <v>-4419.11</v>
      </c>
      <c r="AB28" s="35" t="n">
        <v>-4419.11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>
        <v>44.4</v>
      </c>
      <c r="P30" s="36" t="n">
        <v>110.32</v>
      </c>
      <c r="Q30" s="36" t="n">
        <v>39.33</v>
      </c>
      <c r="R30" s="36" t="n">
        <v>470.57</v>
      </c>
      <c r="S30" s="36" t="n">
        <v>27.42</v>
      </c>
      <c r="T30" s="36" t="n">
        <v>261.1</v>
      </c>
      <c r="U30" s="36" t="n">
        <v>15.18</v>
      </c>
      <c r="V30" s="37" t="n"/>
      <c r="W30" s="37" t="n"/>
      <c r="X30" s="37" t="n"/>
      <c r="Y30" s="37" t="n"/>
      <c r="Z30" s="37" t="n"/>
      <c r="AA30" s="35" t="n">
        <v>968.3200000000001</v>
      </c>
      <c r="AB30" s="35" t="n">
        <v>968.3200000000001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44.4</v>
      </c>
      <c r="P34" s="43" t="n">
        <v>110.32</v>
      </c>
      <c r="Q34" s="43" t="n">
        <v>39.33</v>
      </c>
      <c r="R34" s="43" t="n">
        <v>470.57</v>
      </c>
      <c r="S34" s="43" t="n">
        <v>27.42</v>
      </c>
      <c r="T34" s="43" t="n">
        <v>621.1</v>
      </c>
      <c r="U34" s="43" t="n">
        <v>-4763.929999999999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-3450.79</v>
      </c>
      <c r="AB34" s="42" t="n">
        <v>-3450.79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>
        <v>0</v>
      </c>
      <c r="P38" s="36" t="n">
        <v>546.61</v>
      </c>
      <c r="Q38" s="36" t="n">
        <v>128.64</v>
      </c>
      <c r="R38" s="36" t="n">
        <v>261.15</v>
      </c>
      <c r="S38" s="36" t="n">
        <v>176.45</v>
      </c>
      <c r="T38" s="36" t="n">
        <v>0</v>
      </c>
      <c r="U38" s="36" t="n">
        <v>234.2399999999999</v>
      </c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1347.09</v>
      </c>
      <c r="AB38" s="35" t="n">
        <v>2347.09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>
        <v>1988.86</v>
      </c>
      <c r="P39" s="36" t="n">
        <v>894.7099999999999</v>
      </c>
      <c r="Q39" s="36" t="n">
        <v>-519.6300000000001</v>
      </c>
      <c r="R39" s="36" t="n">
        <v>938.48</v>
      </c>
      <c r="S39" s="36" t="n">
        <v>3752.310000000001</v>
      </c>
      <c r="T39" s="36" t="n">
        <v>3402.76</v>
      </c>
      <c r="U39" s="36" t="n">
        <v>1658.59</v>
      </c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12116.08</v>
      </c>
      <c r="AB39" s="35" t="n">
        <v>29616.08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>
        <v>118.88</v>
      </c>
      <c r="P41" s="36" t="n">
        <v>118.37</v>
      </c>
      <c r="Q41" s="36" t="n">
        <v>361.96</v>
      </c>
      <c r="R41" s="36" t="n">
        <v>238.78</v>
      </c>
      <c r="S41" s="36" t="n">
        <v>252.04</v>
      </c>
      <c r="T41" s="36" t="n">
        <v>294.94</v>
      </c>
      <c r="U41" s="36" t="n">
        <v>638.2</v>
      </c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2023.17</v>
      </c>
      <c r="AB41" s="35" t="n">
        <v>3223.17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>
        <v>4262.16</v>
      </c>
      <c r="P42" s="36" t="n">
        <v>2309.75</v>
      </c>
      <c r="Q42" s="36" t="n">
        <v>3540.42</v>
      </c>
      <c r="R42" s="36" t="n">
        <v>4491.27</v>
      </c>
      <c r="S42" s="36" t="n">
        <v>7338.630000000001</v>
      </c>
      <c r="T42" s="36" t="n">
        <v>4444.89</v>
      </c>
      <c r="U42" s="36" t="n">
        <v>9123.990000000002</v>
      </c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35511.11</v>
      </c>
      <c r="AB42" s="35" t="n">
        <v>36511.11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-1000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-1000</v>
      </c>
      <c r="AB44" s="35" t="n">
        <v>-1000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>
        <v>1602.52</v>
      </c>
      <c r="P45" s="36" t="n">
        <v>2509.44</v>
      </c>
      <c r="Q45" s="36" t="n">
        <v>2832.78</v>
      </c>
      <c r="R45" s="36" t="n">
        <v>2530.82</v>
      </c>
      <c r="S45" s="36" t="n">
        <v>2190.35</v>
      </c>
      <c r="T45" s="36" t="n">
        <v>8570.280000000001</v>
      </c>
      <c r="U45" s="36" t="n">
        <v>2452.03</v>
      </c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22688.22</v>
      </c>
      <c r="AB45" s="35" t="n">
        <v>35188.22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98.28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146.25</v>
      </c>
      <c r="AB46" s="35" t="n">
        <v>146.25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8840</v>
      </c>
      <c r="P47" s="43" t="n">
        <v>7160.17</v>
      </c>
      <c r="Q47" s="43" t="n">
        <v>6113.46</v>
      </c>
      <c r="R47" s="43" t="n">
        <v>9197.17</v>
      </c>
      <c r="S47" s="43" t="n">
        <v>14482.43</v>
      </c>
      <c r="T47" s="43" t="n">
        <v>17449.54</v>
      </c>
      <c r="U47" s="43" t="n">
        <v>14843.72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78086.49000000001</v>
      </c>
      <c r="AB47" s="51" t="n">
        <v>137469.84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11431.99</v>
      </c>
      <c r="P48" s="24" t="n">
        <v>10809.5</v>
      </c>
      <c r="Q48" s="24" t="n">
        <v>9079.870000000001</v>
      </c>
      <c r="R48" s="24" t="n">
        <v>14963.21</v>
      </c>
      <c r="S48" s="24" t="n">
        <v>16345.47</v>
      </c>
      <c r="T48" s="24" t="n">
        <v>20800.94</v>
      </c>
      <c r="U48" s="24" t="n">
        <v>12518.88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95949.86</v>
      </c>
      <c r="AB48" s="35" t="n">
        <v>155333.21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-11431.99</v>
      </c>
      <c r="P50" s="54" t="n">
        <v>-10809.5</v>
      </c>
      <c r="Q50" s="54" t="n">
        <v>-9079.870000000001</v>
      </c>
      <c r="R50" s="54" t="n">
        <v>-14791.07</v>
      </c>
      <c r="S50" s="54" t="n">
        <v>-16345.47</v>
      </c>
      <c r="T50" s="54" t="n">
        <v>-20800.94</v>
      </c>
      <c r="U50" s="54" t="n">
        <v>-12518.88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-95777.72</v>
      </c>
      <c r="AB50" s="54" t="n">
        <v>-155161.07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>
        <v>398439</v>
      </c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>
        <v>51</v>
      </c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433818.62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-175570.14</v>
      </c>
      <c r="P70" s="54" t="n">
        <v>-149819.61</v>
      </c>
      <c r="Q70" s="54" t="n">
        <v>-183453.44</v>
      </c>
      <c r="R70" s="54" t="n">
        <v>-235005.19</v>
      </c>
      <c r="S70" s="54" t="n">
        <v>-169394.48</v>
      </c>
      <c r="T70" s="54" t="n">
        <v>-186256.48</v>
      </c>
      <c r="U70" s="54" t="n">
        <v>-188873.95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-444695.29</v>
      </c>
      <c r="AA70" s="54" t="n">
        <v>-1288373.29</v>
      </c>
      <c r="AB70" s="54" t="n">
        <v>-1994155.74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O75" s="59" t="inlineStr">
        <is>
          <t>Fee Uplift not yet in calcs - offer changing this is purely on FAMLY current data</t>
        </is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A81" s="59" t="n">
        <v>0</v>
      </c>
      <c r="AB81" t="n">
        <v>0</v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  <c r="AC86" s="58" t="n"/>
    </row>
    <row r="87">
      <c r="AA87" t="n">
        <v>0</v>
      </c>
      <c r="AB87" t="n">
        <v>0</v>
      </c>
      <c r="AE87" s="60" t="n"/>
      <c r="AF87" s="61" t="n"/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14.5</v>
      </c>
      <c r="U20" s="37" t="n">
        <v>0</v>
      </c>
      <c r="V20" s="37" t="n"/>
      <c r="W20" s="37" t="n"/>
      <c r="X20" s="37" t="n"/>
      <c r="Y20" s="37" t="n"/>
      <c r="Z20" s="37" t="n"/>
      <c r="AA20" s="35" t="n">
        <v>14.5</v>
      </c>
      <c r="AB20" s="35" t="n">
        <v>14.5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7.4</v>
      </c>
      <c r="P21" s="36" t="n">
        <v>188.09</v>
      </c>
      <c r="Q21" s="36" t="n">
        <v>0</v>
      </c>
      <c r="R21" s="36" t="n">
        <v>0</v>
      </c>
      <c r="S21" s="36" t="n">
        <v>0</v>
      </c>
      <c r="T21" s="36" t="n">
        <v>112.22</v>
      </c>
      <c r="U21" s="37" t="n">
        <v>0</v>
      </c>
      <c r="V21" s="37" t="n"/>
      <c r="W21" s="37" t="n"/>
      <c r="X21" s="37" t="n"/>
      <c r="Y21" s="37" t="n"/>
      <c r="Z21" s="37" t="n"/>
      <c r="AA21" s="35" t="n">
        <v>307.71</v>
      </c>
      <c r="AB21" s="35" t="n">
        <v>307.71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7.4</v>
      </c>
      <c r="P25" s="43" t="n">
        <v>188.09</v>
      </c>
      <c r="Q25" s="43" t="n">
        <v>0</v>
      </c>
      <c r="R25" s="43" t="n">
        <v>0</v>
      </c>
      <c r="S25" s="43" t="n">
        <v>0</v>
      </c>
      <c r="T25" s="43" t="n">
        <v>126.72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322.21</v>
      </c>
      <c r="AB25" s="42" t="n">
        <v>322.21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31.9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31.9</v>
      </c>
      <c r="AB31" s="35" t="n">
        <v>31.9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31.9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31.9</v>
      </c>
      <c r="AB34" s="42" t="n">
        <v>31.9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-2703.44</v>
      </c>
      <c r="AB38" s="35" t="n">
        <v>-2703.44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26.98</v>
      </c>
      <c r="Q39" s="36" t="n">
        <v>0</v>
      </c>
      <c r="R39" s="36" t="n">
        <v>102.67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129.65</v>
      </c>
      <c r="AB39" s="35" t="n">
        <v>129.65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4675.31</v>
      </c>
      <c r="P42" s="36" t="n">
        <v>311.08</v>
      </c>
      <c r="Q42" s="36" t="n">
        <v>265.36</v>
      </c>
      <c r="R42" s="36" t="n">
        <v>1698.31</v>
      </c>
      <c r="S42" s="36" t="n">
        <v>1697.58</v>
      </c>
      <c r="T42" s="36" t="n">
        <v>1542.19</v>
      </c>
      <c r="U42" s="37" t="n">
        <v>0</v>
      </c>
      <c r="V42" s="37" t="n"/>
      <c r="W42" s="37" t="n"/>
      <c r="X42" s="37" t="n"/>
      <c r="Y42" s="37" t="n"/>
      <c r="Z42" s="37" t="n"/>
      <c r="AA42" s="35" t="n">
        <v>10189.83</v>
      </c>
      <c r="AB42" s="35" t="n">
        <v>10189.83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-1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-1</v>
      </c>
      <c r="AB43" s="35" t="n">
        <v>-1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4674.31</v>
      </c>
      <c r="P47" s="43" t="n">
        <v>338.06</v>
      </c>
      <c r="Q47" s="43" t="n">
        <v>265.36</v>
      </c>
      <c r="R47" s="43" t="n">
        <v>1800.98</v>
      </c>
      <c r="S47" s="43" t="n">
        <v>1697.58</v>
      </c>
      <c r="T47" s="43" t="n">
        <v>1542.19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7615.040000000001</v>
      </c>
      <c r="AB47" s="51" t="n">
        <v>7615.040000000001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4681.71</v>
      </c>
      <c r="P48" s="24" t="n">
        <v>526.15</v>
      </c>
      <c r="Q48" s="24" t="n">
        <v>297.26</v>
      </c>
      <c r="R48" s="24" t="n">
        <v>1800.98</v>
      </c>
      <c r="S48" s="24" t="n">
        <v>1697.58</v>
      </c>
      <c r="T48" s="24" t="n">
        <v>1668.91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7969.150000000001</v>
      </c>
      <c r="AB48" s="35" t="n">
        <v>7969.150000000001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-4681.71</v>
      </c>
      <c r="P50" s="54" t="n">
        <v>-526.15</v>
      </c>
      <c r="Q50" s="54" t="n">
        <v>-297.26</v>
      </c>
      <c r="R50" s="54" t="n">
        <v>-1800.98</v>
      </c>
      <c r="S50" s="54" t="n">
        <v>-1697.58</v>
      </c>
      <c r="T50" s="54" t="n">
        <v>-1668.91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-7969.150000000001</v>
      </c>
      <c r="AB50" s="54" t="n">
        <v>-7969.150000000001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10744.8</v>
      </c>
      <c r="R58" s="36" t="n">
        <v>2425.2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13170</v>
      </c>
      <c r="AB58" s="35" t="n">
        <v>13170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7.2</v>
      </c>
      <c r="Q60" s="36" t="n">
        <v>0</v>
      </c>
      <c r="R60" s="36" t="n">
        <v>0</v>
      </c>
      <c r="S60" s="36" t="n">
        <v>54</v>
      </c>
      <c r="T60" s="36" t="n">
        <v>184.95</v>
      </c>
      <c r="U60" s="37" t="n">
        <v>0</v>
      </c>
      <c r="V60" s="37" t="n"/>
      <c r="W60" s="37" t="n"/>
      <c r="X60" s="37" t="n"/>
      <c r="Y60" s="37" t="n"/>
      <c r="Z60" s="37" t="n"/>
      <c r="AA60" s="35" t="n">
        <v>246.15</v>
      </c>
      <c r="AB60" s="35" t="n">
        <v>246.15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1716.7</v>
      </c>
      <c r="P64" s="36" t="n">
        <v>2373.35</v>
      </c>
      <c r="Q64" s="36" t="n">
        <v>2373.35</v>
      </c>
      <c r="R64" s="36" t="n">
        <v>2373.35</v>
      </c>
      <c r="S64" s="36" t="n">
        <v>2373.35</v>
      </c>
      <c r="T64" s="36" t="n">
        <v>2373.35</v>
      </c>
      <c r="U64" s="37" t="n">
        <v>0</v>
      </c>
      <c r="V64" s="37" t="n"/>
      <c r="W64" s="37" t="n"/>
      <c r="X64" s="37" t="n"/>
      <c r="Y64" s="37" t="n"/>
      <c r="Z64" s="37" t="n"/>
      <c r="AA64" s="35" t="n">
        <v>13583.45</v>
      </c>
      <c r="AB64" s="35" t="n">
        <v>13583.45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1181.82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2621.82</v>
      </c>
      <c r="AB65" s="35" t="n">
        <v>2621.82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219.8</v>
      </c>
      <c r="P67" s="36" t="n">
        <v>149.1</v>
      </c>
      <c r="Q67" s="36" t="n">
        <v>121.85</v>
      </c>
      <c r="R67" s="36" t="n">
        <v>233.6</v>
      </c>
      <c r="S67" s="36" t="n">
        <v>122.15</v>
      </c>
      <c r="T67" s="36" t="n">
        <v>323</v>
      </c>
      <c r="U67" s="37" t="n">
        <v>27.65</v>
      </c>
      <c r="V67" s="37" t="n"/>
      <c r="W67" s="37" t="n"/>
      <c r="X67" s="37" t="n"/>
      <c r="Y67" s="37" t="n"/>
      <c r="Z67" s="37" t="n"/>
      <c r="AA67" s="35" t="n">
        <v>1197.15</v>
      </c>
      <c r="AB67" s="35" t="n">
        <v>1197.15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3118.32</v>
      </c>
      <c r="P69" s="43" t="n">
        <v>2529.65</v>
      </c>
      <c r="Q69" s="43" t="n">
        <v>14680</v>
      </c>
      <c r="R69" s="43" t="n">
        <v>5032.15</v>
      </c>
      <c r="S69" s="43" t="n">
        <v>2549.5</v>
      </c>
      <c r="T69" s="43" t="n">
        <v>2881.3</v>
      </c>
      <c r="U69" s="44" t="n">
        <v>27.65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30818.57</v>
      </c>
      <c r="AB69" s="42" t="n">
        <v>30818.57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-7800.030000000001</v>
      </c>
      <c r="P70" s="54" t="n">
        <v>-3055.8</v>
      </c>
      <c r="Q70" s="54" t="n">
        <v>-14977.26</v>
      </c>
      <c r="R70" s="54" t="n">
        <v>-6833.129999999999</v>
      </c>
      <c r="S70" s="54" t="n">
        <v>-4247.08</v>
      </c>
      <c r="T70" s="54" t="n">
        <v>-4550.21</v>
      </c>
      <c r="U70" s="54" t="n">
        <v>2675.79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-38787.72</v>
      </c>
      <c r="AB70" s="54" t="n">
        <v>-38787.72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J88" s="63" t="n"/>
      <c r="AK88" s="63" t="n"/>
      <c r="AL88" s="63" t="n"/>
      <c r="AM88" s="63" t="n"/>
      <c r="AN88" s="63" t="n"/>
      <c r="AO88" s="63" t="n"/>
      <c r="AP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37.6</v>
      </c>
      <c r="P21" s="36" t="n">
        <v>0</v>
      </c>
      <c r="Q21" s="36" t="n">
        <v>0</v>
      </c>
      <c r="R21" s="36" t="n">
        <v>29.15</v>
      </c>
      <c r="S21" s="36" t="n">
        <v>14.5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81.25</v>
      </c>
      <c r="AB21" s="35" t="n">
        <v>81.25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2780.42</v>
      </c>
      <c r="P22" s="36" t="n">
        <v>1051.68</v>
      </c>
      <c r="Q22" s="36" t="n">
        <v>2650.79</v>
      </c>
      <c r="R22" s="36" t="n">
        <v>4019.62</v>
      </c>
      <c r="S22" s="36" t="n">
        <v>6278.17</v>
      </c>
      <c r="T22" s="36" t="n">
        <v>5222.59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27051.06</v>
      </c>
      <c r="AB22" s="35" t="n">
        <v>45051.06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58.7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58.7</v>
      </c>
      <c r="AB23" s="35" t="n">
        <v>58.7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2876.72</v>
      </c>
      <c r="P25" s="43" t="n">
        <v>1051.68</v>
      </c>
      <c r="Q25" s="43" t="n">
        <v>2650.79</v>
      </c>
      <c r="R25" s="43" t="n">
        <v>4048.77</v>
      </c>
      <c r="S25" s="43" t="n">
        <v>6292.67</v>
      </c>
      <c r="T25" s="43" t="n">
        <v>5222.59</v>
      </c>
      <c r="U25" s="43" t="n">
        <v>5047.79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27191.01</v>
      </c>
      <c r="AB25" s="42" t="n">
        <v>45191.01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37.88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37.88</v>
      </c>
      <c r="AB43" s="35" t="n">
        <v>37.88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37.88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37.88</v>
      </c>
      <c r="AB47" s="51" t="n">
        <v>37.88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66215.46000000001</v>
      </c>
      <c r="O48" s="24" t="n">
        <v>2914.6</v>
      </c>
      <c r="P48" s="24" t="n">
        <v>1051.68</v>
      </c>
      <c r="Q48" s="24" t="n">
        <v>2650.79</v>
      </c>
      <c r="R48" s="24" t="n">
        <v>4048.77</v>
      </c>
      <c r="S48" s="24" t="n">
        <v>6292.67</v>
      </c>
      <c r="T48" s="24" t="n">
        <v>5222.59</v>
      </c>
      <c r="U48" s="24" t="n">
        <v>5047.79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27228.89</v>
      </c>
      <c r="AB48" s="35" t="n">
        <v>45228.89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-66215.46000000001</v>
      </c>
      <c r="O50" s="54" t="n">
        <v>-2914.6</v>
      </c>
      <c r="P50" s="54" t="n">
        <v>-1051.68</v>
      </c>
      <c r="Q50" s="54" t="n">
        <v>-2650.79</v>
      </c>
      <c r="R50" s="54" t="n">
        <v>-4048.77</v>
      </c>
      <c r="S50" s="54" t="n">
        <v>-6292.67</v>
      </c>
      <c r="T50" s="54" t="n">
        <v>-5222.59</v>
      </c>
      <c r="U50" s="54" t="n">
        <v>-5047.79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-27228.89</v>
      </c>
      <c r="AB50" s="54" t="n">
        <v>-45228.89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62.55</v>
      </c>
      <c r="P58" s="36" t="n">
        <v>62.55</v>
      </c>
      <c r="Q58" s="36" t="n">
        <v>62.55</v>
      </c>
      <c r="R58" s="36" t="n">
        <v>62.55</v>
      </c>
      <c r="S58" s="36" t="n">
        <v>62.55</v>
      </c>
      <c r="T58" s="36" t="n">
        <v>62.55</v>
      </c>
      <c r="U58" s="36" t="n">
        <v>67.5</v>
      </c>
      <c r="V58" s="37" t="n"/>
      <c r="W58" s="37" t="n"/>
      <c r="X58" s="37" t="n"/>
      <c r="Y58" s="37" t="n"/>
      <c r="Z58" s="37" t="n"/>
      <c r="AA58" s="35" t="n">
        <v>442.8</v>
      </c>
      <c r="AB58" s="35" t="n">
        <v>442.8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84.74000000000001</v>
      </c>
      <c r="P60" s="36" t="n">
        <v>243.11</v>
      </c>
      <c r="Q60" s="36" t="n">
        <v>208.09</v>
      </c>
      <c r="R60" s="36" t="n">
        <v>69.3</v>
      </c>
      <c r="S60" s="36" t="n">
        <v>163.09</v>
      </c>
      <c r="T60" s="36" t="n">
        <v>53.14</v>
      </c>
      <c r="U60" s="36" t="n">
        <v>113.06</v>
      </c>
      <c r="V60" s="37" t="n"/>
      <c r="W60" s="37" t="n"/>
      <c r="X60" s="37" t="n"/>
      <c r="Y60" s="37" t="n"/>
      <c r="Z60" s="37" t="n"/>
      <c r="AA60" s="35" t="n">
        <v>934.53</v>
      </c>
      <c r="AB60" s="35" t="n">
        <v>934.53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1440</v>
      </c>
      <c r="AB65" s="35" t="n">
        <v>1440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21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28.35</v>
      </c>
      <c r="V67" s="37" t="n"/>
      <c r="W67" s="37" t="n"/>
      <c r="X67" s="37" t="n"/>
      <c r="Y67" s="37" t="n"/>
      <c r="Z67" s="37" t="n"/>
      <c r="AA67" s="35" t="n">
        <v>49.35</v>
      </c>
      <c r="AB67" s="35" t="n">
        <v>49.35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168.29</v>
      </c>
      <c r="P69" s="43" t="n">
        <v>305.66</v>
      </c>
      <c r="Q69" s="43" t="n">
        <v>1710.64</v>
      </c>
      <c r="R69" s="43" t="n">
        <v>131.85</v>
      </c>
      <c r="S69" s="43" t="n">
        <v>225.64</v>
      </c>
      <c r="T69" s="43" t="n">
        <v>115.69</v>
      </c>
      <c r="U69" s="43" t="n">
        <v>208.91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2866.68</v>
      </c>
      <c r="AB69" s="42" t="n">
        <v>2866.68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-74323.47</v>
      </c>
      <c r="O70" s="54" t="n">
        <v>-3082.89</v>
      </c>
      <c r="P70" s="54" t="n">
        <v>-1357.34</v>
      </c>
      <c r="Q70" s="54" t="n">
        <v>-4361.43</v>
      </c>
      <c r="R70" s="54" t="n">
        <v>-4180.62</v>
      </c>
      <c r="S70" s="54" t="n">
        <v>-6518.31</v>
      </c>
      <c r="T70" s="54" t="n">
        <v>-5338.28</v>
      </c>
      <c r="U70" s="54" t="n">
        <v>-5256.7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-30095.57</v>
      </c>
      <c r="AB70" s="54" t="n">
        <v>-48095.57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J71" s="54" t="n"/>
      <c r="AK71" s="54" t="n"/>
      <c r="AL71" s="54" t="n"/>
      <c r="AM71" s="54" t="n"/>
      <c r="AN71" s="54" t="n"/>
      <c r="AO71" s="54" t="n"/>
      <c r="AP71" s="54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N78" s="59" t="n"/>
      <c r="AA78" s="59" t="n">
        <v>0</v>
      </c>
      <c r="AB78" s="55" t="n">
        <v>0</v>
      </c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1080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1080</v>
      </c>
      <c r="AB65" s="35" t="n">
        <v>1080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1080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1080</v>
      </c>
      <c r="AB69" s="42" t="n">
        <v>1080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-1080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-1080</v>
      </c>
      <c r="AB70" s="54" t="n">
        <v>-1080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1.7109375" customWidth="1" min="35" max="35"/>
    <col width="12.42578125" customWidth="1" min="36" max="36"/>
    <col width="5.7109375" customWidth="1" min="40" max="40"/>
    <col width="12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Moebius Two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1" t="inlineStr">
        <is>
          <t xml:space="preserve">Rolling Total </t>
        </is>
      </c>
      <c r="AK2" s="11" t="inlineStr">
        <is>
          <t xml:space="preserve">Rolling Total </t>
        </is>
      </c>
      <c r="AL2" s="11" t="inlineStr">
        <is>
          <t xml:space="preserve">Rolling Total </t>
        </is>
      </c>
      <c r="AM2" s="82" t="inlineStr">
        <is>
          <t xml:space="preserve">Rolling Total </t>
        </is>
      </c>
      <c r="AN2" s="83" t="n"/>
      <c r="AO2" s="11" t="inlineStr">
        <is>
          <t xml:space="preserve">Rolling Total </t>
        </is>
      </c>
      <c r="AP2" s="11" t="inlineStr">
        <is>
          <t xml:space="preserve">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6279.16</v>
      </c>
      <c r="P42" s="36" t="n">
        <v>6279.16</v>
      </c>
      <c r="Q42" s="36" t="n">
        <v>6279.15</v>
      </c>
      <c r="R42" s="36" t="n">
        <v>6279.15</v>
      </c>
      <c r="S42" s="36" t="n">
        <v>6279.14</v>
      </c>
      <c r="T42" s="36" t="n">
        <v>6279.14</v>
      </c>
      <c r="U42" s="36" t="n">
        <v>6279.14</v>
      </c>
      <c r="V42" s="37" t="n"/>
      <c r="W42" s="37" t="n"/>
      <c r="X42" s="37" t="n"/>
      <c r="Y42" s="37" t="n"/>
      <c r="Z42" s="37" t="n"/>
      <c r="AA42" s="35" t="n">
        <v>43954.04</v>
      </c>
      <c r="AB42" s="35" t="n">
        <v>43954.04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0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>
        <v>6279.16</v>
      </c>
      <c r="P47" s="43" t="n">
        <v>6279.16</v>
      </c>
      <c r="Q47" s="43" t="n">
        <v>6279.15</v>
      </c>
      <c r="R47" s="43" t="n">
        <v>6279.15</v>
      </c>
      <c r="S47" s="43" t="n">
        <v>6279.14</v>
      </c>
      <c r="T47" s="43" t="n">
        <v>6279.14</v>
      </c>
      <c r="U47" s="43" t="n">
        <v>6279.14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43954.04</v>
      </c>
      <c r="AB47" s="51" t="n">
        <v>43954.04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35" t="n"/>
      <c r="O48" s="24" t="n">
        <v>6279.16</v>
      </c>
      <c r="P48" s="24" t="n">
        <v>6279.16</v>
      </c>
      <c r="Q48" s="24" t="n">
        <v>6279.15</v>
      </c>
      <c r="R48" s="24" t="n">
        <v>6279.15</v>
      </c>
      <c r="S48" s="24" t="n">
        <v>6279.14</v>
      </c>
      <c r="T48" s="24" t="n">
        <v>6279.14</v>
      </c>
      <c r="U48" s="24" t="n">
        <v>6279.14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43954.04</v>
      </c>
      <c r="AB48" s="35" t="n">
        <v>43954.04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0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0</v>
      </c>
      <c r="M50" s="54" t="n">
        <v>0</v>
      </c>
      <c r="N50" s="54" t="n"/>
      <c r="O50" s="54" t="n">
        <v>-6279.16</v>
      </c>
      <c r="P50" s="54" t="n">
        <v>-6279.16</v>
      </c>
      <c r="Q50" s="54" t="n">
        <v>-6279.15</v>
      </c>
      <c r="R50" s="54" t="n">
        <v>-6279.15</v>
      </c>
      <c r="S50" s="54" t="n">
        <v>-6279.14</v>
      </c>
      <c r="T50" s="54" t="n">
        <v>-6279.14</v>
      </c>
      <c r="U50" s="54" t="n">
        <v>-6279.14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-43954.04</v>
      </c>
      <c r="AB50" s="54" t="n">
        <v>-43954.04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5784.1</v>
      </c>
      <c r="C58" s="34" t="n">
        <v>5784.1</v>
      </c>
      <c r="D58" s="34" t="n">
        <v>5784.1</v>
      </c>
      <c r="E58" s="34" t="n">
        <v>5784.1</v>
      </c>
      <c r="F58" s="34" t="n">
        <v>5784.1</v>
      </c>
      <c r="G58" s="34" t="n">
        <v>5912.61</v>
      </c>
      <c r="H58" s="34" t="n">
        <v>5912.61</v>
      </c>
      <c r="I58" s="34" t="n">
        <v>5975.88</v>
      </c>
      <c r="J58" s="34" t="n">
        <v>5975.88</v>
      </c>
      <c r="K58" s="34" t="n">
        <v>5975.88</v>
      </c>
      <c r="L58" s="34" t="n">
        <v>6279.14</v>
      </c>
      <c r="M58" s="34" t="n">
        <v>6279.14</v>
      </c>
      <c r="N58" s="35" t="n">
        <v>71231.64</v>
      </c>
      <c r="O58" s="36" t="n">
        <v>0</v>
      </c>
      <c r="P58" s="36" t="n">
        <v>0</v>
      </c>
      <c r="Q58" s="36" t="n">
        <v>19942.8</v>
      </c>
      <c r="R58" s="36" t="n">
        <v>4298.4</v>
      </c>
      <c r="S58" s="36" t="n">
        <v>0</v>
      </c>
      <c r="T58" s="36" t="n">
        <v>0</v>
      </c>
      <c r="U58" s="36" t="n">
        <v>45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24286.2</v>
      </c>
      <c r="AB58" s="35" t="n">
        <v>55686.2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846</v>
      </c>
      <c r="P64" s="36" t="n">
        <v>846</v>
      </c>
      <c r="Q64" s="36" t="n">
        <v>846</v>
      </c>
      <c r="R64" s="36" t="n">
        <v>846</v>
      </c>
      <c r="S64" s="36" t="n">
        <v>846</v>
      </c>
      <c r="T64" s="36" t="n">
        <v>846</v>
      </c>
      <c r="U64" s="36" t="n">
        <v>0</v>
      </c>
      <c r="V64" s="37" t="n"/>
      <c r="W64" s="37" t="n"/>
      <c r="X64" s="37" t="n"/>
      <c r="Y64" s="37" t="n"/>
      <c r="Z64" s="37" t="n"/>
      <c r="AA64" s="35" t="n">
        <v>5076</v>
      </c>
      <c r="AB64" s="35" t="n">
        <v>5076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462</v>
      </c>
      <c r="C65" s="34" t="n">
        <v>30</v>
      </c>
      <c r="D65" s="34" t="n">
        <v>9357.6</v>
      </c>
      <c r="E65" s="34" t="n">
        <v>2599.2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3583.2</v>
      </c>
      <c r="N65" s="35" t="n">
        <v>16032</v>
      </c>
      <c r="O65" s="36" t="n">
        <v>42.75</v>
      </c>
      <c r="P65" s="36" t="n">
        <v>42.75</v>
      </c>
      <c r="Q65" s="36" t="n">
        <v>42.75</v>
      </c>
      <c r="R65" s="36" t="n">
        <v>42.75</v>
      </c>
      <c r="S65" s="36" t="n">
        <v>42.75</v>
      </c>
      <c r="T65" s="36" t="n">
        <v>42.75</v>
      </c>
      <c r="U65" s="36" t="n">
        <v>0</v>
      </c>
      <c r="V65" s="37" t="n"/>
      <c r="W65" s="37" t="n"/>
      <c r="X65" s="37" t="n"/>
      <c r="Y65" s="37" t="n"/>
      <c r="Z65" s="37" t="n"/>
      <c r="AA65" s="35" t="n">
        <v>256.5</v>
      </c>
      <c r="AB65" s="35" t="n">
        <v>256.5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42.75</v>
      </c>
      <c r="J67" s="34" t="n">
        <v>42.75</v>
      </c>
      <c r="K67" s="34" t="n">
        <v>1209.15</v>
      </c>
      <c r="L67" s="34" t="n">
        <v>42.75</v>
      </c>
      <c r="M67" s="34" t="n">
        <v>642.75</v>
      </c>
      <c r="N67" s="35" t="n">
        <v>2022.9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3.11</v>
      </c>
      <c r="E68" s="34" t="n">
        <v>21.75</v>
      </c>
      <c r="F68" s="34" t="n">
        <v>0</v>
      </c>
      <c r="G68" s="34" t="n">
        <v>0</v>
      </c>
      <c r="H68" s="34" t="n">
        <v>600</v>
      </c>
      <c r="I68" s="34" t="n">
        <v>0</v>
      </c>
      <c r="J68" s="34" t="n">
        <v>-39.91</v>
      </c>
      <c r="K68" s="34" t="n">
        <v>0.35</v>
      </c>
      <c r="L68" s="34" t="n">
        <v>2.45</v>
      </c>
      <c r="M68" s="34" t="n">
        <v>0</v>
      </c>
      <c r="N68" s="35" t="n">
        <v>587.75</v>
      </c>
      <c r="O68" s="36" t="n">
        <v>0</v>
      </c>
      <c r="P68" s="36" t="n">
        <v>0</v>
      </c>
      <c r="Q68" s="36" t="n">
        <v>33648.45</v>
      </c>
      <c r="R68" s="36" t="n">
        <v>0</v>
      </c>
      <c r="S68" s="36" t="n">
        <v>0</v>
      </c>
      <c r="T68" s="36" t="n">
        <v>33321.22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66969.67</v>
      </c>
      <c r="AB68" s="35" t="n">
        <v>66969.67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6246.1</v>
      </c>
      <c r="C69" s="41" t="n">
        <v>5814.1</v>
      </c>
      <c r="D69" s="41" t="n">
        <v>15144.81</v>
      </c>
      <c r="E69" s="41" t="n">
        <v>8405.049999999999</v>
      </c>
      <c r="F69" s="41" t="n">
        <v>5784.1</v>
      </c>
      <c r="G69" s="41" t="n">
        <v>5912.61</v>
      </c>
      <c r="H69" s="41" t="n">
        <v>6555.36</v>
      </c>
      <c r="I69" s="41" t="n">
        <v>6018.63</v>
      </c>
      <c r="J69" s="41" t="n">
        <v>5978.72</v>
      </c>
      <c r="K69" s="41" t="n">
        <v>7185.38</v>
      </c>
      <c r="L69" s="41" t="n">
        <v>6324.34</v>
      </c>
      <c r="M69" s="41" t="n">
        <v>10505.09</v>
      </c>
      <c r="N69" s="42" t="n">
        <v>89874.28999999999</v>
      </c>
      <c r="O69" s="43" t="n">
        <v>888.75</v>
      </c>
      <c r="P69" s="43" t="n">
        <v>888.75</v>
      </c>
      <c r="Q69" s="43" t="n">
        <v>54480</v>
      </c>
      <c r="R69" s="43" t="n">
        <v>5187.15</v>
      </c>
      <c r="S69" s="43" t="n">
        <v>888.75</v>
      </c>
      <c r="T69" s="43" t="n">
        <v>34209.97</v>
      </c>
      <c r="U69" s="43" t="n">
        <v>45</v>
      </c>
      <c r="V69" s="44" t="n">
        <v>6280</v>
      </c>
      <c r="W69" s="44" t="n">
        <v>6280</v>
      </c>
      <c r="X69" s="44" t="n">
        <v>6280</v>
      </c>
      <c r="Y69" s="44" t="n">
        <v>6280</v>
      </c>
      <c r="Z69" s="44" t="n">
        <v>6280</v>
      </c>
      <c r="AA69" s="42" t="n">
        <v>96588.37</v>
      </c>
      <c r="AB69" s="42" t="n">
        <v>127988.37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-6246.1</v>
      </c>
      <c r="C70" s="54" t="n">
        <v>-5814.1</v>
      </c>
      <c r="D70" s="54" t="n">
        <v>-15144.81</v>
      </c>
      <c r="E70" s="54" t="n">
        <v>-8405.049999999999</v>
      </c>
      <c r="F70" s="54" t="n">
        <v>-5784.1</v>
      </c>
      <c r="G70" s="54" t="n">
        <v>-5912.61</v>
      </c>
      <c r="H70" s="54" t="n">
        <v>-6555.36</v>
      </c>
      <c r="I70" s="54" t="n">
        <v>-6018.63</v>
      </c>
      <c r="J70" s="54" t="n">
        <v>-5978.72</v>
      </c>
      <c r="K70" s="54" t="n">
        <v>-7185.38</v>
      </c>
      <c r="L70" s="54" t="n">
        <v>-6324.34</v>
      </c>
      <c r="M70" s="54" t="n">
        <v>-10505.09</v>
      </c>
      <c r="N70" s="54" t="n">
        <v>-89874.28999999999</v>
      </c>
      <c r="O70" s="54" t="n">
        <v>-7167.91</v>
      </c>
      <c r="P70" s="54" t="n">
        <v>-7167.91</v>
      </c>
      <c r="Q70" s="54" t="n">
        <v>-60759.15</v>
      </c>
      <c r="R70" s="54" t="n">
        <v>-11466.3</v>
      </c>
      <c r="S70" s="54" t="n">
        <v>-7167.89</v>
      </c>
      <c r="T70" s="54" t="n">
        <v>-40489.11</v>
      </c>
      <c r="U70" s="54" t="n">
        <v>-6324.14</v>
      </c>
      <c r="V70" s="54" t="n">
        <v>-6280</v>
      </c>
      <c r="W70" s="54" t="n">
        <v>-6280</v>
      </c>
      <c r="X70" s="54" t="n">
        <v>-6280</v>
      </c>
      <c r="Y70" s="54" t="n">
        <v>-6280</v>
      </c>
      <c r="Z70" s="54" t="n">
        <v>-6280</v>
      </c>
      <c r="AA70" s="54" t="n">
        <v>-140542.41</v>
      </c>
      <c r="AB70" s="54" t="n">
        <v>-171942.41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7" t="n"/>
      <c r="N72" s="84" t="n"/>
      <c r="AA72" s="84" t="n">
        <v>0</v>
      </c>
      <c r="AB72" s="55" t="n">
        <v>0</v>
      </c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39" t="n"/>
      <c r="AK73" s="39" t="n"/>
      <c r="AL73" s="39" t="n"/>
      <c r="AM73" s="39" t="n"/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846</v>
      </c>
      <c r="P74" s="59" t="n">
        <v>846</v>
      </c>
      <c r="Q74" s="59" t="n">
        <v>846</v>
      </c>
      <c r="R74" s="59" t="n">
        <v>846</v>
      </c>
      <c r="S74" s="59" t="n">
        <v>846</v>
      </c>
      <c r="T74" s="59" t="n">
        <v>846</v>
      </c>
      <c r="U74" s="59" t="n">
        <v>847</v>
      </c>
      <c r="V74" s="59" t="n">
        <v>846</v>
      </c>
      <c r="W74" s="59" t="n">
        <v>846</v>
      </c>
      <c r="X74" s="59" t="n">
        <v>846</v>
      </c>
      <c r="Y74" s="59" t="n">
        <v>846</v>
      </c>
      <c r="Z74" s="59" t="n">
        <v>846</v>
      </c>
      <c r="AA74" t="n">
        <v>5923</v>
      </c>
      <c r="AB74" s="59" t="n">
        <v>10153</v>
      </c>
      <c r="AJ74" s="39" t="n"/>
      <c r="AK74" s="39" t="n"/>
      <c r="AL74" s="39" t="n"/>
      <c r="AM74" s="39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s="39" t="n"/>
      <c r="AK75" s="39" t="n"/>
      <c r="AL75" s="39" t="n"/>
      <c r="AM75" s="39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s="39" t="n"/>
      <c r="AK76" s="39" t="n"/>
      <c r="AL76" s="39" t="n"/>
      <c r="AM76" s="39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s="39" t="n"/>
      <c r="AK77" s="39" t="n"/>
      <c r="AL77" s="39" t="n"/>
      <c r="AM77" s="39" t="n"/>
      <c r="AN77" s="39" t="n"/>
      <c r="AO77" s="39" t="n"/>
      <c r="AP77" s="39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s="39" t="n"/>
      <c r="AK78" s="39" t="n"/>
      <c r="AL78" s="39" t="n"/>
      <c r="AM78" s="39" t="n"/>
      <c r="AN78" s="39" t="n"/>
      <c r="AO78" s="39" t="n"/>
      <c r="AP78" s="39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J79" s="39" t="n"/>
      <c r="AK79" s="39" t="n"/>
      <c r="AL79" s="39" t="n"/>
      <c r="AM79" s="39" t="n"/>
      <c r="AN79" s="39" t="n"/>
      <c r="AO79" s="39" t="n"/>
      <c r="AP79" s="39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J80" s="39" t="n"/>
      <c r="AK80" s="39" t="n"/>
      <c r="AL80" s="39" t="n"/>
      <c r="AM80" s="39" t="n"/>
      <c r="AN80" s="39" t="n"/>
      <c r="AO80" s="39" t="n"/>
      <c r="AP80" s="39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J81" s="39" t="n"/>
      <c r="AK81" s="39" t="n"/>
      <c r="AL81" s="39" t="n"/>
      <c r="AM81" s="39" t="n"/>
      <c r="AN81" s="39" t="n"/>
      <c r="AO81" s="39" t="n"/>
      <c r="AP81" s="39" t="n"/>
    </row>
    <row r="82">
      <c r="A82" s="59" t="inlineStr">
        <is>
          <t>Memo</t>
        </is>
      </c>
      <c r="AA82" t="n">
        <v>0</v>
      </c>
      <c r="AB82" t="n">
        <v>0</v>
      </c>
    </row>
    <row r="83">
      <c r="A83" s="59" t="inlineStr">
        <is>
          <t>Direct - Sales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33" t="inlineStr">
        <is>
          <t>Direct - Staff Cost</t>
        </is>
      </c>
      <c r="B84" s="17" t="n">
        <v>0</v>
      </c>
      <c r="C84" s="17" t="n">
        <v>0</v>
      </c>
      <c r="D84" s="17" t="n">
        <v>0</v>
      </c>
      <c r="E84" s="17" t="n">
        <v>0</v>
      </c>
      <c r="F84" s="17" t="n">
        <v>0</v>
      </c>
      <c r="G84" s="17" t="n">
        <v>0</v>
      </c>
      <c r="H84" s="17" t="n">
        <v>0</v>
      </c>
      <c r="I84" s="17" t="n">
        <v>0</v>
      </c>
      <c r="J84" s="17" t="n">
        <v>0</v>
      </c>
      <c r="K84" s="17" t="n">
        <v>0</v>
      </c>
      <c r="L84" s="17" t="n">
        <v>0</v>
      </c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Childcare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Direct - Premises &amp; Admin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59" t="inlineStr">
        <is>
          <t>In-Direct - Overheads</t>
        </is>
      </c>
      <c r="B88" s="17" t="n">
        <v>-6246.1</v>
      </c>
      <c r="C88" s="17" t="n">
        <v>-5814.1</v>
      </c>
      <c r="D88" s="17" t="n">
        <v>-15144.81</v>
      </c>
      <c r="E88" s="17" t="n">
        <v>-8405.049999999999</v>
      </c>
      <c r="F88" s="17" t="n">
        <v>-5784.1</v>
      </c>
      <c r="G88" s="17" t="n">
        <v>-5912.61</v>
      </c>
      <c r="H88" s="17" t="n">
        <v>-6555.36</v>
      </c>
      <c r="I88" s="17" t="n">
        <v>-6018.63</v>
      </c>
      <c r="J88" s="17" t="n">
        <v>-5978.72</v>
      </c>
      <c r="K88" s="17" t="n">
        <v>-7185.380000000001</v>
      </c>
      <c r="L88" s="17" t="n">
        <v>-6324.34</v>
      </c>
      <c r="M88" s="17" t="n">
        <v>-10505.09</v>
      </c>
      <c r="N88" t="n">
        <v>-89874.29000000001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 ht="15.75" customHeight="1">
      <c r="B89" s="66" t="n">
        <v>-6246.1</v>
      </c>
      <c r="C89" s="66" t="n">
        <v>-5814.1</v>
      </c>
      <c r="D89" s="66" t="n">
        <v>-15144.81</v>
      </c>
      <c r="E89" s="66" t="n">
        <v>-8405.049999999999</v>
      </c>
      <c r="F89" s="66" t="n">
        <v>-5784.1</v>
      </c>
      <c r="G89" s="66" t="n">
        <v>-5912.61</v>
      </c>
      <c r="H89" s="66" t="n">
        <v>-6555.36</v>
      </c>
      <c r="I89" s="66" t="n">
        <v>-6018.63</v>
      </c>
      <c r="J89" s="66" t="n">
        <v>-5978.72</v>
      </c>
      <c r="K89" s="66" t="n">
        <v>-7185.380000000001</v>
      </c>
      <c r="L89" s="66" t="n">
        <v>-6324.34</v>
      </c>
      <c r="M89" s="66" t="n">
        <v>-10505.09</v>
      </c>
      <c r="N89" t="n">
        <v>-89874.29000000001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</row>
    <row r="90" ht="15.75" customHeight="1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0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>
        <v>0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0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>
        <v>6246.1</v>
      </c>
      <c r="C93" s="17" t="n">
        <v>5814.1</v>
      </c>
      <c r="D93" s="17" t="n">
        <v>15144.81</v>
      </c>
      <c r="E93" s="17" t="n">
        <v>8405.049999999999</v>
      </c>
      <c r="F93" s="17" t="n">
        <v>5784.1</v>
      </c>
      <c r="G93" s="17" t="n">
        <v>5912.61</v>
      </c>
      <c r="H93" s="17" t="n">
        <v>6555.36</v>
      </c>
      <c r="I93" s="17" t="n">
        <v>6018.63</v>
      </c>
      <c r="J93" s="17" t="n">
        <v>5978.72</v>
      </c>
      <c r="K93" s="17" t="n">
        <v>7185.380000000001</v>
      </c>
      <c r="L93" s="17" t="n">
        <v>6324.34</v>
      </c>
      <c r="M93" s="17" t="n">
        <v>10505.09</v>
      </c>
      <c r="N93" t="n">
        <v>89874.29000000001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92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42578125" customWidth="1" min="22" max="22"/>
    <col width="9.85546875" customWidth="1" min="27" max="27"/>
    <col width="13.42578125" customWidth="1" min="29" max="29"/>
    <col width="11.710937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406332.84</v>
      </c>
      <c r="C8" s="34" t="n">
        <v>370267.7</v>
      </c>
      <c r="D8" s="34" t="n">
        <v>440583.79</v>
      </c>
      <c r="E8" s="34" t="n">
        <v>480572.6399999998</v>
      </c>
      <c r="F8" s="34" t="n">
        <v>418282.78</v>
      </c>
      <c r="G8" s="34" t="n">
        <v>407160.64</v>
      </c>
      <c r="H8" s="34" t="n">
        <v>519579.89</v>
      </c>
      <c r="I8" s="34" t="n">
        <v>435459.8099999999</v>
      </c>
      <c r="J8" s="34" t="n">
        <v>343561.82</v>
      </c>
      <c r="K8" s="34" t="n">
        <v>339368.39</v>
      </c>
      <c r="L8" s="34" t="n">
        <v>304211.5</v>
      </c>
      <c r="M8" s="34" t="n">
        <v>414127.86</v>
      </c>
      <c r="N8" s="35" t="n">
        <v>4879509.66</v>
      </c>
      <c r="O8" s="36" t="n">
        <v>343795.9599999997</v>
      </c>
      <c r="P8" s="36" t="n">
        <v>310111.2099999997</v>
      </c>
      <c r="Q8" s="36" t="n">
        <v>367029.6399999996</v>
      </c>
      <c r="R8" s="36" t="n">
        <v>398186.9000000002</v>
      </c>
      <c r="S8" s="36" t="n">
        <v>332013.3799999993</v>
      </c>
      <c r="T8" s="36" t="n">
        <v>364326.0200000003</v>
      </c>
      <c r="U8" s="36" t="n">
        <v>651087.2300000008</v>
      </c>
      <c r="V8" s="37" t="n"/>
      <c r="W8" s="37" t="n"/>
      <c r="X8" s="37" t="n"/>
      <c r="Y8" s="37" t="n"/>
      <c r="Z8" s="37" t="n"/>
      <c r="AA8" s="35" t="n">
        <v>2766550.339999999</v>
      </c>
      <c r="AB8" s="35" t="n">
        <v>2766550.339999999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123603.95</v>
      </c>
      <c r="C9" s="34" t="n">
        <v>184132.01</v>
      </c>
      <c r="D9" s="34" t="n">
        <v>215486.69</v>
      </c>
      <c r="E9" s="34" t="n">
        <v>108962.48</v>
      </c>
      <c r="F9" s="34" t="n">
        <v>108962.48</v>
      </c>
      <c r="G9" s="34" t="n">
        <v>201642.53</v>
      </c>
      <c r="H9" s="34" t="n">
        <v>271627.6</v>
      </c>
      <c r="I9" s="34" t="n">
        <v>0</v>
      </c>
      <c r="J9" s="34" t="n">
        <v>126763.32</v>
      </c>
      <c r="K9" s="34" t="n">
        <v>153401.76</v>
      </c>
      <c r="L9" s="34" t="n">
        <v>295000.1900000001</v>
      </c>
      <c r="M9" s="34" t="n">
        <v>308551.5</v>
      </c>
      <c r="N9" s="35" t="n">
        <v>2098134.51</v>
      </c>
      <c r="O9" s="36" t="n">
        <v>181515.33</v>
      </c>
      <c r="P9" s="36" t="n">
        <v>275834.88</v>
      </c>
      <c r="Q9" s="36" t="n">
        <v>307715.42</v>
      </c>
      <c r="R9" s="36" t="n">
        <v>201965.99</v>
      </c>
      <c r="S9" s="36" t="n">
        <v>201966</v>
      </c>
      <c r="T9" s="36" t="n">
        <v>287053.22</v>
      </c>
      <c r="U9" s="36" t="n">
        <v>329207.22</v>
      </c>
      <c r="V9" s="37" t="n"/>
      <c r="W9" s="37" t="n"/>
      <c r="X9" s="37" t="n"/>
      <c r="Y9" s="37" t="n"/>
      <c r="Z9" s="37" t="n"/>
      <c r="AA9" s="35" t="n">
        <v>1785258.06</v>
      </c>
      <c r="AB9" s="35" t="n">
        <v>1785258.06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1850</v>
      </c>
      <c r="C10" s="34" t="n">
        <v>650</v>
      </c>
      <c r="D10" s="34" t="n">
        <v>1200</v>
      </c>
      <c r="E10" s="34" t="n">
        <v>1399.14</v>
      </c>
      <c r="F10" s="34" t="n">
        <v>1050</v>
      </c>
      <c r="G10" s="34" t="n">
        <v>1366.94</v>
      </c>
      <c r="H10" s="34" t="n">
        <v>750</v>
      </c>
      <c r="I10" s="34" t="n">
        <v>28937.56</v>
      </c>
      <c r="J10" s="34" t="n">
        <v>1900.57</v>
      </c>
      <c r="K10" s="34" t="n">
        <v>900</v>
      </c>
      <c r="L10" s="34" t="n">
        <v>1630.24</v>
      </c>
      <c r="M10" s="34" t="n">
        <v>1200</v>
      </c>
      <c r="N10" s="35" t="n">
        <v>42834.45</v>
      </c>
      <c r="O10" s="36" t="n">
        <v>2900</v>
      </c>
      <c r="P10" s="36" t="n">
        <v>750</v>
      </c>
      <c r="Q10" s="36" t="n">
        <v>1200</v>
      </c>
      <c r="R10" s="36" t="n">
        <v>1244.28</v>
      </c>
      <c r="S10" s="36" t="n">
        <v>750</v>
      </c>
      <c r="T10" s="36" t="n">
        <v>1200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9094.280000000001</v>
      </c>
      <c r="AB10" s="35" t="n">
        <v>9094.280000000001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531786.79</v>
      </c>
      <c r="C11" s="41" t="n">
        <v>555049.71</v>
      </c>
      <c r="D11" s="41" t="n">
        <v>657270.48</v>
      </c>
      <c r="E11" s="41" t="n">
        <v>590934.2599999998</v>
      </c>
      <c r="F11" s="41" t="n">
        <v>528295.26</v>
      </c>
      <c r="G11" s="41" t="n">
        <v>610170.11</v>
      </c>
      <c r="H11" s="41" t="n">
        <v>791957.49</v>
      </c>
      <c r="I11" s="41" t="n">
        <v>464397.3699999999</v>
      </c>
      <c r="J11" s="41" t="n">
        <v>472225.71</v>
      </c>
      <c r="K11" s="41" t="n">
        <v>493670.15</v>
      </c>
      <c r="L11" s="41" t="n">
        <v>600841.9300000002</v>
      </c>
      <c r="M11" s="41" t="n">
        <v>723879.36</v>
      </c>
      <c r="N11" s="42" t="n">
        <v>7020478.62</v>
      </c>
      <c r="O11" s="43" t="n">
        <v>528211.2899999997</v>
      </c>
      <c r="P11" s="43" t="n">
        <v>586696.0899999996</v>
      </c>
      <c r="Q11" s="43" t="n">
        <v>675945.0599999996</v>
      </c>
      <c r="R11" s="43" t="n">
        <v>601397.1700000002</v>
      </c>
      <c r="S11" s="43" t="n">
        <v>534729.3799999993</v>
      </c>
      <c r="T11" s="43" t="n">
        <v>652579.2400000002</v>
      </c>
      <c r="U11" s="43" t="n">
        <v>981344.4500000008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4560902.68</v>
      </c>
      <c r="AB11" s="42" t="n">
        <v>4560902.68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225384.19</v>
      </c>
      <c r="C16" s="34" t="n">
        <v>219615.93</v>
      </c>
      <c r="D16" s="34" t="n">
        <v>227506.24</v>
      </c>
      <c r="E16" s="34" t="n">
        <v>259500.56</v>
      </c>
      <c r="F16" s="34" t="n">
        <v>255063.9</v>
      </c>
      <c r="G16" s="34" t="n">
        <v>247653.74</v>
      </c>
      <c r="H16" s="34" t="n">
        <v>264124.91</v>
      </c>
      <c r="I16" s="34" t="n">
        <v>247816.15</v>
      </c>
      <c r="J16" s="34" t="n">
        <v>256303.81</v>
      </c>
      <c r="K16" s="34" t="n">
        <v>244555.73</v>
      </c>
      <c r="L16" s="34" t="n">
        <v>233222.55</v>
      </c>
      <c r="M16" s="34" t="n">
        <v>243603.54</v>
      </c>
      <c r="N16" s="35" t="n">
        <v>2924351.25</v>
      </c>
      <c r="O16" s="36" t="n">
        <v>248793.83</v>
      </c>
      <c r="P16" s="36" t="n">
        <v>246384.23</v>
      </c>
      <c r="Q16" s="36" t="n">
        <v>235987.99</v>
      </c>
      <c r="R16" s="36" t="n">
        <v>255325.68</v>
      </c>
      <c r="S16" s="36" t="n">
        <v>261335.24</v>
      </c>
      <c r="T16" s="36" t="n">
        <v>256707.5</v>
      </c>
      <c r="U16" s="36" t="n">
        <v>398670.72</v>
      </c>
      <c r="V16" s="37" t="n"/>
      <c r="W16" s="37" t="n"/>
      <c r="X16" s="37" t="n"/>
      <c r="Y16" s="37" t="n"/>
      <c r="Z16" s="37" t="n"/>
      <c r="AA16" s="35" t="n">
        <v>1903205.19</v>
      </c>
      <c r="AB16" s="35" t="n">
        <v>1903205.19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17214</v>
      </c>
      <c r="C17" s="34" t="n">
        <v>16376.6</v>
      </c>
      <c r="D17" s="34" t="n">
        <v>17171.15</v>
      </c>
      <c r="E17" s="34" t="n">
        <v>27648.51</v>
      </c>
      <c r="F17" s="34" t="n">
        <v>26607.47</v>
      </c>
      <c r="G17" s="34" t="n">
        <v>25482.47</v>
      </c>
      <c r="H17" s="34" t="n">
        <v>27386.88</v>
      </c>
      <c r="I17" s="34" t="n">
        <v>25045.64</v>
      </c>
      <c r="J17" s="34" t="n">
        <v>27704.75</v>
      </c>
      <c r="K17" s="34" t="n">
        <v>24805.75</v>
      </c>
      <c r="L17" s="34" t="n">
        <v>23462.74</v>
      </c>
      <c r="M17" s="34" t="n">
        <v>24799.72</v>
      </c>
      <c r="N17" s="35" t="n">
        <v>283705.68</v>
      </c>
      <c r="O17" s="36" t="n">
        <v>25530.8</v>
      </c>
      <c r="P17" s="36" t="n">
        <v>24443.7</v>
      </c>
      <c r="Q17" s="36" t="n">
        <v>23857.7</v>
      </c>
      <c r="R17" s="36" t="n">
        <v>25868.47</v>
      </c>
      <c r="S17" s="36" t="n">
        <v>25866.81</v>
      </c>
      <c r="T17" s="36" t="n">
        <v>25408.44</v>
      </c>
      <c r="U17" s="36" t="n">
        <v>41226.31</v>
      </c>
      <c r="V17" s="37" t="n"/>
      <c r="W17" s="37" t="n"/>
      <c r="X17" s="37" t="n"/>
      <c r="Y17" s="37" t="n"/>
      <c r="Z17" s="37" t="n"/>
      <c r="AA17" s="35" t="n">
        <v>192202.23</v>
      </c>
      <c r="AB17" s="35" t="n">
        <v>192202.23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4061.38</v>
      </c>
      <c r="C18" s="34" t="n">
        <v>3944.39</v>
      </c>
      <c r="D18" s="34" t="n">
        <v>3883.39</v>
      </c>
      <c r="E18" s="34" t="n">
        <v>4173.42</v>
      </c>
      <c r="F18" s="34" t="n">
        <v>4311.7</v>
      </c>
      <c r="G18" s="34" t="n">
        <v>4340.11</v>
      </c>
      <c r="H18" s="34" t="n">
        <v>4730.349999999999</v>
      </c>
      <c r="I18" s="34" t="n">
        <v>4424.44</v>
      </c>
      <c r="J18" s="34" t="n">
        <v>4388.13</v>
      </c>
      <c r="K18" s="34" t="n">
        <v>3998.24</v>
      </c>
      <c r="L18" s="34" t="n">
        <v>3978.02</v>
      </c>
      <c r="M18" s="34" t="n">
        <v>4301.849999999999</v>
      </c>
      <c r="N18" s="35" t="n">
        <v>50535.42</v>
      </c>
      <c r="O18" s="36" t="n">
        <v>4350.84</v>
      </c>
      <c r="P18" s="36" t="n">
        <v>3955.22</v>
      </c>
      <c r="Q18" s="36" t="n">
        <v>3704.17</v>
      </c>
      <c r="R18" s="36" t="n">
        <v>4300.63</v>
      </c>
      <c r="S18" s="36" t="n">
        <v>4319.63</v>
      </c>
      <c r="T18" s="36" t="n">
        <v>4326.86</v>
      </c>
      <c r="U18" s="36" t="n">
        <v>7030.930000000001</v>
      </c>
      <c r="V18" s="37" t="n"/>
      <c r="W18" s="37" t="n"/>
      <c r="X18" s="37" t="n"/>
      <c r="Y18" s="37" t="n"/>
      <c r="Z18" s="37" t="n"/>
      <c r="AA18" s="35" t="n">
        <v>31988.28</v>
      </c>
      <c r="AB18" s="35" t="n">
        <v>31988.28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901.9000000000001</v>
      </c>
      <c r="C19" s="34" t="n">
        <v>871.2800000000001</v>
      </c>
      <c r="D19" s="34" t="n">
        <v>475.23</v>
      </c>
      <c r="E19" s="34" t="n">
        <v>271.02</v>
      </c>
      <c r="F19" s="34" t="n">
        <v>810.11</v>
      </c>
      <c r="G19" s="34" t="n">
        <v>846.8200000000001</v>
      </c>
      <c r="H19" s="34" t="n">
        <v>399.49</v>
      </c>
      <c r="I19" s="34" t="n">
        <v>0</v>
      </c>
      <c r="J19" s="34" t="n">
        <v>918.9</v>
      </c>
      <c r="K19" s="34" t="n">
        <v>615.3</v>
      </c>
      <c r="L19" s="34" t="n">
        <v>393.3199999999999</v>
      </c>
      <c r="M19" s="34" t="n">
        <v>1747.06</v>
      </c>
      <c r="N19" s="35" t="n">
        <v>8250.43</v>
      </c>
      <c r="O19" s="36" t="n">
        <v>776.4300000000001</v>
      </c>
      <c r="P19" s="36" t="n">
        <v>285.79</v>
      </c>
      <c r="Q19" s="36" t="n">
        <v>465.72</v>
      </c>
      <c r="R19" s="36" t="n">
        <v>759.87</v>
      </c>
      <c r="S19" s="36" t="n">
        <v>245.74</v>
      </c>
      <c r="T19" s="36" t="n">
        <v>1432.06</v>
      </c>
      <c r="U19" s="36" t="n">
        <v>276.39</v>
      </c>
      <c r="V19" s="37" t="n"/>
      <c r="W19" s="37" t="n"/>
      <c r="X19" s="37" t="n"/>
      <c r="Y19" s="37" t="n"/>
      <c r="Z19" s="37" t="n"/>
      <c r="AA19" s="35" t="n">
        <v>4242</v>
      </c>
      <c r="AB19" s="35" t="n">
        <v>4242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2688.82</v>
      </c>
      <c r="C20" s="34" t="n">
        <v>7288.880000000001</v>
      </c>
      <c r="D20" s="34" t="n">
        <v>3398.99</v>
      </c>
      <c r="E20" s="34" t="n">
        <v>2471.63</v>
      </c>
      <c r="F20" s="34" t="n">
        <v>2453.5</v>
      </c>
      <c r="G20" s="34" t="n">
        <v>2367.39</v>
      </c>
      <c r="H20" s="34" t="n">
        <v>2557.88</v>
      </c>
      <c r="I20" s="34" t="n">
        <v>2820.2</v>
      </c>
      <c r="J20" s="34" t="n">
        <v>1973.2</v>
      </c>
      <c r="K20" s="34" t="n">
        <v>8399.299999999999</v>
      </c>
      <c r="L20" s="34" t="n">
        <v>2574.2</v>
      </c>
      <c r="M20" s="34" t="n">
        <v>1212.77</v>
      </c>
      <c r="N20" s="35" t="n">
        <v>40206.76</v>
      </c>
      <c r="O20" s="36" t="n">
        <v>3266.86</v>
      </c>
      <c r="P20" s="36" t="n">
        <v>5538.849999999999</v>
      </c>
      <c r="Q20" s="36" t="n">
        <v>5066.93</v>
      </c>
      <c r="R20" s="36" t="n">
        <v>10383.54</v>
      </c>
      <c r="S20" s="36" t="n">
        <v>1290.13</v>
      </c>
      <c r="T20" s="36" t="n">
        <v>2776.36</v>
      </c>
      <c r="U20" s="36" t="n">
        <v>5082.889999999999</v>
      </c>
      <c r="V20" s="37" t="n"/>
      <c r="W20" s="37" t="n"/>
      <c r="X20" s="37" t="n"/>
      <c r="Y20" s="37" t="n"/>
      <c r="Z20" s="37" t="n"/>
      <c r="AA20" s="35" t="n">
        <v>33405.56</v>
      </c>
      <c r="AB20" s="35" t="n">
        <v>33405.56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4825.509999999999</v>
      </c>
      <c r="C21" s="34" t="n">
        <v>4075.389999999999</v>
      </c>
      <c r="D21" s="34" t="n">
        <v>2579.36</v>
      </c>
      <c r="E21" s="34" t="n">
        <v>3492.619999999999</v>
      </c>
      <c r="F21" s="34" t="n">
        <v>4004.26</v>
      </c>
      <c r="G21" s="34" t="n">
        <v>2160.96</v>
      </c>
      <c r="H21" s="34" t="n">
        <v>2672.08</v>
      </c>
      <c r="I21" s="34" t="n">
        <v>1667.93</v>
      </c>
      <c r="J21" s="34" t="n">
        <v>1275.7</v>
      </c>
      <c r="K21" s="34" t="n">
        <v>2037.66</v>
      </c>
      <c r="L21" s="34" t="n">
        <v>2767.7</v>
      </c>
      <c r="M21" s="34" t="n">
        <v>2349.9</v>
      </c>
      <c r="N21" s="35" t="n">
        <v>33909.07</v>
      </c>
      <c r="O21" s="36" t="n">
        <v>2219.07</v>
      </c>
      <c r="P21" s="36" t="n">
        <v>2284.95</v>
      </c>
      <c r="Q21" s="36" t="n">
        <v>2981.31</v>
      </c>
      <c r="R21" s="36" t="n">
        <v>2863.46</v>
      </c>
      <c r="S21" s="36" t="n">
        <v>1753.04</v>
      </c>
      <c r="T21" s="36" t="n">
        <v>2397.6</v>
      </c>
      <c r="U21" s="36" t="n">
        <v>3311.769999999999</v>
      </c>
      <c r="V21" s="37" t="n"/>
      <c r="W21" s="37" t="n"/>
      <c r="X21" s="37" t="n"/>
      <c r="Y21" s="37" t="n"/>
      <c r="Z21" s="37" t="n"/>
      <c r="AA21" s="35" t="n">
        <v>17811.2</v>
      </c>
      <c r="AB21" s="35" t="n">
        <v>17811.2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5104.8</v>
      </c>
      <c r="D22" s="34" t="n">
        <v>69.98999999999999</v>
      </c>
      <c r="E22" s="34" t="n">
        <v>4169.88</v>
      </c>
      <c r="F22" s="34" t="n">
        <v>3421.43</v>
      </c>
      <c r="G22" s="34" t="n">
        <v>4876.26</v>
      </c>
      <c r="H22" s="34" t="n">
        <v>528.17</v>
      </c>
      <c r="I22" s="34" t="n">
        <v>0</v>
      </c>
      <c r="J22" s="34" t="n">
        <v>4461</v>
      </c>
      <c r="K22" s="34" t="n">
        <v>39.89</v>
      </c>
      <c r="L22" s="34" t="n">
        <v>0</v>
      </c>
      <c r="M22" s="34" t="n">
        <v>3650.4</v>
      </c>
      <c r="N22" s="35" t="n">
        <v>26321.82</v>
      </c>
      <c r="O22" s="36" t="n">
        <v>2677</v>
      </c>
      <c r="P22" s="36" t="n">
        <v>8489.440000000001</v>
      </c>
      <c r="Q22" s="36" t="n">
        <v>67.28</v>
      </c>
      <c r="R22" s="36" t="n">
        <v>642.4</v>
      </c>
      <c r="S22" s="36" t="n">
        <v>279.5</v>
      </c>
      <c r="T22" s="36" t="n">
        <v>104.02</v>
      </c>
      <c r="U22" s="36" t="n">
        <v>0</v>
      </c>
      <c r="V22" s="37" t="n"/>
      <c r="W22" s="37" t="n"/>
      <c r="X22" s="37" t="n"/>
      <c r="Y22" s="37" t="n"/>
      <c r="Z22" s="37" t="n"/>
      <c r="AA22" s="35" t="n">
        <v>12259.64</v>
      </c>
      <c r="AB22" s="35" t="n">
        <v>12259.64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2186.8</v>
      </c>
      <c r="I23" s="34" t="n">
        <v>1099.95</v>
      </c>
      <c r="J23" s="34" t="n">
        <v>2191.73</v>
      </c>
      <c r="K23" s="34" t="n">
        <v>1118.46</v>
      </c>
      <c r="L23" s="34" t="n">
        <v>3780.01</v>
      </c>
      <c r="M23" s="34" t="n">
        <v>2125.75</v>
      </c>
      <c r="N23" s="35" t="n">
        <v>14132.7</v>
      </c>
      <c r="O23" s="36" t="n">
        <v>1158.41</v>
      </c>
      <c r="P23" s="36" t="n">
        <v>1151.28</v>
      </c>
      <c r="Q23" s="36" t="n">
        <v>502.47</v>
      </c>
      <c r="R23" s="36" t="n">
        <v>665.8399999999999</v>
      </c>
      <c r="S23" s="36" t="n">
        <v>1905.31</v>
      </c>
      <c r="T23" s="36" t="n">
        <v>863.79</v>
      </c>
      <c r="U23" s="36" t="n">
        <v>1456.79</v>
      </c>
      <c r="V23" s="37" t="n"/>
      <c r="W23" s="37" t="n"/>
      <c r="X23" s="37" t="n"/>
      <c r="Y23" s="37" t="n"/>
      <c r="Z23" s="37" t="n"/>
      <c r="AA23" s="35" t="n">
        <v>7703.889999999999</v>
      </c>
      <c r="AB23" s="35" t="n">
        <v>7703.889999999999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5549.35</v>
      </c>
      <c r="L24" s="34" t="n">
        <v>3008.5</v>
      </c>
      <c r="M24" s="34" t="n">
        <v>0</v>
      </c>
      <c r="N24" s="35" t="n">
        <v>10444.01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255075.8</v>
      </c>
      <c r="C25" s="41" t="n">
        <v>257277.27</v>
      </c>
      <c r="D25" s="41" t="n">
        <v>255084.35</v>
      </c>
      <c r="E25" s="41" t="n">
        <v>301727.64</v>
      </c>
      <c r="F25" s="41" t="n">
        <v>296898.4</v>
      </c>
      <c r="G25" s="41" t="n">
        <v>289357.75</v>
      </c>
      <c r="H25" s="41" t="n">
        <v>304835.97</v>
      </c>
      <c r="I25" s="41" t="n">
        <v>282874.31</v>
      </c>
      <c r="J25" s="41" t="n">
        <v>300627.94</v>
      </c>
      <c r="K25" s="41" t="n">
        <v>291119.68</v>
      </c>
      <c r="L25" s="41" t="n">
        <v>273187.04</v>
      </c>
      <c r="M25" s="41" t="n">
        <v>283790.99</v>
      </c>
      <c r="N25" s="42" t="n">
        <v>3391857.14</v>
      </c>
      <c r="O25" s="43" t="n">
        <v>290059.25</v>
      </c>
      <c r="P25" s="43" t="n">
        <v>292533.46</v>
      </c>
      <c r="Q25" s="43" t="n">
        <v>272633.57</v>
      </c>
      <c r="R25" s="43" t="n">
        <v>300809.89</v>
      </c>
      <c r="S25" s="43" t="n">
        <v>296995.4</v>
      </c>
      <c r="T25" s="43" t="n">
        <v>294016.63</v>
      </c>
      <c r="U25" s="43" t="n">
        <v>457055.8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2204104</v>
      </c>
      <c r="AB25" s="42" t="n">
        <v>2204104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15476.72</v>
      </c>
      <c r="C27" s="34" t="n">
        <v>17023.7</v>
      </c>
      <c r="D27" s="34" t="n">
        <v>16507.06</v>
      </c>
      <c r="E27" s="34" t="n">
        <v>13382.91</v>
      </c>
      <c r="F27" s="34" t="n">
        <v>15272.21</v>
      </c>
      <c r="G27" s="34" t="n">
        <v>15688.95</v>
      </c>
      <c r="H27" s="34" t="n">
        <v>15141.05</v>
      </c>
      <c r="I27" s="34" t="n">
        <v>15771.29</v>
      </c>
      <c r="J27" s="34" t="n">
        <v>14551.7</v>
      </c>
      <c r="K27" s="34" t="n">
        <v>16263.46</v>
      </c>
      <c r="L27" s="34" t="n">
        <v>15545.59</v>
      </c>
      <c r="M27" s="34" t="n">
        <v>11868.26</v>
      </c>
      <c r="N27" s="35" t="n">
        <v>182492.9</v>
      </c>
      <c r="O27" s="36" t="n">
        <v>13294.17</v>
      </c>
      <c r="P27" s="36" t="n">
        <v>15588.96</v>
      </c>
      <c r="Q27" s="36" t="n">
        <v>15084.53</v>
      </c>
      <c r="R27" s="36" t="n">
        <v>14081.8</v>
      </c>
      <c r="S27" s="36" t="n">
        <v>16384.9</v>
      </c>
      <c r="T27" s="36" t="n">
        <v>15864.87</v>
      </c>
      <c r="U27" s="36" t="n">
        <v>23135.41999999999</v>
      </c>
      <c r="V27" s="37" t="n"/>
      <c r="W27" s="37" t="n"/>
      <c r="X27" s="37" t="n"/>
      <c r="Y27" s="37" t="n"/>
      <c r="Z27" s="37" t="n"/>
      <c r="AA27" s="35" t="n">
        <v>113434.65</v>
      </c>
      <c r="AB27" s="35" t="n">
        <v>113434.65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1407.24</v>
      </c>
      <c r="C28" s="34" t="n">
        <v>2677.99</v>
      </c>
      <c r="D28" s="34" t="n">
        <v>1177.96</v>
      </c>
      <c r="E28" s="34" t="n">
        <v>1527.49</v>
      </c>
      <c r="F28" s="34" t="n">
        <v>3325.92</v>
      </c>
      <c r="G28" s="34" t="n">
        <v>4840.8</v>
      </c>
      <c r="H28" s="34" t="n">
        <v>4323.200000000001</v>
      </c>
      <c r="I28" s="34" t="n">
        <v>5393</v>
      </c>
      <c r="J28" s="34" t="n">
        <v>1799</v>
      </c>
      <c r="K28" s="34" t="n">
        <v>1275.67</v>
      </c>
      <c r="L28" s="34" t="n">
        <v>1612.58</v>
      </c>
      <c r="M28" s="34" t="n">
        <v>1179.7</v>
      </c>
      <c r="N28" s="35" t="n">
        <v>30540.55</v>
      </c>
      <c r="O28" s="36" t="n">
        <v>966.8400000000001</v>
      </c>
      <c r="P28" s="36" t="n">
        <v>928.5600000000001</v>
      </c>
      <c r="Q28" s="36" t="n">
        <v>2471.18</v>
      </c>
      <c r="R28" s="36" t="n">
        <v>1370.43</v>
      </c>
      <c r="S28" s="36" t="n">
        <v>2101.900000000001</v>
      </c>
      <c r="T28" s="36" t="n">
        <v>2751.18</v>
      </c>
      <c r="U28" s="36" t="n">
        <v>-6002.309999999999</v>
      </c>
      <c r="V28" s="37" t="n"/>
      <c r="W28" s="37" t="n"/>
      <c r="X28" s="37" t="n"/>
      <c r="Y28" s="37" t="n"/>
      <c r="Z28" s="37" t="n"/>
      <c r="AA28" s="35" t="n">
        <v>4587.780000000002</v>
      </c>
      <c r="AB28" s="35" t="n">
        <v>4587.780000000002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1106.77</v>
      </c>
      <c r="C29" s="34" t="n">
        <v>1277.08</v>
      </c>
      <c r="D29" s="34" t="n">
        <v>1471.69</v>
      </c>
      <c r="E29" s="34" t="n">
        <v>667.89</v>
      </c>
      <c r="F29" s="34" t="n">
        <v>322.83</v>
      </c>
      <c r="G29" s="34" t="n">
        <v>1370.84</v>
      </c>
      <c r="H29" s="34" t="n">
        <v>465.36</v>
      </c>
      <c r="I29" s="34" t="n">
        <v>507.92</v>
      </c>
      <c r="J29" s="34" t="n">
        <v>600.76</v>
      </c>
      <c r="K29" s="34" t="n">
        <v>1530.41</v>
      </c>
      <c r="L29" s="34" t="n">
        <v>1808.63</v>
      </c>
      <c r="M29" s="34" t="n">
        <v>920.52</v>
      </c>
      <c r="N29" s="35" t="n">
        <v>12050.7</v>
      </c>
      <c r="O29" s="36" t="n">
        <v>580.5599999999999</v>
      </c>
      <c r="P29" s="36" t="n">
        <v>947.6799999999999</v>
      </c>
      <c r="Q29" s="36" t="n">
        <v>1288.52</v>
      </c>
      <c r="R29" s="36" t="n">
        <v>466.79</v>
      </c>
      <c r="S29" s="36" t="n">
        <v>433.9399999999999</v>
      </c>
      <c r="T29" s="36" t="n">
        <v>1481.14</v>
      </c>
      <c r="U29" s="36" t="n">
        <v>1121.56</v>
      </c>
      <c r="V29" s="37" t="n"/>
      <c r="W29" s="37" t="n"/>
      <c r="X29" s="37" t="n"/>
      <c r="Y29" s="37" t="n"/>
      <c r="Z29" s="37" t="n"/>
      <c r="AA29" s="35" t="n">
        <v>6320.19</v>
      </c>
      <c r="AB29" s="35" t="n">
        <v>6320.19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586.91</v>
      </c>
      <c r="C30" s="34" t="n">
        <v>504.67</v>
      </c>
      <c r="D30" s="34" t="n">
        <v>287.33</v>
      </c>
      <c r="E30" s="34" t="n">
        <v>285.1500000000001</v>
      </c>
      <c r="F30" s="34" t="n">
        <v>245.29</v>
      </c>
      <c r="G30" s="34" t="n">
        <v>402.8000000000001</v>
      </c>
      <c r="H30" s="34" t="n">
        <v>940.6099999999999</v>
      </c>
      <c r="I30" s="34" t="n">
        <v>555.96</v>
      </c>
      <c r="J30" s="34" t="n">
        <v>333.6199999999999</v>
      </c>
      <c r="K30" s="34" t="n">
        <v>469.71</v>
      </c>
      <c r="L30" s="34" t="n">
        <v>686.6700000000001</v>
      </c>
      <c r="M30" s="34" t="n">
        <v>450.4799999999999</v>
      </c>
      <c r="N30" s="35" t="n">
        <v>5749.2</v>
      </c>
      <c r="O30" s="36" t="n">
        <v>580.21</v>
      </c>
      <c r="P30" s="36" t="n">
        <v>809.0999999999999</v>
      </c>
      <c r="Q30" s="36" t="n">
        <v>409.1199999999999</v>
      </c>
      <c r="R30" s="36" t="n">
        <v>1306.28</v>
      </c>
      <c r="S30" s="36" t="n">
        <v>341.7900000000001</v>
      </c>
      <c r="T30" s="36" t="n">
        <v>830.6600000000001</v>
      </c>
      <c r="U30" s="36" t="n">
        <v>468.7900000000001</v>
      </c>
      <c r="V30" s="37" t="n"/>
      <c r="W30" s="37" t="n"/>
      <c r="X30" s="37" t="n"/>
      <c r="Y30" s="37" t="n"/>
      <c r="Z30" s="37" t="n"/>
      <c r="AA30" s="35" t="n">
        <v>4745.95</v>
      </c>
      <c r="AB30" s="35" t="n">
        <v>4745.95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1380.2</v>
      </c>
      <c r="C31" s="34" t="n">
        <v>1331.67</v>
      </c>
      <c r="D31" s="34" t="n">
        <v>708</v>
      </c>
      <c r="E31" s="34" t="n">
        <v>518.5799999999999</v>
      </c>
      <c r="F31" s="34" t="n">
        <v>1704.7</v>
      </c>
      <c r="G31" s="34" t="n">
        <v>2146.71</v>
      </c>
      <c r="H31" s="34" t="n">
        <v>984.3499999999999</v>
      </c>
      <c r="I31" s="34" t="n">
        <v>285.4699999999999</v>
      </c>
      <c r="J31" s="34" t="n">
        <v>446.8299999999999</v>
      </c>
      <c r="K31" s="34" t="n">
        <v>1770.77</v>
      </c>
      <c r="L31" s="34" t="n">
        <v>1665.22</v>
      </c>
      <c r="M31" s="34" t="n">
        <v>518.45</v>
      </c>
      <c r="N31" s="35" t="n">
        <v>13460.95</v>
      </c>
      <c r="O31" s="36" t="n">
        <v>582.5</v>
      </c>
      <c r="P31" s="36" t="n">
        <v>394.15</v>
      </c>
      <c r="Q31" s="36" t="n">
        <v>434.9299999999999</v>
      </c>
      <c r="R31" s="36" t="n">
        <v>485.8200000000001</v>
      </c>
      <c r="S31" s="36" t="n">
        <v>1523.71</v>
      </c>
      <c r="T31" s="36" t="n">
        <v>1042.26</v>
      </c>
      <c r="U31" s="36" t="n">
        <v>795.2500000000001</v>
      </c>
      <c r="V31" s="37" t="n"/>
      <c r="W31" s="37" t="n"/>
      <c r="X31" s="37" t="n"/>
      <c r="Y31" s="37" t="n"/>
      <c r="Z31" s="37" t="n"/>
      <c r="AA31" s="35" t="n">
        <v>5258.62</v>
      </c>
      <c r="AB31" s="35" t="n">
        <v>5258.62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1894.16</v>
      </c>
      <c r="C32" s="34" t="n">
        <v>1376.25</v>
      </c>
      <c r="D32" s="34" t="n">
        <v>1531.98</v>
      </c>
      <c r="E32" s="34" t="n">
        <v>2028.28</v>
      </c>
      <c r="F32" s="34" t="n">
        <v>2460.34</v>
      </c>
      <c r="G32" s="34" t="n">
        <v>2577.74</v>
      </c>
      <c r="H32" s="34" t="n">
        <v>2458.36</v>
      </c>
      <c r="I32" s="34" t="n">
        <v>1997.14</v>
      </c>
      <c r="J32" s="34" t="n">
        <v>1694.04</v>
      </c>
      <c r="K32" s="34" t="n">
        <v>1717.31</v>
      </c>
      <c r="L32" s="34" t="n">
        <v>2425.88</v>
      </c>
      <c r="M32" s="34" t="n">
        <v>2526.45</v>
      </c>
      <c r="N32" s="35" t="n">
        <v>24687.93</v>
      </c>
      <c r="O32" s="36" t="n">
        <v>2941.4</v>
      </c>
      <c r="P32" s="36" t="n">
        <v>2742.57</v>
      </c>
      <c r="Q32" s="36" t="n">
        <v>2792.48</v>
      </c>
      <c r="R32" s="36" t="n">
        <v>3548.85</v>
      </c>
      <c r="S32" s="36" t="n">
        <v>3409.41</v>
      </c>
      <c r="T32" s="36" t="n">
        <v>2789.1</v>
      </c>
      <c r="U32" s="36" t="n">
        <v>3440.849999999999</v>
      </c>
      <c r="V32" s="37" t="n"/>
      <c r="W32" s="37" t="n"/>
      <c r="X32" s="37" t="n"/>
      <c r="Y32" s="37" t="n"/>
      <c r="Z32" s="37" t="n"/>
      <c r="AA32" s="35" t="n">
        <v>21664.66</v>
      </c>
      <c r="AB32" s="35" t="n">
        <v>21664.66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21852</v>
      </c>
      <c r="C34" s="41" t="n">
        <v>24191.36</v>
      </c>
      <c r="D34" s="41" t="n">
        <v>21684.02</v>
      </c>
      <c r="E34" s="41" t="n">
        <v>18410.3</v>
      </c>
      <c r="F34" s="41" t="n">
        <v>23331.29</v>
      </c>
      <c r="G34" s="41" t="n">
        <v>27027.84</v>
      </c>
      <c r="H34" s="41" t="n">
        <v>24312.93</v>
      </c>
      <c r="I34" s="41" t="n">
        <v>24510.78</v>
      </c>
      <c r="J34" s="41" t="n">
        <v>19425.95</v>
      </c>
      <c r="K34" s="41" t="n">
        <v>23027.33</v>
      </c>
      <c r="L34" s="41" t="n">
        <v>23744.57</v>
      </c>
      <c r="M34" s="41" t="n">
        <v>17463.86</v>
      </c>
      <c r="N34" s="42" t="n">
        <v>268982.23</v>
      </c>
      <c r="O34" s="43" t="n">
        <v>18945.68</v>
      </c>
      <c r="P34" s="43" t="n">
        <v>21411.02</v>
      </c>
      <c r="Q34" s="43" t="n">
        <v>22480.76</v>
      </c>
      <c r="R34" s="43" t="n">
        <v>21259.97</v>
      </c>
      <c r="S34" s="43" t="n">
        <v>24195.65</v>
      </c>
      <c r="T34" s="43" t="n">
        <v>24759.21</v>
      </c>
      <c r="U34" s="43" t="n">
        <v>22959.55999999999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156011.85</v>
      </c>
      <c r="AB34" s="42" t="n">
        <v>156011.85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33788.08</v>
      </c>
      <c r="AB36" s="35" t="n">
        <v>33788.08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16409.93</v>
      </c>
      <c r="C37" s="34" t="n">
        <v>16409.93</v>
      </c>
      <c r="D37" s="34" t="n">
        <v>16409.93</v>
      </c>
      <c r="E37" s="34" t="n">
        <v>16574.19</v>
      </c>
      <c r="F37" s="34" t="n">
        <v>16574.19</v>
      </c>
      <c r="G37" s="34" t="n">
        <v>16574.19</v>
      </c>
      <c r="H37" s="34" t="n">
        <v>16574.19</v>
      </c>
      <c r="I37" s="34" t="n">
        <v>16574.19</v>
      </c>
      <c r="J37" s="34" t="n">
        <v>16574.19</v>
      </c>
      <c r="K37" s="34" t="n">
        <v>16574.19</v>
      </c>
      <c r="L37" s="34" t="n">
        <v>16574.19</v>
      </c>
      <c r="M37" s="34" t="n">
        <v>16574.19</v>
      </c>
      <c r="N37" s="35" t="n">
        <v>198397.5</v>
      </c>
      <c r="O37" s="36" t="n">
        <v>17343.42</v>
      </c>
      <c r="P37" s="36" t="n">
        <v>17343.4</v>
      </c>
      <c r="Q37" s="36" t="n">
        <v>17343.36</v>
      </c>
      <c r="R37" s="36" t="n">
        <v>16622.65</v>
      </c>
      <c r="S37" s="36" t="n">
        <v>16622.65</v>
      </c>
      <c r="T37" s="36" t="n">
        <v>16622.65</v>
      </c>
      <c r="U37" s="36" t="n">
        <v>21126</v>
      </c>
      <c r="V37" s="37" t="n"/>
      <c r="W37" s="37" t="n"/>
      <c r="X37" s="37" t="n"/>
      <c r="Y37" s="37" t="n"/>
      <c r="Z37" s="37" t="n"/>
      <c r="AA37" s="35" t="n">
        <v>123024.13</v>
      </c>
      <c r="AB37" s="35" t="n">
        <v>123024.13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10109.88</v>
      </c>
      <c r="C38" s="34" t="n">
        <v>6635.460000000006</v>
      </c>
      <c r="D38" s="34" t="n">
        <v>12241.16</v>
      </c>
      <c r="E38" s="34" t="n">
        <v>11273</v>
      </c>
      <c r="F38" s="34" t="n">
        <v>10811.39</v>
      </c>
      <c r="G38" s="34" t="n">
        <v>6976.67</v>
      </c>
      <c r="H38" s="34" t="n">
        <v>5585.79</v>
      </c>
      <c r="I38" s="34" t="n">
        <v>6057.77</v>
      </c>
      <c r="J38" s="34" t="n">
        <v>4316.4</v>
      </c>
      <c r="K38" s="34" t="n">
        <v>11866.59</v>
      </c>
      <c r="L38" s="34" t="n">
        <v>7940.06</v>
      </c>
      <c r="M38" s="34" t="n">
        <v>8182.809999999999</v>
      </c>
      <c r="N38" s="35" t="n">
        <v>101996.98</v>
      </c>
      <c r="O38" s="36" t="n">
        <v>10412.72</v>
      </c>
      <c r="P38" s="36" t="n">
        <v>14541.57</v>
      </c>
      <c r="Q38" s="36" t="n">
        <v>9773.249999999998</v>
      </c>
      <c r="R38" s="36" t="n">
        <v>9074.33</v>
      </c>
      <c r="S38" s="36" t="n">
        <v>6750.41</v>
      </c>
      <c r="T38" s="36" t="n">
        <v>5073.200000000001</v>
      </c>
      <c r="U38" s="36" t="n">
        <v>8636.01</v>
      </c>
      <c r="V38" s="37" t="n"/>
      <c r="W38" s="37" t="n"/>
      <c r="X38" s="37" t="n"/>
      <c r="Y38" s="37" t="n"/>
      <c r="Z38" s="37" t="n"/>
      <c r="AA38" s="35" t="n">
        <v>64261.49</v>
      </c>
      <c r="AB38" s="35" t="n">
        <v>64261.49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6370.100000000001</v>
      </c>
      <c r="C39" s="34" t="n">
        <v>15944.93</v>
      </c>
      <c r="D39" s="34" t="n">
        <v>8798.789999999997</v>
      </c>
      <c r="E39" s="34" t="n">
        <v>4734.56</v>
      </c>
      <c r="F39" s="34" t="n">
        <v>3956.539999999999</v>
      </c>
      <c r="G39" s="34" t="n">
        <v>3585.28</v>
      </c>
      <c r="H39" s="34" t="n">
        <v>5231.970000000001</v>
      </c>
      <c r="I39" s="34" t="n">
        <v>3784.71</v>
      </c>
      <c r="J39" s="34" t="n">
        <v>2286.28</v>
      </c>
      <c r="K39" s="34" t="n">
        <v>4281.61</v>
      </c>
      <c r="L39" s="34" t="n">
        <v>1188.83</v>
      </c>
      <c r="M39" s="34" t="n">
        <v>2363.49</v>
      </c>
      <c r="N39" s="35" t="n">
        <v>62527.09</v>
      </c>
      <c r="O39" s="36" t="n">
        <v>4474.78</v>
      </c>
      <c r="P39" s="36" t="n">
        <v>6175.689999999999</v>
      </c>
      <c r="Q39" s="36" t="n">
        <v>690.609999999999</v>
      </c>
      <c r="R39" s="36" t="n">
        <v>2297.62</v>
      </c>
      <c r="S39" s="36" t="n">
        <v>8364.030000000001</v>
      </c>
      <c r="T39" s="36" t="n">
        <v>7840.690000000001</v>
      </c>
      <c r="U39" s="36" t="n">
        <v>8943.939999999999</v>
      </c>
      <c r="V39" s="37" t="n"/>
      <c r="W39" s="37" t="n"/>
      <c r="X39" s="37" t="n"/>
      <c r="Y39" s="37" t="n"/>
      <c r="Z39" s="37" t="n"/>
      <c r="AA39" s="35" t="n">
        <v>38787.36</v>
      </c>
      <c r="AB39" s="35" t="n">
        <v>38787.36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8557.190000000001</v>
      </c>
      <c r="C40" s="34" t="n">
        <v>7844.22</v>
      </c>
      <c r="D40" s="34" t="n">
        <v>8263.08</v>
      </c>
      <c r="E40" s="34" t="n">
        <v>8797.02</v>
      </c>
      <c r="F40" s="34" t="n">
        <v>8146.19</v>
      </c>
      <c r="G40" s="34" t="n">
        <v>9310.83</v>
      </c>
      <c r="H40" s="34" t="n">
        <v>9204.01</v>
      </c>
      <c r="I40" s="34" t="n">
        <v>11956.9</v>
      </c>
      <c r="J40" s="34" t="n">
        <v>8967.800000000001</v>
      </c>
      <c r="K40" s="34" t="n">
        <v>5241.099999999999</v>
      </c>
      <c r="L40" s="34" t="n">
        <v>7539.849999999999</v>
      </c>
      <c r="M40" s="34" t="n">
        <v>7410.440000000001</v>
      </c>
      <c r="N40" s="35" t="n">
        <v>101238.63</v>
      </c>
      <c r="O40" s="36" t="n">
        <v>6617.37</v>
      </c>
      <c r="P40" s="36" t="n">
        <v>11247.9</v>
      </c>
      <c r="Q40" s="36" t="n">
        <v>4910.879999999999</v>
      </c>
      <c r="R40" s="36" t="n">
        <v>6336.8</v>
      </c>
      <c r="S40" s="36" t="n">
        <v>6631.67</v>
      </c>
      <c r="T40" s="36" t="n">
        <v>7975.590000000001</v>
      </c>
      <c r="U40" s="36" t="n">
        <v>10123.18</v>
      </c>
      <c r="V40" s="37" t="n"/>
      <c r="W40" s="37" t="n"/>
      <c r="X40" s="37" t="n"/>
      <c r="Y40" s="37" t="n"/>
      <c r="Z40" s="37" t="n"/>
      <c r="AA40" s="35" t="n">
        <v>53843.39</v>
      </c>
      <c r="AB40" s="35" t="n">
        <v>53843.39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2977.45</v>
      </c>
      <c r="C41" s="34" t="n">
        <v>3928.64</v>
      </c>
      <c r="D41" s="34" t="n">
        <v>4199.25</v>
      </c>
      <c r="E41" s="34" t="n">
        <v>3454.48</v>
      </c>
      <c r="F41" s="34" t="n">
        <v>3621.21</v>
      </c>
      <c r="G41" s="34" t="n">
        <v>3670.329999999999</v>
      </c>
      <c r="H41" s="34" t="n">
        <v>3315.839999999999</v>
      </c>
      <c r="I41" s="34" t="n">
        <v>3427.860000000001</v>
      </c>
      <c r="J41" s="34" t="n">
        <v>5176.719999999998</v>
      </c>
      <c r="K41" s="34" t="n">
        <v>3317.34</v>
      </c>
      <c r="L41" s="34" t="n">
        <v>3335.38</v>
      </c>
      <c r="M41" s="34" t="n">
        <v>4023.31</v>
      </c>
      <c r="N41" s="35" t="n">
        <v>44447.81</v>
      </c>
      <c r="O41" s="36" t="n">
        <v>3652.38</v>
      </c>
      <c r="P41" s="36" t="n">
        <v>3713.04</v>
      </c>
      <c r="Q41" s="36" t="n">
        <v>4787.229999999999</v>
      </c>
      <c r="R41" s="36" t="n">
        <v>4862.360000000001</v>
      </c>
      <c r="S41" s="36" t="n">
        <v>4270.03</v>
      </c>
      <c r="T41" s="36" t="n">
        <v>2941.58</v>
      </c>
      <c r="U41" s="36" t="n">
        <v>7994.790000000003</v>
      </c>
      <c r="V41" s="37" t="n"/>
      <c r="W41" s="37" t="n"/>
      <c r="X41" s="37" t="n"/>
      <c r="Y41" s="37" t="n"/>
      <c r="Z41" s="37" t="n"/>
      <c r="AA41" s="35" t="n">
        <v>32221.41</v>
      </c>
      <c r="AB41" s="35" t="n">
        <v>32221.41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1974.32</v>
      </c>
      <c r="C42" s="34" t="n">
        <v>1068.05</v>
      </c>
      <c r="D42" s="34" t="n">
        <v>571.5600000000001</v>
      </c>
      <c r="E42" s="34" t="n">
        <v>503.2300000000001</v>
      </c>
      <c r="F42" s="34" t="n">
        <v>833.3799999999999</v>
      </c>
      <c r="G42" s="34" t="n">
        <v>520.71</v>
      </c>
      <c r="H42" s="34" t="n">
        <v>1271.59</v>
      </c>
      <c r="I42" s="34" t="n">
        <v>831.0099999999999</v>
      </c>
      <c r="J42" s="34" t="n">
        <v>890.3000000000001</v>
      </c>
      <c r="K42" s="34" t="n">
        <v>581.7500000000001</v>
      </c>
      <c r="L42" s="34" t="n">
        <v>532.92</v>
      </c>
      <c r="M42" s="34" t="n">
        <v>1317.75</v>
      </c>
      <c r="N42" s="35" t="n">
        <v>10896.57</v>
      </c>
      <c r="O42" s="36" t="n">
        <v>8971</v>
      </c>
      <c r="P42" s="36" t="n">
        <v>5169.6</v>
      </c>
      <c r="Q42" s="36" t="n">
        <v>7832.12</v>
      </c>
      <c r="R42" s="36" t="n">
        <v>9603.1</v>
      </c>
      <c r="S42" s="36" t="n">
        <v>15256.75</v>
      </c>
      <c r="T42" s="36" t="n">
        <v>9701.959999999999</v>
      </c>
      <c r="U42" s="36" t="n">
        <v>19210.84</v>
      </c>
      <c r="V42" s="37" t="n"/>
      <c r="W42" s="37" t="n"/>
      <c r="X42" s="37" t="n"/>
      <c r="Y42" s="37" t="n"/>
      <c r="Z42" s="37" t="n"/>
      <c r="AA42" s="35" t="n">
        <v>75745.37</v>
      </c>
      <c r="AB42" s="35" t="n">
        <v>75745.37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382</v>
      </c>
      <c r="P43" s="36" t="n">
        <v>593</v>
      </c>
      <c r="Q43" s="36" t="n">
        <v>844</v>
      </c>
      <c r="R43" s="36" t="n">
        <v>326</v>
      </c>
      <c r="S43" s="36" t="n">
        <v>174</v>
      </c>
      <c r="T43" s="36" t="n">
        <v>22</v>
      </c>
      <c r="U43" s="36" t="n">
        <v>0</v>
      </c>
      <c r="V43" s="37" t="n"/>
      <c r="W43" s="37" t="n"/>
      <c r="X43" s="37" t="n"/>
      <c r="Y43" s="37" t="n"/>
      <c r="Z43" s="37" t="n"/>
      <c r="AA43" s="35" t="n">
        <v>2341</v>
      </c>
      <c r="AB43" s="35" t="n">
        <v>2341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-2000</v>
      </c>
      <c r="R44" s="36" t="n">
        <v>0</v>
      </c>
      <c r="S44" s="36" t="n">
        <v>0</v>
      </c>
      <c r="T44" s="36" t="n">
        <v>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-1121.2</v>
      </c>
      <c r="AB44" s="35" t="n">
        <v>-1121.2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4676.030000000001</v>
      </c>
      <c r="C45" s="34" t="n">
        <v>4891.43</v>
      </c>
      <c r="D45" s="34" t="n">
        <v>3459.56</v>
      </c>
      <c r="E45" s="34" t="n">
        <v>4006.48</v>
      </c>
      <c r="F45" s="34" t="n">
        <v>2466.52</v>
      </c>
      <c r="G45" s="34" t="n">
        <v>10048.48</v>
      </c>
      <c r="H45" s="34" t="n">
        <v>2742.82</v>
      </c>
      <c r="I45" s="34" t="n">
        <v>3971.43</v>
      </c>
      <c r="J45" s="34" t="n">
        <v>4421.86</v>
      </c>
      <c r="K45" s="34" t="n">
        <v>2777.05</v>
      </c>
      <c r="L45" s="34" t="n">
        <v>2690.88</v>
      </c>
      <c r="M45" s="34" t="n">
        <v>1697.04</v>
      </c>
      <c r="N45" s="35" t="n">
        <v>47849.58</v>
      </c>
      <c r="O45" s="36" t="n">
        <v>5409.540000000001</v>
      </c>
      <c r="P45" s="36" t="n">
        <v>5156.38</v>
      </c>
      <c r="Q45" s="36" t="n">
        <v>6041.81</v>
      </c>
      <c r="R45" s="36" t="n">
        <v>6183.14</v>
      </c>
      <c r="S45" s="36" t="n">
        <v>4745.190000000001</v>
      </c>
      <c r="T45" s="36" t="n">
        <v>17938.06</v>
      </c>
      <c r="U45" s="36" t="n">
        <v>5078.780000000001</v>
      </c>
      <c r="V45" s="37" t="n"/>
      <c r="W45" s="37" t="n"/>
      <c r="X45" s="37" t="n"/>
      <c r="Y45" s="37" t="n"/>
      <c r="Z45" s="37" t="n"/>
      <c r="AA45" s="35" t="n">
        <v>50552.9</v>
      </c>
      <c r="AB45" s="35" t="n">
        <v>50552.9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339.32</v>
      </c>
      <c r="P46" s="36" t="n">
        <v>23.98</v>
      </c>
      <c r="Q46" s="36" t="n">
        <v>0</v>
      </c>
      <c r="R46" s="36" t="n">
        <v>0</v>
      </c>
      <c r="S46" s="36" t="n">
        <v>71.95999999999999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435.26</v>
      </c>
      <c r="AB46" s="35" t="n">
        <v>435.26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59033.43</v>
      </c>
      <c r="C47" s="41" t="n">
        <v>64655.37000000001</v>
      </c>
      <c r="D47" s="41" t="n">
        <v>62414.21</v>
      </c>
      <c r="E47" s="41" t="n">
        <v>57493.03</v>
      </c>
      <c r="F47" s="41" t="n">
        <v>54555.92999999999</v>
      </c>
      <c r="G47" s="41" t="n">
        <v>58837.81</v>
      </c>
      <c r="H47" s="41" t="n">
        <v>52684.8</v>
      </c>
      <c r="I47" s="41" t="n">
        <v>55231.96</v>
      </c>
      <c r="J47" s="41" t="n">
        <v>51008.07</v>
      </c>
      <c r="K47" s="41" t="n">
        <v>52733.21</v>
      </c>
      <c r="L47" s="41" t="n">
        <v>47967.33</v>
      </c>
      <c r="M47" s="41" t="n">
        <v>50178.69</v>
      </c>
      <c r="N47" s="42" t="n">
        <v>666793.84</v>
      </c>
      <c r="O47" s="43" t="n">
        <v>62248.37</v>
      </c>
      <c r="P47" s="43" t="n">
        <v>68610.39</v>
      </c>
      <c r="Q47" s="43" t="n">
        <v>54869.09</v>
      </c>
      <c r="R47" s="43" t="n">
        <v>59951.83</v>
      </c>
      <c r="S47" s="43" t="n">
        <v>67532.52</v>
      </c>
      <c r="T47" s="43" t="n">
        <v>72761.57000000001</v>
      </c>
      <c r="U47" s="43" t="n">
        <v>87905.42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473879.19</v>
      </c>
      <c r="AB47" s="51" t="n">
        <v>473879.19</v>
      </c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85" t="n"/>
      <c r="AN47" s="39" t="n"/>
      <c r="AO47" s="42" t="n"/>
      <c r="AP47" s="42" t="n"/>
    </row>
    <row r="48">
      <c r="A48" s="27" t="inlineStr">
        <is>
          <t>Total Direct Costs</t>
        </is>
      </c>
      <c r="B48" s="28" t="n">
        <v>335961.23</v>
      </c>
      <c r="C48" s="28" t="n">
        <v>346124</v>
      </c>
      <c r="D48" s="28" t="n">
        <v>339182.58</v>
      </c>
      <c r="E48" s="28" t="n">
        <v>377630.97</v>
      </c>
      <c r="F48" s="28" t="n">
        <v>374785.62</v>
      </c>
      <c r="G48" s="28" t="n">
        <v>375223.4</v>
      </c>
      <c r="H48" s="28" t="n">
        <v>381833.7</v>
      </c>
      <c r="I48" s="28" t="n">
        <v>362617.05</v>
      </c>
      <c r="J48" s="28" t="n">
        <v>371061.96</v>
      </c>
      <c r="K48" s="28" t="n">
        <v>366880.22</v>
      </c>
      <c r="L48" s="28" t="n">
        <v>344898.94</v>
      </c>
      <c r="M48" s="28" t="n">
        <v>351433.54</v>
      </c>
      <c r="N48" s="35" t="n">
        <v>4327633.21</v>
      </c>
      <c r="O48" s="30" t="n">
        <v>371253.3</v>
      </c>
      <c r="P48" s="30" t="n">
        <v>382554.87</v>
      </c>
      <c r="Q48" s="30" t="n">
        <v>349983.42</v>
      </c>
      <c r="R48" s="30" t="n">
        <v>382021.69</v>
      </c>
      <c r="S48" s="30" t="n">
        <v>388723.5699999999</v>
      </c>
      <c r="T48" s="30" t="n">
        <v>391537.41</v>
      </c>
      <c r="U48" s="30" t="n">
        <v>567920.78</v>
      </c>
      <c r="V48" s="31" t="n">
        <v>0</v>
      </c>
      <c r="W48" s="31" t="n">
        <v>0</v>
      </c>
      <c r="X48" s="31" t="n">
        <v>0</v>
      </c>
      <c r="Y48" s="31" t="n">
        <v>0</v>
      </c>
      <c r="Z48" s="31" t="n">
        <v>0</v>
      </c>
      <c r="AA48" s="35" t="n">
        <v>2833995.04</v>
      </c>
      <c r="AB48" s="35" t="n">
        <v>2833995.04</v>
      </c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4" t="inlineStr">
        <is>
          <t>CONTRIBUTION</t>
        </is>
      </c>
      <c r="B50" s="54" t="n">
        <v>195825.5600000001</v>
      </c>
      <c r="C50" s="54" t="n">
        <v>208925.71</v>
      </c>
      <c r="D50" s="54" t="n">
        <v>318087.9</v>
      </c>
      <c r="E50" s="54" t="n">
        <v>213303.2899999997</v>
      </c>
      <c r="F50" s="54" t="n">
        <v>153509.64</v>
      </c>
      <c r="G50" s="54" t="n">
        <v>234946.71</v>
      </c>
      <c r="H50" s="54" t="n">
        <v>410123.79</v>
      </c>
      <c r="I50" s="54" t="n">
        <v>101780.3199999999</v>
      </c>
      <c r="J50" s="54" t="n">
        <v>101163.75</v>
      </c>
      <c r="K50" s="54" t="n">
        <v>126789.9300000001</v>
      </c>
      <c r="L50" s="54" t="n">
        <v>255942.9900000002</v>
      </c>
      <c r="M50" s="54" t="n">
        <v>372445.82</v>
      </c>
      <c r="N50" s="54" t="n">
        <v>2692845.41</v>
      </c>
      <c r="O50" s="54" t="n">
        <v>156957.9899999997</v>
      </c>
      <c r="P50" s="54" t="n">
        <v>204141.2199999996</v>
      </c>
      <c r="Q50" s="54" t="n">
        <v>325961.6399999996</v>
      </c>
      <c r="R50" s="54" t="n">
        <v>219375.4800000002</v>
      </c>
      <c r="S50" s="54" t="n">
        <v>146005.8099999994</v>
      </c>
      <c r="T50" s="54" t="n">
        <v>261041.8300000002</v>
      </c>
      <c r="U50" s="54" t="n">
        <v>413423.6700000007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1726907.639999999</v>
      </c>
      <c r="AB50" s="54" t="n">
        <v>1726907.639999999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221123.2</v>
      </c>
      <c r="P53" s="36" t="n">
        <v>208389.7</v>
      </c>
      <c r="Q53" s="36" t="n">
        <v>245369.94</v>
      </c>
      <c r="R53" s="36" t="n">
        <v>345719.24</v>
      </c>
      <c r="S53" s="36" t="n">
        <v>234877.06</v>
      </c>
      <c r="T53" s="36" t="n">
        <v>232994.84</v>
      </c>
      <c r="U53" s="36" t="n">
        <v>234115.8</v>
      </c>
      <c r="V53" s="37" t="n"/>
      <c r="W53" s="37" t="n"/>
      <c r="X53" s="37" t="n"/>
      <c r="Y53" s="37" t="n"/>
      <c r="Z53" s="37" t="n"/>
      <c r="AA53" s="35" t="n">
        <v>1722589.78</v>
      </c>
      <c r="AB53" s="35" t="n">
        <v>1722589.78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31658.5</v>
      </c>
      <c r="P54" s="36" t="n">
        <v>29780.9</v>
      </c>
      <c r="Q54" s="36" t="n">
        <v>35342.6</v>
      </c>
      <c r="R54" s="36" t="n">
        <v>50272.76</v>
      </c>
      <c r="S54" s="36" t="n">
        <v>33545.66</v>
      </c>
      <c r="T54" s="36" t="n">
        <v>33489.12</v>
      </c>
      <c r="U54" s="36" t="n">
        <v>33281.4</v>
      </c>
      <c r="V54" s="37" t="n"/>
      <c r="W54" s="37" t="n"/>
      <c r="X54" s="37" t="n"/>
      <c r="Y54" s="37" t="n"/>
      <c r="Z54" s="37" t="n"/>
      <c r="AA54" s="35" t="n">
        <v>247370.94</v>
      </c>
      <c r="AB54" s="35" t="n">
        <v>247370.94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795.1</v>
      </c>
      <c r="P55" s="36" t="n">
        <v>963.84</v>
      </c>
      <c r="Q55" s="36" t="n">
        <v>963.84</v>
      </c>
      <c r="R55" s="36" t="n">
        <v>963.84</v>
      </c>
      <c r="S55" s="36" t="n">
        <v>1389.18</v>
      </c>
      <c r="T55" s="36" t="n">
        <v>1170.3</v>
      </c>
      <c r="U55" s="36" t="n">
        <v>1170.3</v>
      </c>
      <c r="V55" s="37" t="n"/>
      <c r="W55" s="37" t="n"/>
      <c r="X55" s="37" t="n"/>
      <c r="Y55" s="37" t="n"/>
      <c r="Z55" s="37" t="n"/>
      <c r="AA55" s="35" t="n">
        <v>7416.4</v>
      </c>
      <c r="AB55" s="35" t="n">
        <v>7416.4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2370.26</v>
      </c>
      <c r="P56" s="36" t="n">
        <v>2198.2</v>
      </c>
      <c r="Q56" s="36" t="n">
        <v>3823.98</v>
      </c>
      <c r="R56" s="36" t="n">
        <v>3964.9</v>
      </c>
      <c r="S56" s="36" t="n">
        <v>3795.24</v>
      </c>
      <c r="T56" s="36" t="n">
        <v>3792.26</v>
      </c>
      <c r="U56" s="36" t="n">
        <v>2313.06</v>
      </c>
      <c r="V56" s="37" t="n"/>
      <c r="W56" s="37" t="n"/>
      <c r="X56" s="37" t="n"/>
      <c r="Y56" s="37" t="n"/>
      <c r="Z56" s="37" t="n"/>
      <c r="AA56" s="35" t="n">
        <v>22257.9</v>
      </c>
      <c r="AB56" s="35" t="n">
        <v>22257.9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660</v>
      </c>
      <c r="M57" s="34" t="n">
        <v>2336.44</v>
      </c>
      <c r="N57" s="35" t="n">
        <v>20110.85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962.4400000000001</v>
      </c>
      <c r="AB57" s="35" t="n">
        <v>962.4400000000001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24424.8</v>
      </c>
      <c r="R58" s="36" t="n">
        <v>5512.8</v>
      </c>
      <c r="S58" s="36" t="n">
        <v>0</v>
      </c>
      <c r="T58" s="36" t="n">
        <v>0</v>
      </c>
      <c r="U58" s="36" t="n">
        <v>391.5</v>
      </c>
      <c r="V58" s="37" t="n"/>
      <c r="W58" s="37" t="n"/>
      <c r="X58" s="37" t="n"/>
      <c r="Y58" s="37" t="n"/>
      <c r="Z58" s="37" t="n"/>
      <c r="AA58" s="35" t="n">
        <v>30329.1</v>
      </c>
      <c r="AB58" s="35" t="n">
        <v>30329.1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4188.91</v>
      </c>
      <c r="C59" s="34" t="n">
        <v>5090.58</v>
      </c>
      <c r="D59" s="34" t="n">
        <v>3628.38</v>
      </c>
      <c r="E59" s="34" t="n">
        <v>3628.38</v>
      </c>
      <c r="F59" s="34" t="n">
        <v>2965.88</v>
      </c>
      <c r="G59" s="34" t="n">
        <v>4285.88</v>
      </c>
      <c r="H59" s="34" t="n">
        <v>3622.38</v>
      </c>
      <c r="I59" s="34" t="n">
        <v>5284.38</v>
      </c>
      <c r="J59" s="34" t="n">
        <v>10434.38</v>
      </c>
      <c r="K59" s="34" t="n">
        <v>3701.74</v>
      </c>
      <c r="L59" s="34" t="n">
        <v>4396.740000000001</v>
      </c>
      <c r="M59" s="34" t="n">
        <v>4676.620000000001</v>
      </c>
      <c r="N59" s="35" t="n">
        <v>55904.25</v>
      </c>
      <c r="O59" s="36" t="n">
        <v>9353.460000000001</v>
      </c>
      <c r="P59" s="36" t="n">
        <v>7429.580000000001</v>
      </c>
      <c r="Q59" s="36" t="n">
        <v>7429.580000000001</v>
      </c>
      <c r="R59" s="36" t="n">
        <v>7505.18</v>
      </c>
      <c r="S59" s="36" t="n">
        <v>7585.059999999999</v>
      </c>
      <c r="T59" s="36" t="n">
        <v>30697.34</v>
      </c>
      <c r="U59" s="36" t="n">
        <v>10336.94</v>
      </c>
      <c r="V59" s="37" t="n"/>
      <c r="W59" s="37" t="n"/>
      <c r="X59" s="37" t="n"/>
      <c r="Y59" s="37" t="n"/>
      <c r="Z59" s="37" t="n"/>
      <c r="AA59" s="35" t="n">
        <v>80337.14</v>
      </c>
      <c r="AB59" s="35" t="n">
        <v>80337.14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663.5</v>
      </c>
      <c r="C60" s="34" t="n">
        <v>584.91</v>
      </c>
      <c r="D60" s="34" t="n">
        <v>674.0999999999999</v>
      </c>
      <c r="E60" s="34" t="n">
        <v>472.87</v>
      </c>
      <c r="F60" s="34" t="n">
        <v>476.68</v>
      </c>
      <c r="G60" s="34" t="n">
        <v>1092.47</v>
      </c>
      <c r="H60" s="34" t="n">
        <v>477.28</v>
      </c>
      <c r="I60" s="34" t="n">
        <v>488.14</v>
      </c>
      <c r="J60" s="34" t="n">
        <v>491.14</v>
      </c>
      <c r="K60" s="34" t="n">
        <v>1459.54</v>
      </c>
      <c r="L60" s="34" t="n">
        <v>1203.94</v>
      </c>
      <c r="M60" s="34" t="n">
        <v>2496.34</v>
      </c>
      <c r="N60" s="35" t="n">
        <v>10580.91</v>
      </c>
      <c r="O60" s="36" t="n">
        <v>4479.67</v>
      </c>
      <c r="P60" s="36" t="n">
        <v>4977.47</v>
      </c>
      <c r="Q60" s="36" t="n">
        <v>5235.759999999999</v>
      </c>
      <c r="R60" s="36" t="n">
        <v>5215.059999999999</v>
      </c>
      <c r="S60" s="36" t="n">
        <v>5215.66</v>
      </c>
      <c r="T60" s="36" t="n">
        <v>8268.6</v>
      </c>
      <c r="U60" s="36" t="n">
        <v>5232.420000000001</v>
      </c>
      <c r="V60" s="37" t="n"/>
      <c r="W60" s="37" t="n"/>
      <c r="X60" s="37" t="n"/>
      <c r="Y60" s="37" t="n"/>
      <c r="Z60" s="37" t="n"/>
      <c r="AA60" s="35" t="n">
        <v>38624.64</v>
      </c>
      <c r="AB60" s="35" t="n">
        <v>38624.64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41.13</v>
      </c>
      <c r="C61" s="34" t="n">
        <v>71.91000000000001</v>
      </c>
      <c r="D61" s="34" t="n">
        <v>926.1199999999999</v>
      </c>
      <c r="E61" s="34" t="n">
        <v>151.9</v>
      </c>
      <c r="F61" s="34" t="n">
        <v>277.0400000000001</v>
      </c>
      <c r="G61" s="34" t="n">
        <v>1055.59</v>
      </c>
      <c r="H61" s="34" t="n">
        <v>499.11</v>
      </c>
      <c r="I61" s="34" t="n">
        <v>60.18</v>
      </c>
      <c r="J61" s="34" t="n">
        <v>5.69</v>
      </c>
      <c r="K61" s="34" t="n">
        <v>362.17</v>
      </c>
      <c r="L61" s="34" t="n">
        <v>2849.1</v>
      </c>
      <c r="M61" s="34" t="n">
        <v>465.8</v>
      </c>
      <c r="N61" s="35" t="n">
        <v>6765.74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1369.76</v>
      </c>
      <c r="C62" s="34" t="n">
        <v>2646.44</v>
      </c>
      <c r="D62" s="34" t="n">
        <v>2880.85</v>
      </c>
      <c r="E62" s="34" t="n">
        <v>2504.95</v>
      </c>
      <c r="F62" s="34" t="n">
        <v>2618.84</v>
      </c>
      <c r="G62" s="34" t="n">
        <v>3192.2</v>
      </c>
      <c r="H62" s="34" t="n">
        <v>5405.940000000001</v>
      </c>
      <c r="I62" s="34" t="n">
        <v>3934.98</v>
      </c>
      <c r="J62" s="34" t="n">
        <v>4519.27</v>
      </c>
      <c r="K62" s="34" t="n">
        <v>2996.08</v>
      </c>
      <c r="L62" s="34" t="n">
        <v>4582.96</v>
      </c>
      <c r="M62" s="34" t="n">
        <v>2197.83</v>
      </c>
      <c r="N62" s="35" t="n">
        <v>38850.1</v>
      </c>
      <c r="O62" s="36" t="n">
        <v>5793.84</v>
      </c>
      <c r="P62" s="36" t="n">
        <v>2666.68</v>
      </c>
      <c r="Q62" s="36" t="n">
        <v>1881.96</v>
      </c>
      <c r="R62" s="36" t="n">
        <v>2409.12</v>
      </c>
      <c r="S62" s="36" t="n">
        <v>2478.66</v>
      </c>
      <c r="T62" s="36" t="n">
        <v>4047.96</v>
      </c>
      <c r="U62" s="36" t="n">
        <v>4805.280000000001</v>
      </c>
      <c r="V62" s="37" t="n"/>
      <c r="W62" s="37" t="n"/>
      <c r="X62" s="37" t="n"/>
      <c r="Y62" s="37" t="n"/>
      <c r="Z62" s="37" t="n"/>
      <c r="AA62" s="35" t="n">
        <v>24083.5</v>
      </c>
      <c r="AB62" s="35" t="n">
        <v>24083.5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9240.9</v>
      </c>
      <c r="P64" s="36" t="n">
        <v>9240.9</v>
      </c>
      <c r="Q64" s="36" t="n">
        <v>9240.9</v>
      </c>
      <c r="R64" s="36" t="n">
        <v>9240.880000000003</v>
      </c>
      <c r="S64" s="36" t="n">
        <v>9240.880000000003</v>
      </c>
      <c r="T64" s="36" t="n">
        <v>9240.880000000003</v>
      </c>
      <c r="U64" s="36" t="n">
        <v>9240.880000000003</v>
      </c>
      <c r="V64" s="37" t="n"/>
      <c r="W64" s="37" t="n"/>
      <c r="X64" s="37" t="n"/>
      <c r="Y64" s="37" t="n"/>
      <c r="Z64" s="37" t="n"/>
      <c r="AA64" s="35" t="n">
        <v>64686.22000000001</v>
      </c>
      <c r="AB64" s="35" t="n">
        <v>64686.22000000001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45761.72</v>
      </c>
      <c r="P65" s="36" t="n">
        <v>14478.54</v>
      </c>
      <c r="Q65" s="36" t="n">
        <v>16955.18</v>
      </c>
      <c r="R65" s="36" t="n">
        <v>11621.7</v>
      </c>
      <c r="S65" s="36" t="n">
        <v>10182.32</v>
      </c>
      <c r="T65" s="36" t="n">
        <v>9335.52</v>
      </c>
      <c r="U65" s="36" t="n">
        <v>55663.32</v>
      </c>
      <c r="V65" s="37" t="n"/>
      <c r="W65" s="37" t="n"/>
      <c r="X65" s="37" t="n"/>
      <c r="Y65" s="37" t="n"/>
      <c r="Z65" s="37" t="n"/>
      <c r="AA65" s="35" t="n">
        <v>163998.3</v>
      </c>
      <c r="AB65" s="35" t="n">
        <v>163998.3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12828.06</v>
      </c>
      <c r="G67" s="34" t="n">
        <v>5594.48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111678.18</v>
      </c>
      <c r="O67" s="36" t="n">
        <v>202.2</v>
      </c>
      <c r="P67" s="36" t="n">
        <v>282.8</v>
      </c>
      <c r="Q67" s="36" t="n">
        <v>230.3</v>
      </c>
      <c r="R67" s="36" t="n">
        <v>391.3</v>
      </c>
      <c r="S67" s="36" t="n">
        <v>284.9</v>
      </c>
      <c r="T67" s="36" t="n">
        <v>254.8</v>
      </c>
      <c r="U67" s="36" t="n">
        <v>324.8</v>
      </c>
      <c r="V67" s="37" t="n"/>
      <c r="W67" s="37" t="n"/>
      <c r="X67" s="37" t="n"/>
      <c r="Y67" s="37" t="n"/>
      <c r="Z67" s="37" t="n"/>
      <c r="AA67" s="35" t="n">
        <v>1971.1</v>
      </c>
      <c r="AB67" s="35" t="n">
        <v>1971.1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107471.67</v>
      </c>
      <c r="C69" s="41" t="n">
        <v>130122.9</v>
      </c>
      <c r="D69" s="41" t="n">
        <v>135341.87</v>
      </c>
      <c r="E69" s="41" t="n">
        <v>182876.46</v>
      </c>
      <c r="F69" s="41" t="n">
        <v>116733.42</v>
      </c>
      <c r="G69" s="41" t="n">
        <v>131453.82</v>
      </c>
      <c r="H69" s="41" t="n">
        <v>132354.41</v>
      </c>
      <c r="I69" s="41" t="n">
        <v>148600.93</v>
      </c>
      <c r="J69" s="41" t="n">
        <v>205778.13</v>
      </c>
      <c r="K69" s="41" t="n">
        <v>136297.48</v>
      </c>
      <c r="L69" s="41" t="n">
        <v>147081.56</v>
      </c>
      <c r="M69" s="41" t="n">
        <v>465568.52</v>
      </c>
      <c r="N69" s="42" t="n">
        <v>2039681.17</v>
      </c>
      <c r="O69" s="43" t="n">
        <v>331068.85</v>
      </c>
      <c r="P69" s="43" t="n">
        <v>280608.61</v>
      </c>
      <c r="Q69" s="43" t="n">
        <v>350898.84</v>
      </c>
      <c r="R69" s="43" t="n">
        <v>443289.22</v>
      </c>
      <c r="S69" s="43" t="n">
        <v>308594.62</v>
      </c>
      <c r="T69" s="43" t="n">
        <v>333291.62</v>
      </c>
      <c r="U69" s="43" t="n">
        <v>356875.7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2404627.46</v>
      </c>
      <c r="AB69" s="42" t="n">
        <v>2404627.46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88353.89000000004</v>
      </c>
      <c r="C70" s="54" t="n">
        <v>78802.80999999997</v>
      </c>
      <c r="D70" s="54" t="n">
        <v>182746.03</v>
      </c>
      <c r="E70" s="54" t="n">
        <v>30426.82999999975</v>
      </c>
      <c r="F70" s="54" t="n">
        <v>36776.22000000002</v>
      </c>
      <c r="G70" s="54" t="n">
        <v>103492.89</v>
      </c>
      <c r="H70" s="54" t="n">
        <v>277769.38</v>
      </c>
      <c r="I70" s="54" t="n">
        <v>-46820.6100000001</v>
      </c>
      <c r="J70" s="54" t="n">
        <v>-104614.38</v>
      </c>
      <c r="K70" s="54" t="n">
        <v>-9507.549999999959</v>
      </c>
      <c r="L70" s="54" t="n">
        <v>108861.4300000002</v>
      </c>
      <c r="M70" s="54" t="n">
        <v>-93122.70000000001</v>
      </c>
      <c r="N70" s="54" t="n">
        <v>653164.2399999998</v>
      </c>
      <c r="O70" s="54" t="n">
        <v>-174110.8600000003</v>
      </c>
      <c r="P70" s="54" t="n">
        <v>-76467.39000000036</v>
      </c>
      <c r="Q70" s="54" t="n">
        <v>-24937.20000000042</v>
      </c>
      <c r="R70" s="54" t="n">
        <v>-223913.7399999998</v>
      </c>
      <c r="S70" s="54" t="n">
        <v>-162588.8100000006</v>
      </c>
      <c r="T70" s="54" t="n">
        <v>-72249.7899999998</v>
      </c>
      <c r="U70" s="54" t="n">
        <v>56547.97000000073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-677719.8200000006</v>
      </c>
      <c r="AB70" s="54" t="n">
        <v>-677719.8200000006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>
        <v>0</v>
      </c>
      <c r="AB71" s="55" t="n">
        <v>0</v>
      </c>
      <c r="AC71" s="55" t="n"/>
      <c r="AD71" s="55" t="n"/>
      <c r="AE71" s="55" t="n"/>
      <c r="AF71" s="55" t="n"/>
      <c r="AG71" s="55" t="n"/>
      <c r="AH71" s="55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50" t="n"/>
      <c r="AJ73" s="58" t="inlineStr">
        <is>
          <t>Model assumptions 2027:</t>
        </is>
      </c>
      <c r="AN73" s="55" t="n"/>
      <c r="AO73" s="55" t="n"/>
      <c r="AP73" s="55" t="n"/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8051.111178882552</v>
      </c>
      <c r="P74" s="55" t="n">
        <v>8051.111178882552</v>
      </c>
      <c r="Q74" s="55" t="n">
        <v>8075.111178882552</v>
      </c>
      <c r="R74" s="55" t="n">
        <v>8155.761345549219</v>
      </c>
      <c r="S74" s="55" t="n">
        <v>8145.861345549219</v>
      </c>
      <c r="T74" s="55" t="n">
        <v>8182.861345549219</v>
      </c>
      <c r="U74" s="55" t="n">
        <v>8182.861345549219</v>
      </c>
      <c r="V74" s="55" t="n">
        <v>8206.081345549219</v>
      </c>
      <c r="W74" s="55" t="n">
        <v>8142.521345549219</v>
      </c>
      <c r="X74" s="55" t="n">
        <v>9861.627595549218</v>
      </c>
      <c r="Y74" s="55" t="n">
        <v>9834.227595549219</v>
      </c>
      <c r="Z74" s="55" t="n">
        <v>9834.227595549219</v>
      </c>
      <c r="AA74" s="55" t="n">
        <v>56844.67891884453</v>
      </c>
      <c r="AB74" s="55" t="n">
        <v>102723.3643965906</v>
      </c>
      <c r="AC74" s="55" t="n"/>
      <c r="AD74" s="55" t="n"/>
      <c r="AE74" s="55" t="n"/>
      <c r="AF74" s="55" t="n"/>
      <c r="AG74" s="55" t="n"/>
      <c r="AH74" s="55" t="n"/>
      <c r="AI74" s="50" t="n"/>
      <c r="AJ74" t="inlineStr">
        <is>
          <t>Salary Uplift</t>
        </is>
      </c>
      <c r="AL74" s="60" t="n">
        <v>0.05</v>
      </c>
      <c r="AM74" s="61" t="n"/>
      <c r="AN74" s="55" t="n"/>
      <c r="AO74" s="55" t="n"/>
      <c r="AP74" s="55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50" t="n"/>
      <c r="AJ75" t="inlineStr">
        <is>
          <t>Fee uplift</t>
        </is>
      </c>
      <c r="AL75" s="60" t="n">
        <v>0.07000000000000001</v>
      </c>
      <c r="AM75" s="61" t="n"/>
      <c r="AN75" s="55" t="n"/>
      <c r="AO75" s="55" t="n"/>
      <c r="AP75" s="55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50" t="n"/>
      <c r="AJ76" t="inlineStr">
        <is>
          <t>Monthly volume growth</t>
        </is>
      </c>
      <c r="AL76" s="60" t="n">
        <v>0.01</v>
      </c>
      <c r="AM76" s="61" t="n"/>
      <c r="AN76" s="55" t="n"/>
      <c r="AO76" s="55" t="n"/>
      <c r="AP76" s="55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50" t="n"/>
      <c r="AJ77" t="inlineStr">
        <is>
          <t>Easter fallback</t>
        </is>
      </c>
      <c r="AL77" s="60" t="n">
        <v>0.04</v>
      </c>
      <c r="AM77" s="61" t="n"/>
      <c r="AN77" s="55" t="n"/>
      <c r="AO77" s="55" t="n"/>
      <c r="AP77" s="55" t="n"/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  <c r="AN78" s="55" t="n"/>
      <c r="AO78" s="55" t="n"/>
      <c r="AP78" s="55" t="n"/>
    </row>
    <row r="79">
      <c r="A79" s="2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59" t="n"/>
      <c r="AA79" s="59" t="n">
        <v>0</v>
      </c>
      <c r="AB79" s="55" t="n">
        <v>0</v>
      </c>
    </row>
    <row r="80">
      <c r="A80" s="2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AA80" s="59" t="n">
        <v>0</v>
      </c>
      <c r="AB80" s="55" t="n">
        <v>0</v>
      </c>
    </row>
    <row r="81">
      <c r="A81" s="86" t="inlineStr">
        <is>
          <t>Memo</t>
        </is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59" t="n"/>
      <c r="AA81" s="59" t="n">
        <v>0</v>
      </c>
      <c r="AB81" s="55" t="n">
        <v>0</v>
      </c>
    </row>
    <row r="82">
      <c r="A82" s="33" t="inlineStr">
        <is>
          <t>Direct - Sales</t>
        </is>
      </c>
      <c r="B82" s="17" t="n">
        <v>531786.79</v>
      </c>
      <c r="C82" s="17" t="n">
        <v>555049.71</v>
      </c>
      <c r="D82" s="17" t="n">
        <v>657270.48</v>
      </c>
      <c r="E82" s="17" t="n">
        <v>590934.2599999999</v>
      </c>
      <c r="F82" s="17" t="n">
        <v>528295.26</v>
      </c>
      <c r="G82" s="17" t="n">
        <v>610170.1099999999</v>
      </c>
      <c r="H82" s="17" t="n">
        <v>791957.49</v>
      </c>
      <c r="I82" s="17" t="n">
        <v>464397.3699999999</v>
      </c>
      <c r="J82" s="17" t="n">
        <v>472225.71</v>
      </c>
      <c r="K82" s="17" t="n">
        <v>493670.15</v>
      </c>
      <c r="L82" s="17" t="n">
        <v>600841.9300000001</v>
      </c>
      <c r="M82" s="17" t="n">
        <v>723879.36</v>
      </c>
      <c r="N82" s="59" t="n">
        <v>7020478.62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</row>
    <row r="83">
      <c r="A83" s="33" t="inlineStr">
        <is>
          <t>Direct - Staff Cost</t>
        </is>
      </c>
      <c r="B83" s="17" t="n">
        <v>-255075.8</v>
      </c>
      <c r="C83" s="17" t="n">
        <v>-257277.27</v>
      </c>
      <c r="D83" s="17" t="n">
        <v>-255084.35</v>
      </c>
      <c r="E83" s="17" t="n">
        <v>-301727.64</v>
      </c>
      <c r="F83" s="17" t="n">
        <v>-296898.4</v>
      </c>
      <c r="G83" s="17" t="n">
        <v>-289357.7500000001</v>
      </c>
      <c r="H83" s="17" t="n">
        <v>-304835.97</v>
      </c>
      <c r="I83" s="17" t="n">
        <v>-282874.3100000001</v>
      </c>
      <c r="J83" s="17" t="n">
        <v>-300627.94</v>
      </c>
      <c r="K83" s="17" t="n">
        <v>-291119.6799999999</v>
      </c>
      <c r="L83" s="17" t="n">
        <v>-273187.04</v>
      </c>
      <c r="M83" s="17" t="n">
        <v>-283790.99</v>
      </c>
      <c r="N83" s="59" t="n">
        <v>-3391857.14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</row>
    <row r="84">
      <c r="A84" s="59" t="inlineStr">
        <is>
          <t>Direct - Childcare Cost</t>
        </is>
      </c>
      <c r="B84" s="17" t="n">
        <v>-21852</v>
      </c>
      <c r="C84" s="17" t="n">
        <v>-24191.36</v>
      </c>
      <c r="D84" s="17" t="n">
        <v>-21684.02</v>
      </c>
      <c r="E84" s="17" t="n">
        <v>-18410.3</v>
      </c>
      <c r="F84" s="17" t="n">
        <v>-23331.29</v>
      </c>
      <c r="G84" s="17" t="n">
        <v>-27027.84</v>
      </c>
      <c r="H84" s="17" t="n">
        <v>-24312.93</v>
      </c>
      <c r="I84" s="17" t="n">
        <v>-24510.78</v>
      </c>
      <c r="J84" s="17" t="n">
        <v>-19425.95</v>
      </c>
      <c r="K84" s="17" t="n">
        <v>-23027.33</v>
      </c>
      <c r="L84" s="17" t="n">
        <v>-23744.57</v>
      </c>
      <c r="M84" s="17" t="n">
        <v>-17463.86</v>
      </c>
      <c r="N84" s="59" t="n">
        <v>-268982.23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-59033.43</v>
      </c>
      <c r="C85" s="17" t="n">
        <v>-64655.37000000002</v>
      </c>
      <c r="D85" s="17" t="n">
        <v>-62414.21000000001</v>
      </c>
      <c r="E85" s="17" t="n">
        <v>-57493.03000000001</v>
      </c>
      <c r="F85" s="17" t="n">
        <v>-54555.93</v>
      </c>
      <c r="G85" s="17" t="n">
        <v>-58837.81</v>
      </c>
      <c r="H85" s="17" t="n">
        <v>-52684.8</v>
      </c>
      <c r="I85" s="17" t="n">
        <v>-55231.96000000001</v>
      </c>
      <c r="J85" s="17" t="n">
        <v>-51008.07</v>
      </c>
      <c r="K85" s="17" t="n">
        <v>-52733.21000000001</v>
      </c>
      <c r="L85" s="17" t="n">
        <v>-47967.32999999999</v>
      </c>
      <c r="M85" s="17" t="n">
        <v>-50178.69</v>
      </c>
      <c r="N85" s="59" t="n">
        <v>-666793.8400000001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>
        <v>0</v>
      </c>
      <c r="AB85" t="n">
        <v>0</v>
      </c>
    </row>
    <row r="86">
      <c r="A86" s="59" t="inlineStr">
        <is>
          <t>In-Direct - Staff Cost</t>
        </is>
      </c>
      <c r="B86" s="17" t="n">
        <v>-93611.44</v>
      </c>
      <c r="C86" s="17" t="n">
        <v>-96112.63999999998</v>
      </c>
      <c r="D86" s="17" t="n">
        <v>-95857.95999999999</v>
      </c>
      <c r="E86" s="17" t="n">
        <v>-156700.39</v>
      </c>
      <c r="F86" s="17" t="n">
        <v>-95895.40999999999</v>
      </c>
      <c r="G86" s="17" t="n">
        <v>-114717.56</v>
      </c>
      <c r="H86" s="17" t="n">
        <v>-114931.94</v>
      </c>
      <c r="I86" s="17" t="n">
        <v>-131353.52</v>
      </c>
      <c r="J86" s="17" t="n">
        <v>-154543.8</v>
      </c>
      <c r="K86" s="17" t="n">
        <v>-118297.07</v>
      </c>
      <c r="L86" s="17" t="n">
        <v>-125174.38</v>
      </c>
      <c r="M86" s="17" t="n">
        <v>-443091.7</v>
      </c>
      <c r="N86" s="59" t="n">
        <v>-1740287.81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A87" s="59" t="inlineStr">
        <is>
          <t>In-Direct - Overheads</t>
        </is>
      </c>
      <c r="B87" s="17" t="n">
        <v>-13860.23</v>
      </c>
      <c r="C87" s="17" t="n">
        <v>-34010.25999999999</v>
      </c>
      <c r="D87" s="17" t="n">
        <v>-39483.91</v>
      </c>
      <c r="E87" s="17" t="n">
        <v>-26176.07</v>
      </c>
      <c r="F87" s="17" t="n">
        <v>-20838.01</v>
      </c>
      <c r="G87" s="17" t="n">
        <v>-16736.26</v>
      </c>
      <c r="H87" s="17" t="n">
        <v>-17422.47</v>
      </c>
      <c r="I87" s="17" t="n">
        <v>-17247.41</v>
      </c>
      <c r="J87" s="17" t="n">
        <v>-51234.33</v>
      </c>
      <c r="K87" s="17" t="n">
        <v>-18000.41</v>
      </c>
      <c r="L87" s="17" t="n">
        <v>-21907.18</v>
      </c>
      <c r="M87" s="17" t="n">
        <v>-22476.82</v>
      </c>
      <c r="N87" s="59" t="n">
        <v>-299393.36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</row>
    <row r="88" ht="15.75" customHeight="1">
      <c r="B88" s="66" t="n">
        <v>88353.89</v>
      </c>
      <c r="C88" s="66" t="n">
        <v>78802.81000000001</v>
      </c>
      <c r="D88" s="66" t="n">
        <v>182746.03</v>
      </c>
      <c r="E88" s="66" t="n">
        <v>30426.82999999988</v>
      </c>
      <c r="F88" s="66" t="n">
        <v>36776.22</v>
      </c>
      <c r="G88" s="66" t="n">
        <v>103492.8899999998</v>
      </c>
      <c r="H88" s="66" t="n">
        <v>277769.38</v>
      </c>
      <c r="I88" s="66" t="n">
        <v>-46820.61000000012</v>
      </c>
      <c r="J88" s="66" t="n">
        <v>-104614.38</v>
      </c>
      <c r="K88" s="66" t="n">
        <v>-9507.549999999912</v>
      </c>
      <c r="L88" s="66" t="n">
        <v>108861.4300000001</v>
      </c>
      <c r="M88" s="66" t="n">
        <v>-93122.70000000001</v>
      </c>
      <c r="N88" s="59" t="n">
        <v>653164.2399999998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59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59" t="n">
        <v>0</v>
      </c>
      <c r="C89" s="59" t="n">
        <v>0</v>
      </c>
      <c r="D89" s="59" t="n">
        <v>0</v>
      </c>
      <c r="E89" s="59" t="n">
        <v>-3.637978807091713e-11</v>
      </c>
      <c r="F89" s="59" t="n">
        <v>0</v>
      </c>
      <c r="G89" s="59" t="n">
        <v>0</v>
      </c>
      <c r="H89" s="59" t="n">
        <v>0</v>
      </c>
      <c r="I89" s="59" t="n">
        <v>-7.275957614183426e-11</v>
      </c>
      <c r="J89" s="59" t="n">
        <v>0</v>
      </c>
      <c r="N89" s="59" t="n">
        <v>-1.091393642127514e-10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A91" s="64" t="inlineStr">
        <is>
          <t>CHECK TO TB</t>
        </is>
      </c>
      <c r="B91" s="64" t="n">
        <v>0</v>
      </c>
      <c r="C91" s="64" t="n">
        <v>0</v>
      </c>
      <c r="D91" s="64" t="n">
        <v>0</v>
      </c>
      <c r="E91" s="64" t="n">
        <v>0</v>
      </c>
      <c r="F91" s="64" t="n">
        <v>0</v>
      </c>
      <c r="G91" s="64" t="n">
        <v>-1.746229827404022e-10</v>
      </c>
      <c r="H91" s="64" t="n">
        <v>0</v>
      </c>
      <c r="I91" s="64" t="n">
        <v>0</v>
      </c>
      <c r="J91" s="64" t="n">
        <v>0</v>
      </c>
      <c r="K91" s="64" t="n">
        <v>1.200533006340265e-10</v>
      </c>
      <c r="L91" s="64" t="n">
        <v>0</v>
      </c>
      <c r="M91" s="64" t="n"/>
      <c r="N91" t="n">
        <v>-5.456968210637569e-11</v>
      </c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  <c r="Z91" s="64" t="n"/>
      <c r="AA91" t="n">
        <v>0</v>
      </c>
      <c r="AB91" t="n">
        <v>0</v>
      </c>
      <c r="AC91" s="64" t="n"/>
      <c r="AD91" s="64" t="n"/>
      <c r="AE91" s="64" t="n"/>
      <c r="AF91" s="64" t="n"/>
      <c r="AG91" s="64" t="n"/>
      <c r="AH91" s="64" t="n"/>
    </row>
    <row r="92">
      <c r="A92" s="64" t="n"/>
      <c r="B92" s="64" t="n">
        <v>-88353.89000000007</v>
      </c>
      <c r="C92" s="64" t="n">
        <v>-78802.81000000004</v>
      </c>
      <c r="D92" s="64" t="n">
        <v>-182746.0299999999</v>
      </c>
      <c r="E92" s="64" t="n">
        <v>-30426.82999999985</v>
      </c>
      <c r="F92" s="64" t="n">
        <v>-36776.22000000003</v>
      </c>
      <c r="G92" s="64" t="n">
        <v>-103492.89</v>
      </c>
      <c r="H92" s="64" t="n">
        <v>-277769.3799999999</v>
      </c>
      <c r="I92" s="64" t="n">
        <v>46820.6100000001</v>
      </c>
      <c r="J92" s="64" t="n">
        <v>104614.38</v>
      </c>
      <c r="K92" s="64" t="n">
        <v>9507.550000000032</v>
      </c>
      <c r="L92" s="64" t="n">
        <v>-108861.43</v>
      </c>
      <c r="M92" s="64" t="n"/>
      <c r="N92" t="n">
        <v>-746286.9399999996</v>
      </c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  <c r="Z92" s="64" t="n"/>
      <c r="AA92" t="n">
        <v>0</v>
      </c>
      <c r="AB92" t="n">
        <v>0</v>
      </c>
      <c r="AC92" s="64" t="n"/>
      <c r="AD92" s="64" t="n"/>
      <c r="AE92" s="64" t="n"/>
      <c r="AF92" s="64" t="n"/>
      <c r="AG92" s="64" t="n"/>
      <c r="AH92" s="6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93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3.85546875" customWidth="1" min="28" max="28"/>
    <col width="13.28515625" customWidth="1" min="29" max="29"/>
    <col width="11.710937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90127.90999999999</v>
      </c>
      <c r="C8" s="34" t="n">
        <v>88433.53</v>
      </c>
      <c r="D8" s="34" t="n">
        <v>101717.62</v>
      </c>
      <c r="E8" s="34" t="n">
        <v>123108.26</v>
      </c>
      <c r="F8" s="34" t="n">
        <v>101424.03</v>
      </c>
      <c r="G8" s="34" t="n">
        <v>98545.44</v>
      </c>
      <c r="H8" s="34" t="n">
        <v>135043.1</v>
      </c>
      <c r="I8" s="34" t="n">
        <v>116087.09</v>
      </c>
      <c r="J8" s="34" t="n">
        <v>76338.57999999999</v>
      </c>
      <c r="K8" s="34" t="n">
        <v>73833.87</v>
      </c>
      <c r="L8" s="34" t="n">
        <v>66718.14</v>
      </c>
      <c r="M8" s="34" t="n">
        <v>89303.53999999999</v>
      </c>
      <c r="N8" s="35" t="n">
        <v>1160681.11</v>
      </c>
      <c r="O8" s="36" t="n">
        <v>70022.3</v>
      </c>
      <c r="P8" s="36" t="n">
        <v>73148.5</v>
      </c>
      <c r="Q8" s="36" t="n">
        <v>89497.3</v>
      </c>
      <c r="R8" s="36" t="n">
        <v>100124</v>
      </c>
      <c r="S8" s="36" t="n">
        <v>84922.7</v>
      </c>
      <c r="T8" s="36" t="n">
        <v>96792.5</v>
      </c>
      <c r="U8" s="37" t="n">
        <v>0</v>
      </c>
      <c r="V8" s="37" t="n"/>
      <c r="W8" s="37" t="n"/>
      <c r="X8" s="37" t="n"/>
      <c r="Y8" s="37" t="n"/>
      <c r="Z8" s="37" t="n"/>
      <c r="AA8" s="35" t="n">
        <v>514507.3</v>
      </c>
      <c r="AB8" s="35" t="n">
        <v>514507.3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36627.8</v>
      </c>
      <c r="C9" s="34" t="n">
        <v>47103.24</v>
      </c>
      <c r="D9" s="34" t="n">
        <v>68262.16</v>
      </c>
      <c r="E9" s="34" t="n">
        <v>28041.95</v>
      </c>
      <c r="F9" s="34" t="n">
        <v>28041.87</v>
      </c>
      <c r="G9" s="34" t="n">
        <v>50212.97</v>
      </c>
      <c r="H9" s="34" t="n">
        <v>66554.07000000001</v>
      </c>
      <c r="I9" s="34" t="n">
        <v>0</v>
      </c>
      <c r="J9" s="34" t="n">
        <v>33183.55</v>
      </c>
      <c r="K9" s="34" t="n">
        <v>33183.54</v>
      </c>
      <c r="L9" s="34" t="n">
        <v>64228.87</v>
      </c>
      <c r="M9" s="34" t="n">
        <v>64994.99999999999</v>
      </c>
      <c r="N9" s="35" t="n">
        <v>520435.02</v>
      </c>
      <c r="O9" s="36" t="n">
        <v>42977.4</v>
      </c>
      <c r="P9" s="36" t="n">
        <v>63323.6</v>
      </c>
      <c r="Q9" s="36" t="n">
        <v>67184.2</v>
      </c>
      <c r="R9" s="36" t="n">
        <v>57737.4</v>
      </c>
      <c r="S9" s="36" t="n">
        <v>55493.4</v>
      </c>
      <c r="T9" s="36" t="n">
        <v>60276.8</v>
      </c>
      <c r="U9" s="37" t="n">
        <v>0</v>
      </c>
      <c r="V9" s="37" t="n"/>
      <c r="W9" s="37" t="n"/>
      <c r="X9" s="37" t="n"/>
      <c r="Y9" s="37" t="n"/>
      <c r="Z9" s="37" t="n"/>
      <c r="AA9" s="35" t="n">
        <v>346992.8</v>
      </c>
      <c r="AB9" s="35" t="n">
        <v>346992.8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393.25</v>
      </c>
      <c r="C10" s="34" t="n">
        <v>300</v>
      </c>
      <c r="D10" s="34" t="n">
        <v>540</v>
      </c>
      <c r="E10" s="34" t="n">
        <v>450</v>
      </c>
      <c r="F10" s="34" t="n">
        <v>450</v>
      </c>
      <c r="G10" s="34" t="n">
        <v>540</v>
      </c>
      <c r="H10" s="34" t="n">
        <v>1022.69</v>
      </c>
      <c r="I10" s="34" t="n">
        <v>8804.66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12620.6</v>
      </c>
      <c r="O10" s="36" t="n">
        <v>59.5</v>
      </c>
      <c r="P10" s="36" t="n">
        <v>0</v>
      </c>
      <c r="Q10" s="36" t="n">
        <v>369.3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428.8</v>
      </c>
      <c r="AB10" s="35" t="n">
        <v>428.8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127148.96</v>
      </c>
      <c r="C11" s="41" t="n">
        <v>135836.77</v>
      </c>
      <c r="D11" s="41" t="n">
        <v>170519.78</v>
      </c>
      <c r="E11" s="41" t="n">
        <v>151600.21</v>
      </c>
      <c r="F11" s="41" t="n">
        <v>129915.9</v>
      </c>
      <c r="G11" s="41" t="n">
        <v>149298.41</v>
      </c>
      <c r="H11" s="41" t="n">
        <v>202619.86</v>
      </c>
      <c r="I11" s="41" t="n">
        <v>124891.75</v>
      </c>
      <c r="J11" s="41" t="n">
        <v>109522.13</v>
      </c>
      <c r="K11" s="41" t="n">
        <v>107047.41</v>
      </c>
      <c r="L11" s="41" t="n">
        <v>130947.01</v>
      </c>
      <c r="M11" s="41" t="n">
        <v>154388.54</v>
      </c>
      <c r="N11" s="42" t="n">
        <v>1693736.73</v>
      </c>
      <c r="O11" s="43" t="n">
        <v>113059.2</v>
      </c>
      <c r="P11" s="43" t="n">
        <v>136472.1</v>
      </c>
      <c r="Q11" s="43" t="n">
        <v>157050.8</v>
      </c>
      <c r="R11" s="43" t="n">
        <v>157861.4</v>
      </c>
      <c r="S11" s="43" t="n">
        <v>140416.1</v>
      </c>
      <c r="T11" s="43" t="n">
        <v>157069.3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861928.9</v>
      </c>
      <c r="AB11" s="42" t="n">
        <v>861928.9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72506.14999999999</v>
      </c>
      <c r="C16" s="34" t="n">
        <v>71668.72</v>
      </c>
      <c r="D16" s="34" t="n">
        <v>73720.41</v>
      </c>
      <c r="E16" s="34" t="n">
        <v>79326.19</v>
      </c>
      <c r="F16" s="34" t="n">
        <v>83334.39</v>
      </c>
      <c r="G16" s="34" t="n">
        <v>73949.95000000001</v>
      </c>
      <c r="H16" s="34" t="n">
        <v>81163.78</v>
      </c>
      <c r="I16" s="34" t="n">
        <v>73227.16</v>
      </c>
      <c r="J16" s="34" t="n">
        <v>69726.45999999999</v>
      </c>
      <c r="K16" s="34" t="n">
        <v>75115.68000000001</v>
      </c>
      <c r="L16" s="34" t="n">
        <v>73377.87</v>
      </c>
      <c r="M16" s="34" t="n">
        <v>78299.22</v>
      </c>
      <c r="N16" s="35" t="n">
        <v>905415.98</v>
      </c>
      <c r="O16" s="36" t="n">
        <v>83456.27</v>
      </c>
      <c r="P16" s="36" t="n">
        <v>77048.89</v>
      </c>
      <c r="Q16" s="36" t="n">
        <v>91001.41</v>
      </c>
      <c r="R16" s="36" t="n">
        <v>91009</v>
      </c>
      <c r="S16" s="36" t="n">
        <v>88009.99000000001</v>
      </c>
      <c r="T16" s="36" t="n">
        <v>91613.97</v>
      </c>
      <c r="U16" s="37" t="n">
        <v>0</v>
      </c>
      <c r="V16" s="37" t="n"/>
      <c r="W16" s="37" t="n"/>
      <c r="X16" s="37" t="n"/>
      <c r="Y16" s="37" t="n"/>
      <c r="Z16" s="37" t="n"/>
      <c r="AA16" s="35" t="n">
        <v>522139.53</v>
      </c>
      <c r="AB16" s="35" t="n">
        <v>522139.53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5765.53</v>
      </c>
      <c r="C17" s="34" t="n">
        <v>5605.47</v>
      </c>
      <c r="D17" s="34" t="n">
        <v>5730.700000000001</v>
      </c>
      <c r="E17" s="34" t="n">
        <v>8515.060000000001</v>
      </c>
      <c r="F17" s="34" t="n">
        <v>8799.08</v>
      </c>
      <c r="G17" s="34" t="n">
        <v>8016.01</v>
      </c>
      <c r="H17" s="34" t="n">
        <v>9476.189999999999</v>
      </c>
      <c r="I17" s="34" t="n">
        <v>8153.210000000001</v>
      </c>
      <c r="J17" s="34" t="n">
        <v>7769.9</v>
      </c>
      <c r="K17" s="34" t="n">
        <v>8561.279999999999</v>
      </c>
      <c r="L17" s="34" t="n">
        <v>8302.65</v>
      </c>
      <c r="M17" s="34" t="n">
        <v>8904.220000000001</v>
      </c>
      <c r="N17" s="35" t="n">
        <v>93599.3</v>
      </c>
      <c r="O17" s="36" t="n">
        <v>9355.030000000001</v>
      </c>
      <c r="P17" s="36" t="n">
        <v>8609.690000000001</v>
      </c>
      <c r="Q17" s="36" t="n">
        <v>9809</v>
      </c>
      <c r="R17" s="36" t="n">
        <v>9905.200000000001</v>
      </c>
      <c r="S17" s="36" t="n">
        <v>9589.65</v>
      </c>
      <c r="T17" s="36" t="n">
        <v>10084.53</v>
      </c>
      <c r="U17" s="37" t="n">
        <v>0</v>
      </c>
      <c r="V17" s="37" t="n"/>
      <c r="W17" s="37" t="n"/>
      <c r="X17" s="37" t="n"/>
      <c r="Y17" s="37" t="n"/>
      <c r="Z17" s="37" t="n"/>
      <c r="AA17" s="35" t="n">
        <v>57353.10000000001</v>
      </c>
      <c r="AB17" s="35" t="n">
        <v>57353.10000000001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1436.68</v>
      </c>
      <c r="C18" s="34" t="n">
        <v>1438.47</v>
      </c>
      <c r="D18" s="34" t="n">
        <v>1446.91</v>
      </c>
      <c r="E18" s="34" t="n">
        <v>1521.1</v>
      </c>
      <c r="F18" s="34" t="n">
        <v>1496.06</v>
      </c>
      <c r="G18" s="34" t="n">
        <v>1434.19</v>
      </c>
      <c r="H18" s="34" t="n">
        <v>1751.17</v>
      </c>
      <c r="I18" s="34" t="n">
        <v>1486.51</v>
      </c>
      <c r="J18" s="34" t="n">
        <v>1416.29</v>
      </c>
      <c r="K18" s="34" t="n">
        <v>1578.64</v>
      </c>
      <c r="L18" s="34" t="n">
        <v>1552.95</v>
      </c>
      <c r="M18" s="34" t="n">
        <v>1618.17</v>
      </c>
      <c r="N18" s="35" t="n">
        <v>18177.14</v>
      </c>
      <c r="O18" s="36" t="n">
        <v>1735.78</v>
      </c>
      <c r="P18" s="36" t="n">
        <v>1515.17</v>
      </c>
      <c r="Q18" s="36" t="n">
        <v>1682.09</v>
      </c>
      <c r="R18" s="36" t="n">
        <v>1700.35</v>
      </c>
      <c r="S18" s="36" t="n">
        <v>1748.7</v>
      </c>
      <c r="T18" s="36" t="n">
        <v>1770.37</v>
      </c>
      <c r="U18" s="37" t="n">
        <v>0</v>
      </c>
      <c r="V18" s="37" t="n"/>
      <c r="W18" s="37" t="n"/>
      <c r="X18" s="37" t="n"/>
      <c r="Y18" s="37" t="n"/>
      <c r="Z18" s="37" t="n"/>
      <c r="AA18" s="35" t="n">
        <v>10152.46</v>
      </c>
      <c r="AB18" s="35" t="n">
        <v>10152.46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530.7199999999999</v>
      </c>
      <c r="D19" s="34" t="n">
        <v>122.75</v>
      </c>
      <c r="E19" s="34" t="n">
        <v>251.62</v>
      </c>
      <c r="F19" s="34" t="n">
        <v>91.02</v>
      </c>
      <c r="G19" s="34" t="n">
        <v>0</v>
      </c>
      <c r="H19" s="34" t="n">
        <v>91.14</v>
      </c>
      <c r="I19" s="34" t="n">
        <v>100.14</v>
      </c>
      <c r="J19" s="34" t="n">
        <v>128.12</v>
      </c>
      <c r="K19" s="34" t="n">
        <v>163.98</v>
      </c>
      <c r="L19" s="34" t="n">
        <v>39.54</v>
      </c>
      <c r="M19" s="34" t="n">
        <v>24.98</v>
      </c>
      <c r="N19" s="35" t="n">
        <v>1544.01</v>
      </c>
      <c r="O19" s="36" t="n">
        <v>235.83</v>
      </c>
      <c r="P19" s="36" t="n">
        <v>152.88</v>
      </c>
      <c r="Q19" s="36" t="n">
        <v>8.99</v>
      </c>
      <c r="R19" s="36" t="n">
        <v>238.44</v>
      </c>
      <c r="S19" s="36" t="n">
        <v>207.84</v>
      </c>
      <c r="T19" s="36" t="n">
        <v>51.24</v>
      </c>
      <c r="U19" s="37" t="n">
        <v>0</v>
      </c>
      <c r="V19" s="37" t="n"/>
      <c r="W19" s="37" t="n"/>
      <c r="X19" s="37" t="n"/>
      <c r="Y19" s="37" t="n"/>
      <c r="Z19" s="37" t="n"/>
      <c r="AA19" s="35" t="n">
        <v>895.22</v>
      </c>
      <c r="AB19" s="35" t="n">
        <v>895.22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129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306</v>
      </c>
      <c r="H20" s="34" t="n">
        <v>186</v>
      </c>
      <c r="I20" s="34" t="n">
        <v>120.3</v>
      </c>
      <c r="J20" s="34" t="n">
        <v>282.76</v>
      </c>
      <c r="K20" s="34" t="n">
        <v>37.2</v>
      </c>
      <c r="L20" s="34" t="n">
        <v>37.2</v>
      </c>
      <c r="M20" s="34" t="n">
        <v>13</v>
      </c>
      <c r="N20" s="35" t="n">
        <v>1151.46</v>
      </c>
      <c r="O20" s="36" t="n">
        <v>42.97</v>
      </c>
      <c r="P20" s="36" t="n">
        <v>1046</v>
      </c>
      <c r="Q20" s="36" t="n">
        <v>384.2</v>
      </c>
      <c r="R20" s="36" t="n">
        <v>1187</v>
      </c>
      <c r="S20" s="36" t="n">
        <v>594</v>
      </c>
      <c r="T20" s="36" t="n">
        <v>29</v>
      </c>
      <c r="U20" s="37" t="n">
        <v>0</v>
      </c>
      <c r="V20" s="37" t="n"/>
      <c r="W20" s="37" t="n"/>
      <c r="X20" s="37" t="n"/>
      <c r="Y20" s="37" t="n"/>
      <c r="Z20" s="37" t="n"/>
      <c r="AA20" s="35" t="n">
        <v>3283.17</v>
      </c>
      <c r="AB20" s="35" t="n">
        <v>3283.17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612.02</v>
      </c>
      <c r="C21" s="34" t="n">
        <v>728.79</v>
      </c>
      <c r="D21" s="34" t="n">
        <v>490.36</v>
      </c>
      <c r="E21" s="34" t="n">
        <v>896.1399999999998</v>
      </c>
      <c r="F21" s="34" t="n">
        <v>499.6300000000001</v>
      </c>
      <c r="G21" s="34" t="n">
        <v>332.83</v>
      </c>
      <c r="H21" s="34" t="n">
        <v>742.53</v>
      </c>
      <c r="I21" s="34" t="n">
        <v>485.28</v>
      </c>
      <c r="J21" s="34" t="n">
        <v>707.6899999999999</v>
      </c>
      <c r="K21" s="34" t="n">
        <v>892.4599999999999</v>
      </c>
      <c r="L21" s="34" t="n">
        <v>297.42</v>
      </c>
      <c r="M21" s="34" t="n">
        <v>380.47</v>
      </c>
      <c r="N21" s="35" t="n">
        <v>7065.62</v>
      </c>
      <c r="O21" s="36" t="n">
        <v>450.69</v>
      </c>
      <c r="P21" s="36" t="n">
        <v>584.39</v>
      </c>
      <c r="Q21" s="36" t="n">
        <v>293.84</v>
      </c>
      <c r="R21" s="36" t="n">
        <v>227.44</v>
      </c>
      <c r="S21" s="36" t="n">
        <v>448.58</v>
      </c>
      <c r="T21" s="36" t="n">
        <v>720.46</v>
      </c>
      <c r="U21" s="37" t="n">
        <v>0</v>
      </c>
      <c r="V21" s="37" t="n"/>
      <c r="W21" s="37" t="n"/>
      <c r="X21" s="37" t="n"/>
      <c r="Y21" s="37" t="n"/>
      <c r="Z21" s="37" t="n"/>
      <c r="AA21" s="35" t="n">
        <v>2725.4</v>
      </c>
      <c r="AB21" s="35" t="n">
        <v>2725.4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142.79</v>
      </c>
      <c r="I23" s="34" t="n">
        <v>138.75</v>
      </c>
      <c r="J23" s="34" t="n">
        <v>158.46</v>
      </c>
      <c r="K23" s="34" t="n">
        <v>82.36</v>
      </c>
      <c r="L23" s="34" t="n">
        <v>127.5</v>
      </c>
      <c r="M23" s="34" t="n">
        <v>78.98999999999999</v>
      </c>
      <c r="N23" s="35" t="n">
        <v>728.85</v>
      </c>
      <c r="O23" s="36" t="n">
        <v>33.98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11.39</v>
      </c>
      <c r="U23" s="37" t="n">
        <v>0</v>
      </c>
      <c r="V23" s="37" t="n"/>
      <c r="W23" s="37" t="n"/>
      <c r="X23" s="37" t="n"/>
      <c r="Y23" s="37" t="n"/>
      <c r="Z23" s="37" t="n"/>
      <c r="AA23" s="35" t="n">
        <v>106.31</v>
      </c>
      <c r="AB23" s="35" t="n">
        <v>106.31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879.8200000000001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80449.37999999999</v>
      </c>
      <c r="C25" s="41" t="n">
        <v>80189.5</v>
      </c>
      <c r="D25" s="41" t="n">
        <v>81511.13</v>
      </c>
      <c r="E25" s="41" t="n">
        <v>90510.11</v>
      </c>
      <c r="F25" s="41" t="n">
        <v>96177.78</v>
      </c>
      <c r="G25" s="41" t="n">
        <v>84419.56000000001</v>
      </c>
      <c r="H25" s="41" t="n">
        <v>93553.59999999999</v>
      </c>
      <c r="I25" s="41" t="n">
        <v>83711.35000000001</v>
      </c>
      <c r="J25" s="41" t="n">
        <v>80189.67999999999</v>
      </c>
      <c r="K25" s="41" t="n">
        <v>87094.09000000001</v>
      </c>
      <c r="L25" s="41" t="n">
        <v>83735.12999999999</v>
      </c>
      <c r="M25" s="41" t="n">
        <v>89319.05</v>
      </c>
      <c r="N25" s="42" t="n">
        <v>1030860.36</v>
      </c>
      <c r="O25" s="43" t="n">
        <v>95310.55</v>
      </c>
      <c r="P25" s="43" t="n">
        <v>88975.99000000001</v>
      </c>
      <c r="Q25" s="43" t="n">
        <v>103191.52</v>
      </c>
      <c r="R25" s="43" t="n">
        <v>104267.43</v>
      </c>
      <c r="S25" s="43" t="n">
        <v>100628.74</v>
      </c>
      <c r="T25" s="43" t="n">
        <v>104280.96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596655.1900000001</v>
      </c>
      <c r="AB25" s="42" t="n">
        <v>596655.1900000001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3486.8</v>
      </c>
      <c r="C27" s="34" t="n">
        <v>4436.02</v>
      </c>
      <c r="D27" s="34" t="n">
        <v>3753.959999999999</v>
      </c>
      <c r="E27" s="34" t="n">
        <v>3632.41</v>
      </c>
      <c r="F27" s="34" t="n">
        <v>4941.57</v>
      </c>
      <c r="G27" s="34" t="n">
        <v>4203.429999999999</v>
      </c>
      <c r="H27" s="34" t="n">
        <v>4653.66</v>
      </c>
      <c r="I27" s="34" t="n">
        <v>4412.52</v>
      </c>
      <c r="J27" s="34" t="n">
        <v>3173.719999999999</v>
      </c>
      <c r="K27" s="34" t="n">
        <v>3893.77</v>
      </c>
      <c r="L27" s="34" t="n">
        <v>3833.63</v>
      </c>
      <c r="M27" s="34" t="n">
        <v>3176.019999999999</v>
      </c>
      <c r="N27" s="35" t="n">
        <v>47597.50999999999</v>
      </c>
      <c r="O27" s="36" t="n">
        <v>3313.15</v>
      </c>
      <c r="P27" s="36" t="n">
        <v>3328.44</v>
      </c>
      <c r="Q27" s="36" t="n">
        <v>3498.57</v>
      </c>
      <c r="R27" s="36" t="n">
        <v>3874.9</v>
      </c>
      <c r="S27" s="36" t="n">
        <v>3354.55</v>
      </c>
      <c r="T27" s="36" t="n">
        <v>3965.25</v>
      </c>
      <c r="U27" s="37" t="n">
        <v>0</v>
      </c>
      <c r="V27" s="37" t="n"/>
      <c r="W27" s="37" t="n"/>
      <c r="X27" s="37" t="n"/>
      <c r="Y27" s="37" t="n"/>
      <c r="Z27" s="37" t="n"/>
      <c r="AA27" s="35" t="n">
        <v>21334.86</v>
      </c>
      <c r="AB27" s="35" t="n">
        <v>21334.86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553.97</v>
      </c>
      <c r="C28" s="34" t="n">
        <v>366.79</v>
      </c>
      <c r="D28" s="34" t="n">
        <v>460.3</v>
      </c>
      <c r="E28" s="34" t="n">
        <v>1071.96</v>
      </c>
      <c r="F28" s="34" t="n">
        <v>1666.99</v>
      </c>
      <c r="G28" s="34" t="n">
        <v>544.8200000000001</v>
      </c>
      <c r="H28" s="34" t="n">
        <v>841.02</v>
      </c>
      <c r="I28" s="34" t="n">
        <v>555.03</v>
      </c>
      <c r="J28" s="34" t="n">
        <v>769.3399999999999</v>
      </c>
      <c r="K28" s="34" t="n">
        <v>103.34</v>
      </c>
      <c r="L28" s="34" t="n">
        <v>246.05</v>
      </c>
      <c r="M28" s="34" t="n">
        <v>153.25</v>
      </c>
      <c r="N28" s="35" t="n">
        <v>7332.86</v>
      </c>
      <c r="O28" s="36" t="n">
        <v>376.51</v>
      </c>
      <c r="P28" s="36" t="n">
        <v>911.39</v>
      </c>
      <c r="Q28" s="36" t="n">
        <v>319.4</v>
      </c>
      <c r="R28" s="36" t="n">
        <v>265.02</v>
      </c>
      <c r="S28" s="36" t="n">
        <v>245.36</v>
      </c>
      <c r="T28" s="36" t="n">
        <v>2487.87</v>
      </c>
      <c r="U28" s="37" t="n">
        <v>0</v>
      </c>
      <c r="V28" s="37" t="n"/>
      <c r="W28" s="37" t="n"/>
      <c r="X28" s="37" t="n"/>
      <c r="Y28" s="37" t="n"/>
      <c r="Z28" s="37" t="n"/>
      <c r="AA28" s="35" t="n">
        <v>4605.55</v>
      </c>
      <c r="AB28" s="35" t="n">
        <v>4605.55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471.52</v>
      </c>
      <c r="C29" s="34" t="n">
        <v>667.4199999999998</v>
      </c>
      <c r="D29" s="34" t="n">
        <v>173.17</v>
      </c>
      <c r="E29" s="34" t="n">
        <v>225.2</v>
      </c>
      <c r="F29" s="34" t="n">
        <v>362.05</v>
      </c>
      <c r="G29" s="34" t="n">
        <v>294.42</v>
      </c>
      <c r="H29" s="34" t="n">
        <v>200.35</v>
      </c>
      <c r="I29" s="34" t="n">
        <v>268.53</v>
      </c>
      <c r="J29" s="34" t="n">
        <v>137.82</v>
      </c>
      <c r="K29" s="34" t="n">
        <v>413.39</v>
      </c>
      <c r="L29" s="34" t="n">
        <v>460.89</v>
      </c>
      <c r="M29" s="34" t="n">
        <v>312.44</v>
      </c>
      <c r="N29" s="35" t="n">
        <v>3987.2</v>
      </c>
      <c r="O29" s="36" t="n">
        <v>98.58</v>
      </c>
      <c r="P29" s="36" t="n">
        <v>304.07</v>
      </c>
      <c r="Q29" s="36" t="n">
        <v>272.75</v>
      </c>
      <c r="R29" s="36" t="n">
        <v>206.06</v>
      </c>
      <c r="S29" s="36" t="n">
        <v>137.42</v>
      </c>
      <c r="T29" s="36" t="n">
        <v>177.8</v>
      </c>
      <c r="U29" s="37" t="n">
        <v>-8.900000000000001e-16</v>
      </c>
      <c r="V29" s="37" t="n"/>
      <c r="W29" s="37" t="n"/>
      <c r="X29" s="37" t="n"/>
      <c r="Y29" s="37" t="n"/>
      <c r="Z29" s="37" t="n"/>
      <c r="AA29" s="35" t="n">
        <v>1196.68</v>
      </c>
      <c r="AB29" s="35" t="n">
        <v>1196.68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153.59</v>
      </c>
      <c r="C31" s="34" t="n">
        <v>449.7599999999999</v>
      </c>
      <c r="D31" s="34" t="n">
        <v>649.5799999999999</v>
      </c>
      <c r="E31" s="34" t="n">
        <v>115.08</v>
      </c>
      <c r="F31" s="34" t="n">
        <v>666.6900000000001</v>
      </c>
      <c r="G31" s="34" t="n">
        <v>166.09</v>
      </c>
      <c r="H31" s="34" t="n">
        <v>255.14</v>
      </c>
      <c r="I31" s="34" t="n">
        <v>169.81</v>
      </c>
      <c r="J31" s="34" t="n">
        <v>146.99</v>
      </c>
      <c r="K31" s="34" t="n">
        <v>752.9499999999999</v>
      </c>
      <c r="L31" s="34" t="n">
        <v>55.19</v>
      </c>
      <c r="M31" s="34" t="n">
        <v>180.45</v>
      </c>
      <c r="N31" s="35" t="n">
        <v>3761.32</v>
      </c>
      <c r="O31" s="36" t="n">
        <v>66.31999999999999</v>
      </c>
      <c r="P31" s="36" t="n">
        <v>317.84</v>
      </c>
      <c r="Q31" s="36" t="n">
        <v>131.18</v>
      </c>
      <c r="R31" s="36" t="n">
        <v>352.43</v>
      </c>
      <c r="S31" s="36" t="n">
        <v>39.47</v>
      </c>
      <c r="T31" s="36" t="n">
        <v>461.39</v>
      </c>
      <c r="U31" s="37" t="n">
        <v>0</v>
      </c>
      <c r="V31" s="37" t="n"/>
      <c r="W31" s="37" t="n"/>
      <c r="X31" s="37" t="n"/>
      <c r="Y31" s="37" t="n"/>
      <c r="Z31" s="37" t="n"/>
      <c r="AA31" s="35" t="n">
        <v>1368.63</v>
      </c>
      <c r="AB31" s="35" t="n">
        <v>1368.63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197.98</v>
      </c>
      <c r="C32" s="34" t="n">
        <v>451.74</v>
      </c>
      <c r="D32" s="34" t="n">
        <v>490.08</v>
      </c>
      <c r="E32" s="34" t="n">
        <v>283.9</v>
      </c>
      <c r="F32" s="34" t="n">
        <v>244.65</v>
      </c>
      <c r="G32" s="34" t="n">
        <v>296.47</v>
      </c>
      <c r="H32" s="34" t="n">
        <v>303.94</v>
      </c>
      <c r="I32" s="34" t="n">
        <v>713.0799999999999</v>
      </c>
      <c r="J32" s="34" t="n">
        <v>288.32</v>
      </c>
      <c r="K32" s="34" t="n">
        <v>469.11</v>
      </c>
      <c r="L32" s="34" t="n">
        <v>222.69</v>
      </c>
      <c r="M32" s="34" t="n">
        <v>499.3</v>
      </c>
      <c r="N32" s="35" t="n">
        <v>4461.26</v>
      </c>
      <c r="O32" s="36" t="n">
        <v>309.16</v>
      </c>
      <c r="P32" s="36" t="n">
        <v>741.0799999999999</v>
      </c>
      <c r="Q32" s="36" t="n">
        <v>477.76</v>
      </c>
      <c r="R32" s="36" t="n">
        <v>880.35</v>
      </c>
      <c r="S32" s="36" t="n">
        <v>759.09</v>
      </c>
      <c r="T32" s="36" t="n">
        <v>718.79</v>
      </c>
      <c r="U32" s="37" t="n">
        <v>0</v>
      </c>
      <c r="V32" s="37" t="n"/>
      <c r="W32" s="37" t="n"/>
      <c r="X32" s="37" t="n"/>
      <c r="Y32" s="37" t="n"/>
      <c r="Z32" s="37" t="n"/>
      <c r="AA32" s="35" t="n">
        <v>3886.23</v>
      </c>
      <c r="AB32" s="35" t="n">
        <v>3886.23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4863.860000000001</v>
      </c>
      <c r="C34" s="41" t="n">
        <v>6371.73</v>
      </c>
      <c r="D34" s="41" t="n">
        <v>5527.089999999999</v>
      </c>
      <c r="E34" s="41" t="n">
        <v>5328.55</v>
      </c>
      <c r="F34" s="41" t="n">
        <v>7881.95</v>
      </c>
      <c r="G34" s="41" t="n">
        <v>5505.23</v>
      </c>
      <c r="H34" s="41" t="n">
        <v>6254.11</v>
      </c>
      <c r="I34" s="41" t="n">
        <v>6118.97</v>
      </c>
      <c r="J34" s="41" t="n">
        <v>4516.189999999999</v>
      </c>
      <c r="K34" s="41" t="n">
        <v>5632.559999999999</v>
      </c>
      <c r="L34" s="41" t="n">
        <v>4818.45</v>
      </c>
      <c r="M34" s="41" t="n">
        <v>4321.459999999999</v>
      </c>
      <c r="N34" s="42" t="n">
        <v>67140.14999999999</v>
      </c>
      <c r="O34" s="43" t="n">
        <v>4163.72</v>
      </c>
      <c r="P34" s="43" t="n">
        <v>5602.82</v>
      </c>
      <c r="Q34" s="43" t="n">
        <v>4699.66</v>
      </c>
      <c r="R34" s="43" t="n">
        <v>5578.76</v>
      </c>
      <c r="S34" s="43" t="n">
        <v>4535.89</v>
      </c>
      <c r="T34" s="43" t="n">
        <v>7811.099999999999</v>
      </c>
      <c r="U34" s="44" t="n">
        <v>-8.900000000000001e-16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32391.95</v>
      </c>
      <c r="AB34" s="42" t="n">
        <v>32391.95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4216</v>
      </c>
      <c r="C37" s="34" t="n">
        <v>4216</v>
      </c>
      <c r="D37" s="34" t="n">
        <v>4252.88</v>
      </c>
      <c r="E37" s="34" t="n">
        <v>4215.96</v>
      </c>
      <c r="F37" s="34" t="n">
        <v>4215.97</v>
      </c>
      <c r="G37" s="34" t="n">
        <v>4215.96</v>
      </c>
      <c r="H37" s="34" t="n">
        <v>4215.96</v>
      </c>
      <c r="I37" s="34" t="n">
        <v>4215.96</v>
      </c>
      <c r="J37" s="34" t="n">
        <v>4215.96</v>
      </c>
      <c r="K37" s="34" t="n">
        <v>4215.96</v>
      </c>
      <c r="L37" s="34" t="n">
        <v>4215.96</v>
      </c>
      <c r="M37" s="34" t="n">
        <v>4215.96</v>
      </c>
      <c r="N37" s="35" t="n">
        <v>50628.53</v>
      </c>
      <c r="O37" s="36" t="n">
        <v>4216</v>
      </c>
      <c r="P37" s="36" t="n">
        <v>4215.96</v>
      </c>
      <c r="Q37" s="36" t="n">
        <v>4179.07</v>
      </c>
      <c r="R37" s="36" t="n">
        <v>4897.87</v>
      </c>
      <c r="S37" s="36" t="n">
        <v>4897.87</v>
      </c>
      <c r="T37" s="36" t="n">
        <v>4897.87</v>
      </c>
      <c r="U37" s="37" t="n">
        <v>0</v>
      </c>
      <c r="V37" s="37" t="n"/>
      <c r="W37" s="37" t="n"/>
      <c r="X37" s="37" t="n"/>
      <c r="Y37" s="37" t="n"/>
      <c r="Z37" s="37" t="n"/>
      <c r="AA37" s="35" t="n">
        <v>27304.64</v>
      </c>
      <c r="AB37" s="35" t="n">
        <v>27304.64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7293.17</v>
      </c>
      <c r="C38" s="34" t="n">
        <v>3581.979999999997</v>
      </c>
      <c r="D38" s="34" t="n">
        <v>6113.52</v>
      </c>
      <c r="E38" s="34" t="n">
        <v>6572.95</v>
      </c>
      <c r="F38" s="34" t="n">
        <v>8871.389999999999</v>
      </c>
      <c r="G38" s="34" t="n">
        <v>3397.38</v>
      </c>
      <c r="H38" s="34" t="n">
        <v>3556.85</v>
      </c>
      <c r="I38" s="34" t="n">
        <v>1130.46</v>
      </c>
      <c r="J38" s="34" t="n">
        <v>1301.95</v>
      </c>
      <c r="K38" s="34" t="n">
        <v>4209.12</v>
      </c>
      <c r="L38" s="34" t="n">
        <v>4857.27</v>
      </c>
      <c r="M38" s="34" t="n">
        <v>3314.26</v>
      </c>
      <c r="N38" s="35" t="n">
        <v>54200.3</v>
      </c>
      <c r="O38" s="36" t="n">
        <v>7554.360000000001</v>
      </c>
      <c r="P38" s="36" t="n">
        <v>9826.530000000001</v>
      </c>
      <c r="Q38" s="36" t="n">
        <v>5390.43</v>
      </c>
      <c r="R38" s="36" t="n">
        <v>4485.809999999999</v>
      </c>
      <c r="S38" s="36" t="n">
        <v>4077.99</v>
      </c>
      <c r="T38" s="36" t="n">
        <v>5354.320000000001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33986</v>
      </c>
      <c r="AB38" s="35" t="n">
        <v>33986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3574.13</v>
      </c>
      <c r="C39" s="34" t="n">
        <v>646.99</v>
      </c>
      <c r="D39" s="34" t="n">
        <v>1700.16</v>
      </c>
      <c r="E39" s="34" t="n">
        <v>734.7900000000001</v>
      </c>
      <c r="F39" s="34" t="n">
        <v>1195.08</v>
      </c>
      <c r="G39" s="34" t="n">
        <v>1138.4</v>
      </c>
      <c r="H39" s="34" t="n">
        <v>242.08</v>
      </c>
      <c r="I39" s="34" t="n">
        <v>1720.8</v>
      </c>
      <c r="J39" s="34" t="n">
        <v>1954.24</v>
      </c>
      <c r="K39" s="34" t="n">
        <v>1703.11</v>
      </c>
      <c r="L39" s="34" t="n">
        <v>1295.370000000001</v>
      </c>
      <c r="M39" s="34" t="n">
        <v>824.37</v>
      </c>
      <c r="N39" s="35" t="n">
        <v>16729.52</v>
      </c>
      <c r="O39" s="36" t="n">
        <v>1639.42</v>
      </c>
      <c r="P39" s="36" t="n">
        <v>695.3</v>
      </c>
      <c r="Q39" s="36" t="n">
        <v>178.81</v>
      </c>
      <c r="R39" s="36" t="n">
        <v>422.06</v>
      </c>
      <c r="S39" s="36" t="n">
        <v>150.86</v>
      </c>
      <c r="T39" s="36" t="n">
        <v>598.5699999999999</v>
      </c>
      <c r="U39" s="37" t="n">
        <v>0</v>
      </c>
      <c r="V39" s="37" t="n"/>
      <c r="W39" s="37" t="n"/>
      <c r="X39" s="37" t="n"/>
      <c r="Y39" s="37" t="n"/>
      <c r="Z39" s="37" t="n"/>
      <c r="AA39" s="35" t="n">
        <v>3685.02</v>
      </c>
      <c r="AB39" s="35" t="n">
        <v>3685.02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844.7200000000001</v>
      </c>
      <c r="C40" s="34" t="n">
        <v>377.33</v>
      </c>
      <c r="D40" s="34" t="n">
        <v>660.41</v>
      </c>
      <c r="E40" s="34" t="n">
        <v>907.7100000000002</v>
      </c>
      <c r="F40" s="34" t="n">
        <v>1018.55</v>
      </c>
      <c r="G40" s="34" t="n">
        <v>404.7500000000001</v>
      </c>
      <c r="H40" s="34" t="n">
        <v>817.0799999999999</v>
      </c>
      <c r="I40" s="34" t="n">
        <v>506.95</v>
      </c>
      <c r="J40" s="34" t="n">
        <v>566.5</v>
      </c>
      <c r="K40" s="34" t="n">
        <v>721.65</v>
      </c>
      <c r="L40" s="34" t="n">
        <v>785.0700000000001</v>
      </c>
      <c r="M40" s="34" t="n">
        <v>302</v>
      </c>
      <c r="N40" s="35" t="n">
        <v>7912.72</v>
      </c>
      <c r="O40" s="36" t="n">
        <v>457.24</v>
      </c>
      <c r="P40" s="36" t="n">
        <v>598.9299999999999</v>
      </c>
      <c r="Q40" s="36" t="n">
        <v>511.44</v>
      </c>
      <c r="R40" s="36" t="n">
        <v>368.7</v>
      </c>
      <c r="S40" s="36" t="n">
        <v>253.96</v>
      </c>
      <c r="T40" s="36" t="n">
        <v>822.88</v>
      </c>
      <c r="U40" s="37" t="n">
        <v>0</v>
      </c>
      <c r="V40" s="37" t="n"/>
      <c r="W40" s="37" t="n"/>
      <c r="X40" s="37" t="n"/>
      <c r="Y40" s="37" t="n"/>
      <c r="Z40" s="37" t="n"/>
      <c r="AA40" s="35" t="n">
        <v>3013.15</v>
      </c>
      <c r="AB40" s="35" t="n">
        <v>3013.15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1040.38</v>
      </c>
      <c r="C41" s="34" t="n">
        <v>1029.28</v>
      </c>
      <c r="D41" s="34" t="n">
        <v>1216.85</v>
      </c>
      <c r="E41" s="34" t="n">
        <v>973.6900000000001</v>
      </c>
      <c r="F41" s="34" t="n">
        <v>1138.28</v>
      </c>
      <c r="G41" s="34" t="n">
        <v>1133.12</v>
      </c>
      <c r="H41" s="34" t="n">
        <v>1031.32</v>
      </c>
      <c r="I41" s="34" t="n">
        <v>940.5000000000001</v>
      </c>
      <c r="J41" s="34" t="n">
        <v>1474.52</v>
      </c>
      <c r="K41" s="34" t="n">
        <v>1086.24</v>
      </c>
      <c r="L41" s="34" t="n">
        <v>1096.32</v>
      </c>
      <c r="M41" s="34" t="n">
        <v>1192.64</v>
      </c>
      <c r="N41" s="35" t="n">
        <v>13353.14</v>
      </c>
      <c r="O41" s="36" t="n">
        <v>873.63</v>
      </c>
      <c r="P41" s="36" t="n">
        <v>1112.23</v>
      </c>
      <c r="Q41" s="36" t="n">
        <v>1272.28</v>
      </c>
      <c r="R41" s="36" t="n">
        <v>1073.87</v>
      </c>
      <c r="S41" s="36" t="n">
        <v>1244.74</v>
      </c>
      <c r="T41" s="36" t="n">
        <v>744.58</v>
      </c>
      <c r="U41" s="37" t="n">
        <v>0</v>
      </c>
      <c r="V41" s="37" t="n"/>
      <c r="W41" s="37" t="n"/>
      <c r="X41" s="37" t="n"/>
      <c r="Y41" s="37" t="n"/>
      <c r="Z41" s="37" t="n"/>
      <c r="AA41" s="35" t="n">
        <v>6321.33</v>
      </c>
      <c r="AB41" s="35" t="n">
        <v>6321.33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1244.08</v>
      </c>
      <c r="C42" s="34" t="n">
        <v>743.4699999999999</v>
      </c>
      <c r="D42" s="34" t="n">
        <v>841.4899999999999</v>
      </c>
      <c r="E42" s="34" t="n">
        <v>766.6400000000001</v>
      </c>
      <c r="F42" s="34" t="n">
        <v>673.5899999999999</v>
      </c>
      <c r="G42" s="34" t="n">
        <v>851.1600000000001</v>
      </c>
      <c r="H42" s="34" t="n">
        <v>606.1999999999999</v>
      </c>
      <c r="I42" s="34" t="n">
        <v>694.02</v>
      </c>
      <c r="J42" s="34" t="n">
        <v>694.27</v>
      </c>
      <c r="K42" s="34" t="n">
        <v>1186.23</v>
      </c>
      <c r="L42" s="34" t="n">
        <v>747.63</v>
      </c>
      <c r="M42" s="34" t="n">
        <v>784.53</v>
      </c>
      <c r="N42" s="35" t="n">
        <v>9833.309999999999</v>
      </c>
      <c r="O42" s="36" t="n">
        <v>9532.150000000001</v>
      </c>
      <c r="P42" s="36" t="n">
        <v>790.5</v>
      </c>
      <c r="Q42" s="36" t="n">
        <v>1082.46</v>
      </c>
      <c r="R42" s="36" t="n">
        <v>3675.34</v>
      </c>
      <c r="S42" s="36" t="n">
        <v>3630.03</v>
      </c>
      <c r="T42" s="36" t="n">
        <v>3286.41</v>
      </c>
      <c r="U42" s="37" t="n">
        <v>0</v>
      </c>
      <c r="V42" s="37" t="n"/>
      <c r="W42" s="37" t="n"/>
      <c r="X42" s="37" t="n"/>
      <c r="Y42" s="37" t="n"/>
      <c r="Z42" s="37" t="n"/>
      <c r="AA42" s="35" t="n">
        <v>21996.89</v>
      </c>
      <c r="AB42" s="35" t="n">
        <v>21996.89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164.71</v>
      </c>
      <c r="P43" s="36" t="n">
        <v>216.31</v>
      </c>
      <c r="Q43" s="36" t="n">
        <v>285.97</v>
      </c>
      <c r="R43" s="36" t="n">
        <v>409.78</v>
      </c>
      <c r="S43" s="36" t="n">
        <v>407.72</v>
      </c>
      <c r="T43" s="36" t="n">
        <v>458.83</v>
      </c>
      <c r="U43" s="37" t="n">
        <v>0</v>
      </c>
      <c r="V43" s="37" t="n"/>
      <c r="W43" s="37" t="n"/>
      <c r="X43" s="37" t="n"/>
      <c r="Y43" s="37" t="n"/>
      <c r="Z43" s="37" t="n"/>
      <c r="AA43" s="35" t="n">
        <v>1943.32</v>
      </c>
      <c r="AB43" s="35" t="n">
        <v>1943.32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7" t="n">
        <v>0</v>
      </c>
      <c r="V44" s="37" t="n"/>
      <c r="W44" s="37" t="n"/>
      <c r="X44" s="37" t="n"/>
      <c r="Y44" s="37" t="n"/>
      <c r="Z44" s="37" t="n"/>
      <c r="AA44" s="35" t="n">
        <v>2520</v>
      </c>
      <c r="AB44" s="35" t="n">
        <v>2520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29.98</v>
      </c>
      <c r="M45" s="34" t="n">
        <v>0</v>
      </c>
      <c r="N45" s="35" t="n">
        <v>411.77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22904.2</v>
      </c>
      <c r="C47" s="41" t="n">
        <v>10896.69</v>
      </c>
      <c r="D47" s="41" t="n">
        <v>15164.62</v>
      </c>
      <c r="E47" s="41" t="n">
        <v>19353.06</v>
      </c>
      <c r="F47" s="41" t="n">
        <v>17562.37</v>
      </c>
      <c r="G47" s="41" t="n">
        <v>11564.03</v>
      </c>
      <c r="H47" s="41" t="n">
        <v>15375.98</v>
      </c>
      <c r="I47" s="41" t="n">
        <v>10052.28</v>
      </c>
      <c r="J47" s="41" t="n">
        <v>11529.89</v>
      </c>
      <c r="K47" s="41" t="n">
        <v>15493.11</v>
      </c>
      <c r="L47" s="41" t="n">
        <v>14919.11</v>
      </c>
      <c r="M47" s="41" t="n">
        <v>12325.61</v>
      </c>
      <c r="N47" s="51" t="n">
        <v>177140.95</v>
      </c>
      <c r="O47" s="43" t="n">
        <v>24857.51</v>
      </c>
      <c r="P47" s="43" t="n">
        <v>17875.76</v>
      </c>
      <c r="Q47" s="43" t="n">
        <v>13320.46</v>
      </c>
      <c r="R47" s="43" t="n">
        <v>15753.43</v>
      </c>
      <c r="S47" s="43" t="n">
        <v>15083.17</v>
      </c>
      <c r="T47" s="43" t="n">
        <v>16583.46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100770.35</v>
      </c>
      <c r="AB47" s="51" t="n">
        <v>100770.35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108217.44</v>
      </c>
      <c r="C48" s="22" t="n">
        <v>97457.92</v>
      </c>
      <c r="D48" s="22" t="n">
        <v>102202.84</v>
      </c>
      <c r="E48" s="22" t="n">
        <v>115191.72</v>
      </c>
      <c r="F48" s="22" t="n">
        <v>121622.1</v>
      </c>
      <c r="G48" s="22" t="n">
        <v>101488.82</v>
      </c>
      <c r="H48" s="22" t="n">
        <v>115183.69</v>
      </c>
      <c r="I48" s="22" t="n">
        <v>99882.60000000001</v>
      </c>
      <c r="J48" s="22" t="n">
        <v>96235.75999999999</v>
      </c>
      <c r="K48" s="22" t="n">
        <v>108219.76</v>
      </c>
      <c r="L48" s="22" t="n">
        <v>103472.69</v>
      </c>
      <c r="M48" s="22" t="n">
        <v>105966.12</v>
      </c>
      <c r="N48" s="35" t="n">
        <v>1275141.46</v>
      </c>
      <c r="O48" s="24" t="n">
        <v>124331.78</v>
      </c>
      <c r="P48" s="24" t="n">
        <v>112454.57</v>
      </c>
      <c r="Q48" s="24" t="n">
        <v>121211.64</v>
      </c>
      <c r="R48" s="24" t="n">
        <v>125599.62</v>
      </c>
      <c r="S48" s="24" t="n">
        <v>120247.8</v>
      </c>
      <c r="T48" s="24" t="n">
        <v>128675.52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729817.49</v>
      </c>
      <c r="AB48" s="35" t="n">
        <v>729817.49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18931.52</v>
      </c>
      <c r="C50" s="54" t="n">
        <v>38378.84999999999</v>
      </c>
      <c r="D50" s="54" t="n">
        <v>68316.93999999999</v>
      </c>
      <c r="E50" s="54" t="n">
        <v>36408.48999999999</v>
      </c>
      <c r="F50" s="54" t="n">
        <v>8293.800000000003</v>
      </c>
      <c r="G50" s="54" t="n">
        <v>47809.59</v>
      </c>
      <c r="H50" s="54" t="n">
        <v>87436.17000000003</v>
      </c>
      <c r="I50" s="54" t="n">
        <v>25009.14999999999</v>
      </c>
      <c r="J50" s="54" t="n">
        <v>13286.37</v>
      </c>
      <c r="K50" s="54" t="n">
        <v>-1172.350000000006</v>
      </c>
      <c r="L50" s="54" t="n">
        <v>27474.32000000002</v>
      </c>
      <c r="M50" s="54" t="n">
        <v>48422.41999999998</v>
      </c>
      <c r="N50" s="54" t="n">
        <v>418595.27</v>
      </c>
      <c r="O50" s="54" t="n">
        <v>-11272.57999999999</v>
      </c>
      <c r="P50" s="54" t="n">
        <v>24017.53</v>
      </c>
      <c r="Q50" s="54" t="n">
        <v>35839.15999999999</v>
      </c>
      <c r="R50" s="54" t="n">
        <v>32261.78</v>
      </c>
      <c r="S50" s="54" t="n">
        <v>20168.3</v>
      </c>
      <c r="T50" s="54" t="n">
        <v>28393.77999999998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132111.41</v>
      </c>
      <c r="AB50" s="54" t="n">
        <v>132111.41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391.15</v>
      </c>
      <c r="M57" s="34" t="n">
        <v>853.53</v>
      </c>
      <c r="N57" s="35" t="n">
        <v>1354.18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7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21489.6</v>
      </c>
      <c r="R58" s="36" t="n">
        <v>4850.4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26340</v>
      </c>
      <c r="AB58" s="35" t="n">
        <v>26340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604.14</v>
      </c>
      <c r="C59" s="34" t="n">
        <v>604.11</v>
      </c>
      <c r="D59" s="34" t="n">
        <v>604.11</v>
      </c>
      <c r="E59" s="34" t="n">
        <v>604.14</v>
      </c>
      <c r="F59" s="34" t="n">
        <v>604.14</v>
      </c>
      <c r="G59" s="34" t="n">
        <v>604.14</v>
      </c>
      <c r="H59" s="34" t="n">
        <v>604.14</v>
      </c>
      <c r="I59" s="34" t="n">
        <v>604.14</v>
      </c>
      <c r="J59" s="34" t="n">
        <v>604.11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7370.37</v>
      </c>
      <c r="O59" s="36" t="n">
        <v>644.4</v>
      </c>
      <c r="P59" s="36" t="n">
        <v>644.4</v>
      </c>
      <c r="Q59" s="36" t="n">
        <v>644.4</v>
      </c>
      <c r="R59" s="36" t="n">
        <v>644.4</v>
      </c>
      <c r="S59" s="36" t="n">
        <v>644.4</v>
      </c>
      <c r="T59" s="36" t="n">
        <v>644.4</v>
      </c>
      <c r="U59" s="37" t="n">
        <v>0</v>
      </c>
      <c r="V59" s="37" t="n"/>
      <c r="W59" s="37" t="n"/>
      <c r="X59" s="37" t="n"/>
      <c r="Y59" s="37" t="n"/>
      <c r="Z59" s="37" t="n"/>
      <c r="AA59" s="35" t="n">
        <v>3866.4</v>
      </c>
      <c r="AB59" s="35" t="n">
        <v>3866.4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503.6200000000001</v>
      </c>
      <c r="C60" s="34" t="n">
        <v>186.09</v>
      </c>
      <c r="D60" s="34" t="n">
        <v>654.6100000000001</v>
      </c>
      <c r="E60" s="34" t="n">
        <v>19.19</v>
      </c>
      <c r="F60" s="34" t="n">
        <v>-23.74999999999999</v>
      </c>
      <c r="G60" s="34" t="n">
        <v>121.57</v>
      </c>
      <c r="H60" s="34" t="n">
        <v>36.74</v>
      </c>
      <c r="I60" s="34" t="n">
        <v>17.99</v>
      </c>
      <c r="J60" s="34" t="n">
        <v>19.79</v>
      </c>
      <c r="K60" s="34" t="n">
        <v>343.49</v>
      </c>
      <c r="L60" s="34" t="n">
        <v>128.58</v>
      </c>
      <c r="M60" s="34" t="n">
        <v>643.5400000000001</v>
      </c>
      <c r="N60" s="35" t="n">
        <v>2651.46</v>
      </c>
      <c r="O60" s="36" t="n">
        <v>231.59</v>
      </c>
      <c r="P60" s="36" t="n">
        <v>39.37</v>
      </c>
      <c r="Q60" s="36" t="n">
        <v>25.78</v>
      </c>
      <c r="R60" s="36" t="n">
        <v>26</v>
      </c>
      <c r="S60" s="36" t="n">
        <v>117</v>
      </c>
      <c r="T60" s="36" t="n">
        <v>325.98</v>
      </c>
      <c r="U60" s="37" t="n">
        <v>0</v>
      </c>
      <c r="V60" s="37" t="n"/>
      <c r="W60" s="37" t="n"/>
      <c r="X60" s="37" t="n"/>
      <c r="Y60" s="37" t="n"/>
      <c r="Z60" s="37" t="n"/>
      <c r="AA60" s="35" t="n">
        <v>765.72</v>
      </c>
      <c r="AB60" s="35" t="n">
        <v>765.72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145.03</v>
      </c>
      <c r="C61" s="34" t="n">
        <v>236.45</v>
      </c>
      <c r="D61" s="34" t="n">
        <v>33.33</v>
      </c>
      <c r="E61" s="34" t="n">
        <v>32.78</v>
      </c>
      <c r="F61" s="34" t="n">
        <v>36.08</v>
      </c>
      <c r="G61" s="34" t="n">
        <v>210.25</v>
      </c>
      <c r="H61" s="34" t="n">
        <v>85.37</v>
      </c>
      <c r="I61" s="34" t="n">
        <v>0</v>
      </c>
      <c r="J61" s="34" t="n">
        <v>0</v>
      </c>
      <c r="K61" s="34" t="n">
        <v>52.42</v>
      </c>
      <c r="L61" s="34" t="n">
        <v>89.65000000000001</v>
      </c>
      <c r="M61" s="34" t="n">
        <v>26.98</v>
      </c>
      <c r="N61" s="35" t="n">
        <v>948.34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159.95</v>
      </c>
      <c r="D62" s="34" t="n">
        <v>225</v>
      </c>
      <c r="E62" s="34" t="n">
        <v>122.6</v>
      </c>
      <c r="F62" s="34" t="n">
        <v>105</v>
      </c>
      <c r="G62" s="34" t="n">
        <v>33</v>
      </c>
      <c r="H62" s="34" t="n">
        <v>32</v>
      </c>
      <c r="I62" s="34" t="n">
        <v>20.99</v>
      </c>
      <c r="J62" s="34" t="n">
        <v>112</v>
      </c>
      <c r="K62" s="34" t="n">
        <v>274</v>
      </c>
      <c r="L62" s="34" t="n">
        <v>239</v>
      </c>
      <c r="M62" s="34" t="n">
        <v>51.15000000000001</v>
      </c>
      <c r="N62" s="35" t="n">
        <v>1389.69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3433.4</v>
      </c>
      <c r="P64" s="36" t="n">
        <v>4746.7</v>
      </c>
      <c r="Q64" s="36" t="n">
        <v>4746.7</v>
      </c>
      <c r="R64" s="36" t="n">
        <v>4746.7</v>
      </c>
      <c r="S64" s="36" t="n">
        <v>4746.7</v>
      </c>
      <c r="T64" s="36" t="n">
        <v>4746.7</v>
      </c>
      <c r="U64" s="37" t="n">
        <v>0</v>
      </c>
      <c r="V64" s="37" t="n"/>
      <c r="W64" s="37" t="n"/>
      <c r="X64" s="37" t="n"/>
      <c r="Y64" s="37" t="n"/>
      <c r="Z64" s="37" t="n"/>
      <c r="AA64" s="35" t="n">
        <v>27166.9</v>
      </c>
      <c r="AB64" s="35" t="n">
        <v>27166.9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2363.64</v>
      </c>
      <c r="P65" s="36" t="n">
        <v>0</v>
      </c>
      <c r="Q65" s="36" t="n">
        <v>3100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5463.639999999999</v>
      </c>
      <c r="AB65" s="35" t="n">
        <v>5463.639999999999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439.6</v>
      </c>
      <c r="P67" s="36" t="n">
        <v>298.2</v>
      </c>
      <c r="Q67" s="36" t="n">
        <v>243.7</v>
      </c>
      <c r="R67" s="36" t="n">
        <v>467.2</v>
      </c>
      <c r="S67" s="36" t="n">
        <v>244.3</v>
      </c>
      <c r="T67" s="36" t="n">
        <v>646</v>
      </c>
      <c r="U67" s="37" t="n">
        <v>55.3</v>
      </c>
      <c r="V67" s="37" t="n"/>
      <c r="W67" s="37" t="n"/>
      <c r="X67" s="37" t="n"/>
      <c r="Y67" s="37" t="n"/>
      <c r="Z67" s="37" t="n"/>
      <c r="AA67" s="35" t="n">
        <v>2394.3</v>
      </c>
      <c r="AB67" s="35" t="n">
        <v>2394.3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8912.390000000001</v>
      </c>
      <c r="C69" s="41" t="n">
        <v>2439</v>
      </c>
      <c r="D69" s="41" t="n">
        <v>12822</v>
      </c>
      <c r="E69" s="41" t="n">
        <v>5229.88</v>
      </c>
      <c r="F69" s="41" t="n">
        <v>948.8199999999999</v>
      </c>
      <c r="G69" s="41" t="n">
        <v>2074.41</v>
      </c>
      <c r="H69" s="41" t="n">
        <v>1005.95</v>
      </c>
      <c r="I69" s="41" t="n">
        <v>877.52</v>
      </c>
      <c r="J69" s="41" t="n">
        <v>853.0500000000001</v>
      </c>
      <c r="K69" s="41" t="n">
        <v>1474.21</v>
      </c>
      <c r="L69" s="41" t="n">
        <v>1618.53</v>
      </c>
      <c r="M69" s="41" t="n">
        <v>6388.05</v>
      </c>
      <c r="N69" s="42" t="n">
        <v>44643.81</v>
      </c>
      <c r="O69" s="43" t="n">
        <v>7112.63</v>
      </c>
      <c r="P69" s="43" t="n">
        <v>5728.67</v>
      </c>
      <c r="Q69" s="43" t="n">
        <v>30250.18</v>
      </c>
      <c r="R69" s="43" t="n">
        <v>10734.7</v>
      </c>
      <c r="S69" s="43" t="n">
        <v>5752.4</v>
      </c>
      <c r="T69" s="43" t="n">
        <v>6487.679999999999</v>
      </c>
      <c r="U69" s="44" t="n">
        <v>55.3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66121.56</v>
      </c>
      <c r="AB69" s="42" t="n">
        <v>66121.56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10019.13</v>
      </c>
      <c r="C70" s="54" t="n">
        <v>35939.84999999999</v>
      </c>
      <c r="D70" s="54" t="n">
        <v>55494.93999999999</v>
      </c>
      <c r="E70" s="54" t="n">
        <v>31178.60999999999</v>
      </c>
      <c r="F70" s="54" t="n">
        <v>7344.980000000003</v>
      </c>
      <c r="G70" s="54" t="n">
        <v>45735.17999999999</v>
      </c>
      <c r="H70" s="54" t="n">
        <v>86430.22000000003</v>
      </c>
      <c r="I70" s="54" t="n">
        <v>24131.62999999999</v>
      </c>
      <c r="J70" s="54" t="n">
        <v>12433.32</v>
      </c>
      <c r="K70" s="54" t="n">
        <v>-2646.560000000006</v>
      </c>
      <c r="L70" s="54" t="n">
        <v>25855.79000000002</v>
      </c>
      <c r="M70" s="54" t="n">
        <v>42034.36999999998</v>
      </c>
      <c r="N70" s="54" t="n">
        <v>373951.46</v>
      </c>
      <c r="O70" s="54" t="n">
        <v>-18385.20999999999</v>
      </c>
      <c r="P70" s="54" t="n">
        <v>18288.86</v>
      </c>
      <c r="Q70" s="54" t="n">
        <v>5588.979999999992</v>
      </c>
      <c r="R70" s="54" t="n">
        <v>21527.08</v>
      </c>
      <c r="S70" s="54" t="n">
        <v>14415.9</v>
      </c>
      <c r="T70" s="54" t="n">
        <v>21906.09999999998</v>
      </c>
      <c r="U70" s="54" t="n">
        <v>2648.14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65989.84999999999</v>
      </c>
      <c r="AB70" s="54" t="n">
        <v>65989.84999999999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  <c r="AN73" s="55" t="n"/>
      <c r="AO73" s="55" t="n"/>
      <c r="AP73" s="55" t="n"/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2722.942382543945</v>
      </c>
      <c r="P74" s="55" t="n">
        <v>2722.942382543945</v>
      </c>
      <c r="Q74" s="55" t="n">
        <v>2722.942382543945</v>
      </c>
      <c r="R74" s="55" t="n">
        <v>2722.942382543945</v>
      </c>
      <c r="S74" s="55" t="n">
        <v>2722.942382543945</v>
      </c>
      <c r="T74" s="55" t="n">
        <v>2722.942382543945</v>
      </c>
      <c r="U74" s="55" t="n"/>
      <c r="V74" s="55" t="n"/>
      <c r="W74" s="55" t="n"/>
      <c r="X74" s="55" t="n"/>
      <c r="Y74" s="55" t="n"/>
      <c r="Z74" s="55" t="n"/>
      <c r="AA74" s="55" t="n">
        <v>16337.65429526367</v>
      </c>
      <c r="AB74" s="55" t="n">
        <v>16337.65429526367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  <c r="AN74" s="55" t="n"/>
      <c r="AO74" s="55" t="n"/>
      <c r="AP74" s="55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  <c r="AN75" s="55" t="n"/>
      <c r="AO75" s="55" t="n"/>
      <c r="AP75" s="55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55" t="n"/>
      <c r="AO76" s="55" t="n"/>
      <c r="AP76" s="55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55" t="n"/>
      <c r="AO77" s="55" t="n"/>
      <c r="AP77" s="55" t="n"/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  <c r="AN78" s="55" t="n"/>
      <c r="AO78" s="55" t="n"/>
      <c r="AP78" s="55" t="n"/>
    </row>
    <row r="79">
      <c r="A79" s="27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t="n">
        <v>0</v>
      </c>
      <c r="AC79" s="55" t="n"/>
      <c r="AD79" s="55" t="n"/>
      <c r="AE79" s="55" t="n"/>
      <c r="AF79" s="55" t="n"/>
      <c r="AG79" s="55" t="n"/>
      <c r="AH79" s="55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59" t="inlineStr">
        <is>
          <t>Memo</t>
        </is>
      </c>
      <c r="AA80" t="n">
        <v>0</v>
      </c>
      <c r="AB80" t="n">
        <v>0</v>
      </c>
    </row>
    <row r="81">
      <c r="A81" s="59" t="inlineStr">
        <is>
          <t>Direct - Sales</t>
        </is>
      </c>
      <c r="B81" s="59" t="n">
        <v>127148.96</v>
      </c>
      <c r="C81" s="59" t="n">
        <v>135836.77</v>
      </c>
      <c r="D81" s="59" t="n">
        <v>170519.78</v>
      </c>
      <c r="E81" s="59" t="n">
        <v>151600.21</v>
      </c>
      <c r="F81" s="59" t="n">
        <v>129915.9</v>
      </c>
      <c r="G81" s="59" t="n">
        <v>149298.41</v>
      </c>
      <c r="H81" s="59" t="n">
        <v>202619.86</v>
      </c>
      <c r="I81" s="59" t="n">
        <v>124891.75</v>
      </c>
      <c r="J81" s="59" t="n">
        <v>109522.13</v>
      </c>
      <c r="N81" t="n">
        <v>1301353.77</v>
      </c>
      <c r="O81" s="59" t="n"/>
      <c r="P81" s="59" t="n"/>
      <c r="Q81" s="59" t="n"/>
      <c r="R81" s="59" t="n"/>
      <c r="S81" s="59" t="n"/>
      <c r="T81" s="59" t="n"/>
      <c r="AA81" t="n">
        <v>0</v>
      </c>
      <c r="AB81" t="n">
        <v>0</v>
      </c>
    </row>
    <row r="82">
      <c r="A82" s="33" t="inlineStr">
        <is>
          <t>Direct - Staff Cost</t>
        </is>
      </c>
      <c r="B82" s="17" t="n">
        <v>-80449.37999999999</v>
      </c>
      <c r="C82" s="17" t="n">
        <v>-80189.5</v>
      </c>
      <c r="D82" s="17" t="n">
        <v>-81511.13</v>
      </c>
      <c r="E82" s="17" t="n">
        <v>-90510.11</v>
      </c>
      <c r="F82" s="17" t="n">
        <v>-96177.78000000001</v>
      </c>
      <c r="G82" s="17" t="n">
        <v>-84419.56000000001</v>
      </c>
      <c r="H82" s="17" t="n">
        <v>-93553.59999999999</v>
      </c>
      <c r="I82" s="17" t="n">
        <v>-83711.35000000001</v>
      </c>
      <c r="J82" s="17" t="n">
        <v>-80189.67999999998</v>
      </c>
      <c r="K82" s="17" t="n"/>
      <c r="L82" s="17" t="n"/>
      <c r="M82" s="17" t="n"/>
      <c r="N82" t="n">
        <v>-770712.09</v>
      </c>
      <c r="O82" s="59" t="n"/>
      <c r="P82" s="59" t="n"/>
      <c r="Q82" s="59" t="n"/>
      <c r="R82" s="59" t="n"/>
      <c r="S82" s="59" t="n"/>
      <c r="T82" s="59" t="n"/>
      <c r="AA82" t="n">
        <v>0</v>
      </c>
      <c r="AB82" t="n">
        <v>0</v>
      </c>
    </row>
    <row r="83">
      <c r="A83" s="59" t="inlineStr">
        <is>
          <t>Direct - Childcare Cost</t>
        </is>
      </c>
      <c r="B83" s="17" t="n">
        <v>-4863.859999999999</v>
      </c>
      <c r="C83" s="17" t="n">
        <v>-6371.73</v>
      </c>
      <c r="D83" s="17" t="n">
        <v>-5527.09</v>
      </c>
      <c r="E83" s="17" t="n">
        <v>-5328.55</v>
      </c>
      <c r="F83" s="17" t="n">
        <v>-7881.950000000001</v>
      </c>
      <c r="G83" s="17" t="n">
        <v>-5505.23</v>
      </c>
      <c r="H83" s="17" t="n">
        <v>-6254.110000000001</v>
      </c>
      <c r="I83" s="17" t="n">
        <v>-6118.969999999999</v>
      </c>
      <c r="J83" s="17" t="n">
        <v>-4516.19</v>
      </c>
      <c r="K83" s="17" t="n"/>
      <c r="L83" s="17" t="n"/>
      <c r="M83" s="17" t="n"/>
      <c r="N83" t="n">
        <v>-52367.68</v>
      </c>
      <c r="O83" s="59" t="n"/>
      <c r="P83" s="59" t="n"/>
      <c r="Q83" s="59" t="n"/>
      <c r="R83" s="59" t="n"/>
      <c r="S83" s="59" t="n"/>
      <c r="T83" s="59" t="n"/>
      <c r="AA83" t="n">
        <v>0</v>
      </c>
      <c r="AB83" t="n">
        <v>0</v>
      </c>
    </row>
    <row r="84">
      <c r="A84" s="59" t="inlineStr">
        <is>
          <t>Direct - Premises &amp; Admin</t>
        </is>
      </c>
      <c r="B84" s="17" t="n">
        <v>-22904.2</v>
      </c>
      <c r="C84" s="17" t="n">
        <v>-10896.69</v>
      </c>
      <c r="D84" s="17" t="n">
        <v>-15164.62</v>
      </c>
      <c r="E84" s="17" t="n">
        <v>-19353.06</v>
      </c>
      <c r="F84" s="17" t="n">
        <v>-17562.37</v>
      </c>
      <c r="G84" s="17" t="n">
        <v>-11564.03</v>
      </c>
      <c r="H84" s="17" t="n">
        <v>-15375.98</v>
      </c>
      <c r="I84" s="17" t="n">
        <v>-10052.28</v>
      </c>
      <c r="J84" s="17" t="n">
        <v>-11529.89</v>
      </c>
      <c r="K84" s="17" t="n"/>
      <c r="L84" s="17" t="n"/>
      <c r="M84" s="17" t="n"/>
      <c r="N84" t="n">
        <v>-134403.12</v>
      </c>
      <c r="O84" s="59" t="n"/>
      <c r="P84" s="59" t="n"/>
      <c r="Q84" s="59" t="n"/>
      <c r="R84" s="59" t="n"/>
      <c r="S84" s="59" t="n"/>
      <c r="T84" s="59" t="n"/>
      <c r="AA84" t="n">
        <v>0</v>
      </c>
      <c r="AB84" t="n">
        <v>0</v>
      </c>
    </row>
    <row r="85">
      <c r="A85" s="59" t="inlineStr">
        <is>
          <t>In-Direct - Staff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/>
      <c r="L85" s="17" t="n"/>
      <c r="M85" s="17" t="n"/>
      <c r="O85" s="59" t="n"/>
      <c r="P85" s="59" t="n"/>
      <c r="Q85" s="59" t="n"/>
      <c r="R85" s="59" t="n"/>
      <c r="S85" s="59" t="n"/>
      <c r="T85" s="59" t="n"/>
      <c r="AA85" t="n">
        <v>0</v>
      </c>
      <c r="AB85" t="n">
        <v>0</v>
      </c>
    </row>
    <row r="86">
      <c r="A86" s="59" t="inlineStr">
        <is>
          <t>In-Direct - Overheads</t>
        </is>
      </c>
      <c r="B86" s="17" t="n">
        <v>-8912.390000000001</v>
      </c>
      <c r="C86" s="17" t="n">
        <v>-2439</v>
      </c>
      <c r="D86" s="17" t="n">
        <v>-12822</v>
      </c>
      <c r="E86" s="17" t="n">
        <v>-5229.879999999999</v>
      </c>
      <c r="F86" s="17" t="n">
        <v>-948.8200000000001</v>
      </c>
      <c r="G86" s="17" t="n">
        <v>-2074.41</v>
      </c>
      <c r="H86" s="17" t="n">
        <v>-1005.95</v>
      </c>
      <c r="I86" s="17" t="n">
        <v>-877.52</v>
      </c>
      <c r="J86" s="17" t="n">
        <v>-853.05</v>
      </c>
      <c r="K86" s="17" t="n"/>
      <c r="L86" s="17" t="n"/>
      <c r="M86" s="17" t="n"/>
      <c r="N86" t="n">
        <v>-35163.02</v>
      </c>
      <c r="O86" s="59" t="n"/>
      <c r="P86" s="59" t="n"/>
      <c r="Q86" s="59" t="n"/>
      <c r="R86" s="59" t="n"/>
      <c r="S86" s="59" t="n"/>
      <c r="T86" s="59" t="n"/>
      <c r="AA86" t="n">
        <v>0</v>
      </c>
      <c r="AB86" t="n">
        <v>0</v>
      </c>
    </row>
    <row r="87" ht="15.75" customHeight="1">
      <c r="B87" s="66" t="n">
        <v>10019.13</v>
      </c>
      <c r="C87" s="66" t="n">
        <v>35939.85</v>
      </c>
      <c r="D87" s="66" t="n">
        <v>55494.94</v>
      </c>
      <c r="E87" s="66" t="n">
        <v>31178.61000000002</v>
      </c>
      <c r="F87" s="66" t="n">
        <v>7344.979999999985</v>
      </c>
      <c r="G87" s="66" t="n">
        <v>45735.17999999999</v>
      </c>
      <c r="H87" s="66" t="n">
        <v>86430.22000000003</v>
      </c>
      <c r="I87" s="66" t="n">
        <v>24131.62999999999</v>
      </c>
      <c r="J87" s="66" t="n">
        <v>12433.32000000001</v>
      </c>
      <c r="K87" s="17" t="n"/>
      <c r="L87" s="17" t="n"/>
      <c r="M87" s="17" t="n"/>
      <c r="N87" t="n">
        <v>308707.86</v>
      </c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t="n">
        <v>0</v>
      </c>
      <c r="AB87" t="n">
        <v>0</v>
      </c>
      <c r="AC87" s="63" t="n"/>
      <c r="AD87" s="63" t="n"/>
      <c r="AE87" s="63" t="n"/>
      <c r="AF87" s="63" t="n"/>
      <c r="AG87" s="63" t="n"/>
      <c r="AH87" s="63" t="n"/>
    </row>
    <row r="88" ht="15.75" customHeight="1"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-1.546140993013978e-11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/>
      <c r="L90" s="17" t="n"/>
      <c r="M90" s="17" t="n"/>
      <c r="N90" t="n">
        <v>-1.546140993013978e-11</v>
      </c>
      <c r="O90" s="59" t="n"/>
      <c r="P90" s="59" t="n"/>
      <c r="Q90" s="59" t="n"/>
      <c r="R90" s="59" t="n"/>
      <c r="S90" s="59" t="n"/>
      <c r="T90" s="59" t="n"/>
      <c r="AA90" t="n">
        <v>0</v>
      </c>
      <c r="AB90" t="n">
        <v>0</v>
      </c>
    </row>
    <row r="91">
      <c r="B91" s="17" t="n">
        <v>-10019.12999999999</v>
      </c>
      <c r="C91" s="17" t="n">
        <v>-35939.84999999999</v>
      </c>
      <c r="D91" s="17" t="n">
        <v>-55494.94</v>
      </c>
      <c r="E91" s="17" t="n">
        <v>-31178.61000000002</v>
      </c>
      <c r="F91" s="17" t="n">
        <v>-7344.98</v>
      </c>
      <c r="G91" s="17" t="n">
        <v>-45735.17999999999</v>
      </c>
      <c r="H91" s="17" t="n">
        <v>-86430.21999999997</v>
      </c>
      <c r="I91" s="17" t="n">
        <v>-24131.62999999999</v>
      </c>
      <c r="J91" s="17" t="n">
        <v>-12433.32</v>
      </c>
      <c r="K91" s="17" t="n"/>
      <c r="L91" s="17" t="n"/>
      <c r="M91" s="17" t="n"/>
      <c r="N91" t="n">
        <v>-308707.86</v>
      </c>
      <c r="O91" s="59" t="n"/>
      <c r="P91" s="59" t="n"/>
      <c r="Q91" s="59" t="n"/>
      <c r="R91" s="59" t="n"/>
      <c r="S91" s="59" t="n"/>
      <c r="T91" s="59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P10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1.7109375" customWidth="1" min="35" max="35"/>
    <col width="9.85546875" customWidth="1" min="36" max="36"/>
    <col width="9.42578125" customWidth="1" min="37" max="37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77841.63</v>
      </c>
      <c r="C8" s="34" t="n">
        <v>66526.10000000001</v>
      </c>
      <c r="D8" s="34" t="n">
        <v>69958.23</v>
      </c>
      <c r="E8" s="34" t="n">
        <v>80658.53999999999</v>
      </c>
      <c r="F8" s="34" t="n">
        <v>73269.45</v>
      </c>
      <c r="G8" s="34" t="n">
        <v>64964.12</v>
      </c>
      <c r="H8" s="34" t="n">
        <v>76266.69</v>
      </c>
      <c r="I8" s="34" t="n">
        <v>62869.39999999999</v>
      </c>
      <c r="J8" s="34" t="n">
        <v>48012.53999999999</v>
      </c>
      <c r="K8" s="34" t="n">
        <v>51561.83</v>
      </c>
      <c r="L8" s="34" t="n">
        <v>40955.97</v>
      </c>
      <c r="M8" s="34" t="n">
        <v>49145.36</v>
      </c>
      <c r="N8" s="35" t="n">
        <v>762029.86</v>
      </c>
      <c r="O8" s="36" t="n">
        <v>93052.36</v>
      </c>
      <c r="P8" s="36" t="n">
        <v>91078.02000000002</v>
      </c>
      <c r="Q8" s="36" t="n">
        <v>94463.54000000001</v>
      </c>
      <c r="R8" s="36" t="n">
        <v>108140.12</v>
      </c>
      <c r="S8" s="36" t="n">
        <v>108906.16</v>
      </c>
      <c r="T8" s="36" t="n">
        <v>112106.82</v>
      </c>
      <c r="U8" s="36" t="n">
        <v>119321.4</v>
      </c>
      <c r="V8" s="37" t="n"/>
      <c r="W8" s="37" t="n"/>
      <c r="X8" s="37" t="n"/>
      <c r="Y8" s="37" t="n"/>
      <c r="Z8" s="37" t="n"/>
      <c r="AA8" s="35" t="n">
        <v>727068.42</v>
      </c>
      <c r="AB8" s="35" t="n">
        <v>727068.42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24675.3</v>
      </c>
      <c r="C9" s="34" t="n">
        <v>24675.3</v>
      </c>
      <c r="D9" s="34" t="n">
        <v>32687.2</v>
      </c>
      <c r="E9" s="34" t="n">
        <v>18618.73999999999</v>
      </c>
      <c r="F9" s="34" t="n">
        <v>18618.73999999999</v>
      </c>
      <c r="G9" s="34" t="n">
        <v>18618.74</v>
      </c>
      <c r="H9" s="34" t="n">
        <v>41524.17</v>
      </c>
      <c r="I9" s="34" t="n">
        <v>0</v>
      </c>
      <c r="J9" s="34" t="n">
        <v>18221.63</v>
      </c>
      <c r="K9" s="34" t="n">
        <v>18221.63</v>
      </c>
      <c r="L9" s="34" t="n">
        <v>38768.95</v>
      </c>
      <c r="M9" s="34" t="n">
        <v>39267.79</v>
      </c>
      <c r="N9" s="35" t="n">
        <v>293898.19</v>
      </c>
      <c r="O9" s="36" t="n">
        <v>63656.56</v>
      </c>
      <c r="P9" s="36" t="n">
        <v>63656.56</v>
      </c>
      <c r="Q9" s="36" t="n">
        <v>77997.67999999999</v>
      </c>
      <c r="R9" s="36" t="n">
        <v>89042.78000000001</v>
      </c>
      <c r="S9" s="36" t="n">
        <v>89042.78000000001</v>
      </c>
      <c r="T9" s="36" t="n">
        <v>106356</v>
      </c>
      <c r="U9" s="36" t="n">
        <v>94813.86</v>
      </c>
      <c r="V9" s="37" t="n"/>
      <c r="W9" s="37" t="n"/>
      <c r="X9" s="37" t="n"/>
      <c r="Y9" s="37" t="n"/>
      <c r="Z9" s="37" t="n"/>
      <c r="AA9" s="35" t="n">
        <v>584566.22</v>
      </c>
      <c r="AB9" s="35" t="n">
        <v>584566.22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5162.469999999999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5162.469999999999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102516.93</v>
      </c>
      <c r="C11" s="41" t="n">
        <v>91201.40000000001</v>
      </c>
      <c r="D11" s="41" t="n">
        <v>102645.43</v>
      </c>
      <c r="E11" s="41" t="n">
        <v>99277.27999999998</v>
      </c>
      <c r="F11" s="41" t="n">
        <v>91888.18999999999</v>
      </c>
      <c r="G11" s="41" t="n">
        <v>83582.86</v>
      </c>
      <c r="H11" s="41" t="n">
        <v>117790.86</v>
      </c>
      <c r="I11" s="41" t="n">
        <v>68031.86999999998</v>
      </c>
      <c r="J11" s="41" t="n">
        <v>66234.17</v>
      </c>
      <c r="K11" s="41" t="n">
        <v>69783.46000000001</v>
      </c>
      <c r="L11" s="41" t="n">
        <v>79724.92</v>
      </c>
      <c r="M11" s="41" t="n">
        <v>88413.14999999999</v>
      </c>
      <c r="N11" s="42" t="n">
        <v>1061090.52</v>
      </c>
      <c r="O11" s="43" t="n">
        <v>156708.92</v>
      </c>
      <c r="P11" s="43" t="n">
        <v>154734.58</v>
      </c>
      <c r="Q11" s="43" t="n">
        <v>172461.22</v>
      </c>
      <c r="R11" s="43" t="n">
        <v>197182.9</v>
      </c>
      <c r="S11" s="43" t="n">
        <v>197948.94</v>
      </c>
      <c r="T11" s="43" t="n">
        <v>218462.82</v>
      </c>
      <c r="U11" s="43" t="n">
        <v>214135.26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1311634.64</v>
      </c>
      <c r="AB11" s="42" t="n">
        <v>1311634.64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41319.78</v>
      </c>
      <c r="C16" s="34" t="n">
        <v>40020.23</v>
      </c>
      <c r="D16" s="34" t="n">
        <v>42002.11</v>
      </c>
      <c r="E16" s="34" t="n">
        <v>44294.99</v>
      </c>
      <c r="F16" s="34" t="n">
        <v>45439.21</v>
      </c>
      <c r="G16" s="34" t="n">
        <v>45019.63</v>
      </c>
      <c r="H16" s="34" t="n">
        <v>47818.86</v>
      </c>
      <c r="I16" s="34" t="n">
        <v>43012.48</v>
      </c>
      <c r="J16" s="34" t="n">
        <v>49303.41</v>
      </c>
      <c r="K16" s="34" t="n">
        <v>49177.19</v>
      </c>
      <c r="L16" s="34" t="n">
        <v>49609.86</v>
      </c>
      <c r="M16" s="34" t="n">
        <v>49669.99000000001</v>
      </c>
      <c r="N16" s="35" t="n">
        <v>546687.74</v>
      </c>
      <c r="O16" s="36" t="n">
        <v>108336.44</v>
      </c>
      <c r="P16" s="36" t="n">
        <v>99475.29999999999</v>
      </c>
      <c r="Q16" s="36" t="n">
        <v>98307.78</v>
      </c>
      <c r="R16" s="36" t="n">
        <v>110006.38</v>
      </c>
      <c r="S16" s="36" t="n">
        <v>116583.96</v>
      </c>
      <c r="T16" s="36" t="n">
        <v>116522.82</v>
      </c>
      <c r="U16" s="36" t="n">
        <v>117654.08</v>
      </c>
      <c r="V16" s="37" t="n"/>
      <c r="W16" s="37" t="n"/>
      <c r="X16" s="37" t="n"/>
      <c r="Y16" s="37" t="n"/>
      <c r="Z16" s="37" t="n"/>
      <c r="AA16" s="35" t="n">
        <v>766886.76</v>
      </c>
      <c r="AB16" s="35" t="n">
        <v>766886.76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3434.6</v>
      </c>
      <c r="C17" s="34" t="n">
        <v>3254.86</v>
      </c>
      <c r="D17" s="34" t="n">
        <v>3179.25</v>
      </c>
      <c r="E17" s="34" t="n">
        <v>4906.440000000001</v>
      </c>
      <c r="F17" s="34" t="n">
        <v>5050.110000000001</v>
      </c>
      <c r="G17" s="34" t="n">
        <v>5114.61</v>
      </c>
      <c r="H17" s="34" t="n">
        <v>5403.94</v>
      </c>
      <c r="I17" s="34" t="n">
        <v>4607.38</v>
      </c>
      <c r="J17" s="34" t="n">
        <v>5257.32</v>
      </c>
      <c r="K17" s="34" t="n">
        <v>5470.15</v>
      </c>
      <c r="L17" s="34" t="n">
        <v>5447.35</v>
      </c>
      <c r="M17" s="34" t="n">
        <v>5508.51</v>
      </c>
      <c r="N17" s="35" t="n">
        <v>56634.52</v>
      </c>
      <c r="O17" s="36" t="n">
        <v>12112.62</v>
      </c>
      <c r="P17" s="36" t="n">
        <v>10957.88</v>
      </c>
      <c r="Q17" s="36" t="n">
        <v>11012.66</v>
      </c>
      <c r="R17" s="36" t="n">
        <v>12339.56</v>
      </c>
      <c r="S17" s="36" t="n">
        <v>12976.58</v>
      </c>
      <c r="T17" s="36" t="n">
        <v>12610.6</v>
      </c>
      <c r="U17" s="36" t="n">
        <v>13354.66</v>
      </c>
      <c r="V17" s="37" t="n"/>
      <c r="W17" s="37" t="n"/>
      <c r="X17" s="37" t="n"/>
      <c r="Y17" s="37" t="n"/>
      <c r="Z17" s="37" t="n"/>
      <c r="AA17" s="35" t="n">
        <v>85364.56</v>
      </c>
      <c r="AB17" s="35" t="n">
        <v>85364.56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859.27</v>
      </c>
      <c r="C18" s="34" t="n">
        <v>815.1199999999999</v>
      </c>
      <c r="D18" s="34" t="n">
        <v>754.52</v>
      </c>
      <c r="E18" s="34" t="n">
        <v>780.86</v>
      </c>
      <c r="F18" s="34" t="n">
        <v>832.29</v>
      </c>
      <c r="G18" s="34" t="n">
        <v>831.34</v>
      </c>
      <c r="H18" s="34" t="n">
        <v>813</v>
      </c>
      <c r="I18" s="34" t="n">
        <v>686.12</v>
      </c>
      <c r="J18" s="34" t="n">
        <v>598.62</v>
      </c>
      <c r="K18" s="34" t="n">
        <v>666.9200000000001</v>
      </c>
      <c r="L18" s="34" t="n">
        <v>925.02</v>
      </c>
      <c r="M18" s="34" t="n">
        <v>930.0699999999999</v>
      </c>
      <c r="N18" s="35" t="n">
        <v>9493.15</v>
      </c>
      <c r="O18" s="36" t="n">
        <v>2067.8</v>
      </c>
      <c r="P18" s="36" t="n">
        <v>1903.64</v>
      </c>
      <c r="Q18" s="36" t="n">
        <v>1911.76</v>
      </c>
      <c r="R18" s="36" t="n">
        <v>2021.6</v>
      </c>
      <c r="S18" s="36" t="n">
        <v>2040.14</v>
      </c>
      <c r="T18" s="36" t="n">
        <v>1913.94</v>
      </c>
      <c r="U18" s="36" t="n">
        <v>1985.5</v>
      </c>
      <c r="V18" s="37" t="n"/>
      <c r="W18" s="37" t="n"/>
      <c r="X18" s="37" t="n"/>
      <c r="Y18" s="37" t="n"/>
      <c r="Z18" s="37" t="n"/>
      <c r="AA18" s="35" t="n">
        <v>13844.38</v>
      </c>
      <c r="AB18" s="35" t="n">
        <v>13844.38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219.84</v>
      </c>
      <c r="D19" s="34" t="n">
        <v>299.8200000000001</v>
      </c>
      <c r="E19" s="34" t="n">
        <v>106.38</v>
      </c>
      <c r="F19" s="34" t="n">
        <v>92.34</v>
      </c>
      <c r="G19" s="34" t="n">
        <v>0</v>
      </c>
      <c r="H19" s="34" t="n">
        <v>365.88</v>
      </c>
      <c r="I19" s="34" t="n">
        <v>91.14</v>
      </c>
      <c r="J19" s="34" t="n">
        <v>24.97</v>
      </c>
      <c r="K19" s="34" t="n">
        <v>534</v>
      </c>
      <c r="L19" s="34" t="n">
        <v>0</v>
      </c>
      <c r="M19" s="34" t="n">
        <v>35.82</v>
      </c>
      <c r="N19" s="35" t="n">
        <v>1872.75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486.8</v>
      </c>
      <c r="T19" s="36" t="n">
        <v>0</v>
      </c>
      <c r="U19" s="36" t="n">
        <v>593.88</v>
      </c>
      <c r="V19" s="37" t="n"/>
      <c r="W19" s="37" t="n"/>
      <c r="X19" s="37" t="n"/>
      <c r="Y19" s="37" t="n"/>
      <c r="Z19" s="37" t="n"/>
      <c r="AA19" s="35" t="n">
        <v>1080.68</v>
      </c>
      <c r="AB19" s="35" t="n">
        <v>1080.68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61.99</v>
      </c>
      <c r="C20" s="34" t="n">
        <v>72</v>
      </c>
      <c r="D20" s="34" t="n">
        <v>0</v>
      </c>
      <c r="E20" s="34" t="n">
        <v>31.2</v>
      </c>
      <c r="F20" s="34" t="n">
        <v>133.2</v>
      </c>
      <c r="G20" s="34" t="n">
        <v>120</v>
      </c>
      <c r="H20" s="34" t="n">
        <v>37.2</v>
      </c>
      <c r="I20" s="34" t="n">
        <v>307.19</v>
      </c>
      <c r="J20" s="34" t="n">
        <v>52</v>
      </c>
      <c r="K20" s="34" t="n">
        <v>117.19</v>
      </c>
      <c r="L20" s="34" t="n">
        <v>558.62</v>
      </c>
      <c r="M20" s="34" t="n">
        <v>0</v>
      </c>
      <c r="N20" s="35" t="n">
        <v>1490.59</v>
      </c>
      <c r="O20" s="36" t="n">
        <v>0</v>
      </c>
      <c r="P20" s="36" t="n">
        <v>-844</v>
      </c>
      <c r="Q20" s="36" t="n">
        <v>0</v>
      </c>
      <c r="R20" s="36" t="n">
        <v>0</v>
      </c>
      <c r="S20" s="36" t="n">
        <v>208.5</v>
      </c>
      <c r="T20" s="36" t="n">
        <v>556.5</v>
      </c>
      <c r="U20" s="36" t="n">
        <v>52.5</v>
      </c>
      <c r="V20" s="37" t="n"/>
      <c r="W20" s="37" t="n"/>
      <c r="X20" s="37" t="n"/>
      <c r="Y20" s="37" t="n"/>
      <c r="Z20" s="37" t="n"/>
      <c r="AA20" s="35" t="n">
        <v>-26.5</v>
      </c>
      <c r="AB20" s="35" t="n">
        <v>-26.5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287.15</v>
      </c>
      <c r="C21" s="34" t="n">
        <v>337.61</v>
      </c>
      <c r="D21" s="34" t="n">
        <v>222.99</v>
      </c>
      <c r="E21" s="34" t="n">
        <v>369.5</v>
      </c>
      <c r="F21" s="34" t="n">
        <v>264.89</v>
      </c>
      <c r="G21" s="34" t="n">
        <v>250.93</v>
      </c>
      <c r="H21" s="34" t="n">
        <v>192.58</v>
      </c>
      <c r="I21" s="34" t="n">
        <v>262.18</v>
      </c>
      <c r="J21" s="34" t="n">
        <v>352.82</v>
      </c>
      <c r="K21" s="34" t="n">
        <v>345.1900000000001</v>
      </c>
      <c r="L21" s="34" t="n">
        <v>152.88</v>
      </c>
      <c r="M21" s="34" t="n">
        <v>105.76</v>
      </c>
      <c r="N21" s="35" t="n">
        <v>3144.48</v>
      </c>
      <c r="O21" s="36" t="n">
        <v>412.1399999999999</v>
      </c>
      <c r="P21" s="36" t="n">
        <v>121.64</v>
      </c>
      <c r="Q21" s="36" t="n">
        <v>645.88</v>
      </c>
      <c r="R21" s="36" t="n">
        <v>566.36</v>
      </c>
      <c r="S21" s="36" t="n">
        <v>613.4400000000001</v>
      </c>
      <c r="T21" s="36" t="n">
        <v>260.12</v>
      </c>
      <c r="U21" s="36" t="n">
        <v>629.02</v>
      </c>
      <c r="V21" s="37" t="n"/>
      <c r="W21" s="37" t="n"/>
      <c r="X21" s="37" t="n"/>
      <c r="Y21" s="37" t="n"/>
      <c r="Z21" s="37" t="n"/>
      <c r="AA21" s="35" t="n">
        <v>3248.6</v>
      </c>
      <c r="AB21" s="35" t="n">
        <v>3248.6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5560.84</v>
      </c>
      <c r="P22" s="36" t="n">
        <v>2103.36</v>
      </c>
      <c r="Q22" s="36" t="n">
        <v>5301.58</v>
      </c>
      <c r="R22" s="36" t="n">
        <v>8039.24</v>
      </c>
      <c r="S22" s="36" t="n">
        <v>12556.34</v>
      </c>
      <c r="T22" s="36" t="n">
        <v>10445.18</v>
      </c>
      <c r="U22" s="36" t="n">
        <v>10095.58</v>
      </c>
      <c r="V22" s="37" t="n"/>
      <c r="W22" s="37" t="n"/>
      <c r="X22" s="37" t="n"/>
      <c r="Y22" s="37" t="n"/>
      <c r="Z22" s="37" t="n"/>
      <c r="AA22" s="35" t="n">
        <v>54102.12</v>
      </c>
      <c r="AB22" s="35" t="n">
        <v>54102.12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1300</v>
      </c>
      <c r="M23" s="34" t="n">
        <v>0</v>
      </c>
      <c r="N23" s="35" t="n">
        <v>1364.5</v>
      </c>
      <c r="O23" s="36" t="n">
        <v>150.4</v>
      </c>
      <c r="P23" s="36" t="n">
        <v>100.46</v>
      </c>
      <c r="Q23" s="36" t="n">
        <v>30.56</v>
      </c>
      <c r="R23" s="36" t="n">
        <v>0</v>
      </c>
      <c r="S23" s="36" t="n">
        <v>33</v>
      </c>
      <c r="T23" s="36" t="n">
        <v>0</v>
      </c>
      <c r="U23" s="36" t="n">
        <v>63.8</v>
      </c>
      <c r="V23" s="37" t="n"/>
      <c r="W23" s="37" t="n"/>
      <c r="X23" s="37" t="n"/>
      <c r="Y23" s="37" t="n"/>
      <c r="Z23" s="37" t="n"/>
      <c r="AA23" s="35" t="n">
        <v>378.22</v>
      </c>
      <c r="AB23" s="35" t="n">
        <v>378.22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53151.29</v>
      </c>
      <c r="C25" s="41" t="n">
        <v>46769.66</v>
      </c>
      <c r="D25" s="41" t="n">
        <v>48048.36</v>
      </c>
      <c r="E25" s="41" t="n">
        <v>51157.31</v>
      </c>
      <c r="F25" s="41" t="n">
        <v>53740.64</v>
      </c>
      <c r="G25" s="41" t="n">
        <v>55046.78</v>
      </c>
      <c r="H25" s="41" t="n">
        <v>61884.79</v>
      </c>
      <c r="I25" s="41" t="n">
        <v>52400.49000000001</v>
      </c>
      <c r="J25" s="41" t="n">
        <v>58243.64000000001</v>
      </c>
      <c r="K25" s="41" t="n">
        <v>60315.25</v>
      </c>
      <c r="L25" s="41" t="n">
        <v>60521.19</v>
      </c>
      <c r="M25" s="41" t="n">
        <v>60529.86000000002</v>
      </c>
      <c r="N25" s="42" t="n">
        <v>661809.26</v>
      </c>
      <c r="O25" s="43" t="n">
        <v>128640.24</v>
      </c>
      <c r="P25" s="43" t="n">
        <v>113818.28</v>
      </c>
      <c r="Q25" s="43" t="n">
        <v>117210.22</v>
      </c>
      <c r="R25" s="43" t="n">
        <v>132973.14</v>
      </c>
      <c r="S25" s="43" t="n">
        <v>145498.76</v>
      </c>
      <c r="T25" s="43" t="n">
        <v>142309.16</v>
      </c>
      <c r="U25" s="43" t="n">
        <v>144429.02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924878.8200000001</v>
      </c>
      <c r="AB25" s="42" t="n">
        <v>924878.8200000001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2381.8</v>
      </c>
      <c r="C27" s="34" t="n">
        <v>2254.54</v>
      </c>
      <c r="D27" s="34" t="n">
        <v>2257.89</v>
      </c>
      <c r="E27" s="34" t="n">
        <v>1588.93</v>
      </c>
      <c r="F27" s="34" t="n">
        <v>2120.43</v>
      </c>
      <c r="G27" s="34" t="n">
        <v>1869.87</v>
      </c>
      <c r="H27" s="34" t="n">
        <v>1921.71</v>
      </c>
      <c r="I27" s="34" t="n">
        <v>1651.48</v>
      </c>
      <c r="J27" s="34" t="n">
        <v>1974.4</v>
      </c>
      <c r="K27" s="34" t="n">
        <v>2611.91</v>
      </c>
      <c r="L27" s="34" t="n">
        <v>1828.7</v>
      </c>
      <c r="M27" s="34" t="n">
        <v>1940.75</v>
      </c>
      <c r="N27" s="35" t="n">
        <v>24402.41</v>
      </c>
      <c r="O27" s="36" t="n">
        <v>4671.06</v>
      </c>
      <c r="P27" s="36" t="n">
        <v>5181.879999999999</v>
      </c>
      <c r="Q27" s="36" t="n">
        <v>4710.08</v>
      </c>
      <c r="R27" s="36" t="n">
        <v>5909.320000000001</v>
      </c>
      <c r="S27" s="36" t="n">
        <v>4423.04</v>
      </c>
      <c r="T27" s="36" t="n">
        <v>4816.559999999999</v>
      </c>
      <c r="U27" s="36" t="n">
        <v>5319.56</v>
      </c>
      <c r="V27" s="37" t="n"/>
      <c r="W27" s="37" t="n"/>
      <c r="X27" s="37" t="n"/>
      <c r="Y27" s="37" t="n"/>
      <c r="Z27" s="37" t="n"/>
      <c r="AA27" s="35" t="n">
        <v>35031.5</v>
      </c>
      <c r="AB27" s="35" t="n">
        <v>35031.5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85.96000000000001</v>
      </c>
      <c r="C28" s="34" t="n">
        <v>2533.19</v>
      </c>
      <c r="D28" s="34" t="n">
        <v>408.11</v>
      </c>
      <c r="E28" s="34" t="n">
        <v>213.42</v>
      </c>
      <c r="F28" s="34" t="n">
        <v>368.73</v>
      </c>
      <c r="G28" s="34" t="n">
        <v>67.42</v>
      </c>
      <c r="H28" s="34" t="n">
        <v>179.26</v>
      </c>
      <c r="I28" s="34" t="n">
        <v>197.3</v>
      </c>
      <c r="J28" s="34" t="n">
        <v>3851.36</v>
      </c>
      <c r="K28" s="34" t="n">
        <v>103.26</v>
      </c>
      <c r="L28" s="34" t="n">
        <v>120.64</v>
      </c>
      <c r="M28" s="34" t="n">
        <v>37.20999999999999</v>
      </c>
      <c r="N28" s="35" t="n">
        <v>8165.860000000001</v>
      </c>
      <c r="O28" s="36" t="n">
        <v>362.16</v>
      </c>
      <c r="P28" s="36" t="n">
        <v>370.98</v>
      </c>
      <c r="Q28" s="36" t="n">
        <v>270.92</v>
      </c>
      <c r="R28" s="36" t="n">
        <v>183.12</v>
      </c>
      <c r="S28" s="36" t="n">
        <v>242.26</v>
      </c>
      <c r="T28" s="36" t="n">
        <v>163.34</v>
      </c>
      <c r="U28" s="36" t="n">
        <v>94.73999999999999</v>
      </c>
      <c r="V28" s="37" t="n"/>
      <c r="W28" s="37" t="n"/>
      <c r="X28" s="37" t="n"/>
      <c r="Y28" s="37" t="n"/>
      <c r="Z28" s="37" t="n"/>
      <c r="AA28" s="35" t="n">
        <v>1687.52</v>
      </c>
      <c r="AB28" s="35" t="n">
        <v>1687.52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196.08</v>
      </c>
      <c r="C29" s="34" t="n">
        <v>380.03</v>
      </c>
      <c r="D29" s="34" t="n">
        <v>282.88</v>
      </c>
      <c r="E29" s="34" t="n">
        <v>198.79</v>
      </c>
      <c r="F29" s="34" t="n">
        <v>175.75</v>
      </c>
      <c r="G29" s="34" t="n">
        <v>199.6</v>
      </c>
      <c r="H29" s="34" t="n">
        <v>48.36</v>
      </c>
      <c r="I29" s="34" t="n">
        <v>142.09</v>
      </c>
      <c r="J29" s="34" t="n">
        <v>272.74</v>
      </c>
      <c r="K29" s="34" t="n">
        <v>118.14</v>
      </c>
      <c r="L29" s="34" t="n">
        <v>461.49</v>
      </c>
      <c r="M29" s="34" t="n">
        <v>114.88</v>
      </c>
      <c r="N29" s="35" t="n">
        <v>2590.83</v>
      </c>
      <c r="O29" s="36" t="n">
        <v>389.88</v>
      </c>
      <c r="P29" s="36" t="n">
        <v>256.22</v>
      </c>
      <c r="Q29" s="36" t="n">
        <v>848.6199999999999</v>
      </c>
      <c r="R29" s="36" t="n">
        <v>188.52</v>
      </c>
      <c r="S29" s="36" t="n">
        <v>240.9</v>
      </c>
      <c r="T29" s="36" t="n">
        <v>910.7</v>
      </c>
      <c r="U29" s="36" t="n">
        <v>461</v>
      </c>
      <c r="V29" s="37" t="n"/>
      <c r="W29" s="37" t="n"/>
      <c r="X29" s="37" t="n"/>
      <c r="Y29" s="37" t="n"/>
      <c r="Z29" s="37" t="n"/>
      <c r="AA29" s="35" t="n">
        <v>3295.84</v>
      </c>
      <c r="AB29" s="35" t="n">
        <v>3295.84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254.48</v>
      </c>
      <c r="D31" s="34" t="n">
        <v>271.36</v>
      </c>
      <c r="E31" s="34" t="n">
        <v>127.96</v>
      </c>
      <c r="F31" s="34" t="n">
        <v>114.68</v>
      </c>
      <c r="G31" s="34" t="n">
        <v>25</v>
      </c>
      <c r="H31" s="34" t="n">
        <v>117.42</v>
      </c>
      <c r="I31" s="34" t="n">
        <v>747.5600000000001</v>
      </c>
      <c r="J31" s="34" t="n">
        <v>940.75</v>
      </c>
      <c r="K31" s="34" t="n">
        <v>134.47</v>
      </c>
      <c r="L31" s="34" t="n">
        <v>122.22</v>
      </c>
      <c r="M31" s="34" t="n">
        <v>195.87</v>
      </c>
      <c r="N31" s="35" t="n">
        <v>3132.12</v>
      </c>
      <c r="O31" s="36" t="n">
        <v>783.8600000000001</v>
      </c>
      <c r="P31" s="36" t="n">
        <v>158.04</v>
      </c>
      <c r="Q31" s="36" t="n">
        <v>272.04</v>
      </c>
      <c r="R31" s="36" t="n">
        <v>398.26</v>
      </c>
      <c r="S31" s="36" t="n">
        <v>106.04</v>
      </c>
      <c r="T31" s="36" t="n">
        <v>153.82</v>
      </c>
      <c r="U31" s="36" t="n">
        <v>216.12</v>
      </c>
      <c r="V31" s="37" t="n"/>
      <c r="W31" s="37" t="n"/>
      <c r="X31" s="37" t="n"/>
      <c r="Y31" s="37" t="n"/>
      <c r="Z31" s="37" t="n"/>
      <c r="AA31" s="35" t="n">
        <v>2088.18</v>
      </c>
      <c r="AB31" s="35" t="n">
        <v>2088.18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255.92</v>
      </c>
      <c r="C32" s="34" t="n">
        <v>78.02000000000001</v>
      </c>
      <c r="D32" s="34" t="n">
        <v>57.88</v>
      </c>
      <c r="E32" s="34" t="n">
        <v>131.46</v>
      </c>
      <c r="F32" s="34" t="n">
        <v>191.74</v>
      </c>
      <c r="G32" s="34" t="n">
        <v>133.69</v>
      </c>
      <c r="H32" s="34" t="n">
        <v>222.43</v>
      </c>
      <c r="I32" s="34" t="n">
        <v>171.86</v>
      </c>
      <c r="J32" s="34" t="n">
        <v>219.4</v>
      </c>
      <c r="K32" s="34" t="n">
        <v>163.84</v>
      </c>
      <c r="L32" s="34" t="n">
        <v>239.61</v>
      </c>
      <c r="M32" s="34" t="n">
        <v>375.03</v>
      </c>
      <c r="N32" s="35" t="n">
        <v>2240.88</v>
      </c>
      <c r="O32" s="36" t="n">
        <v>532.3599999999999</v>
      </c>
      <c r="P32" s="36" t="n">
        <v>630.26</v>
      </c>
      <c r="Q32" s="36" t="n">
        <v>714.78</v>
      </c>
      <c r="R32" s="36" t="n">
        <v>826.24</v>
      </c>
      <c r="S32" s="36" t="n">
        <v>988.1600000000001</v>
      </c>
      <c r="T32" s="36" t="n">
        <v>868.3</v>
      </c>
      <c r="U32" s="36" t="n">
        <v>1010.88</v>
      </c>
      <c r="V32" s="37" t="n"/>
      <c r="W32" s="37" t="n"/>
      <c r="X32" s="37" t="n"/>
      <c r="Y32" s="37" t="n"/>
      <c r="Z32" s="37" t="n"/>
      <c r="AA32" s="35" t="n">
        <v>5570.98</v>
      </c>
      <c r="AB32" s="35" t="n">
        <v>5570.98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3000.11</v>
      </c>
      <c r="C34" s="41" t="n">
        <v>5500.26</v>
      </c>
      <c r="D34" s="41" t="n">
        <v>3278.12</v>
      </c>
      <c r="E34" s="41" t="n">
        <v>2260.56</v>
      </c>
      <c r="F34" s="41" t="n">
        <v>2971.33</v>
      </c>
      <c r="G34" s="41" t="n">
        <v>2295.58</v>
      </c>
      <c r="H34" s="41" t="n">
        <v>2489.18</v>
      </c>
      <c r="I34" s="41" t="n">
        <v>2910.29</v>
      </c>
      <c r="J34" s="41" t="n">
        <v>7258.650000000001</v>
      </c>
      <c r="K34" s="41" t="n">
        <v>3131.62</v>
      </c>
      <c r="L34" s="41" t="n">
        <v>2772.66</v>
      </c>
      <c r="M34" s="41" t="n">
        <v>2663.74</v>
      </c>
      <c r="N34" s="42" t="n">
        <v>40532.1</v>
      </c>
      <c r="O34" s="43" t="n">
        <v>6739.320000000001</v>
      </c>
      <c r="P34" s="43" t="n">
        <v>6597.379999999999</v>
      </c>
      <c r="Q34" s="43" t="n">
        <v>6816.44</v>
      </c>
      <c r="R34" s="43" t="n">
        <v>7505.460000000001</v>
      </c>
      <c r="S34" s="43" t="n">
        <v>6000.4</v>
      </c>
      <c r="T34" s="43" t="n">
        <v>6912.719999999998</v>
      </c>
      <c r="U34" s="43" t="n">
        <v>7102.3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47674.02</v>
      </c>
      <c r="AB34" s="42" t="n">
        <v>47674.02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1352.17</v>
      </c>
      <c r="C36" s="34" t="n">
        <v>1352.17</v>
      </c>
      <c r="D36" s="34" t="n">
        <v>1352.17</v>
      </c>
      <c r="E36" s="34" t="n">
        <v>1352.17</v>
      </c>
      <c r="F36" s="34" t="n">
        <v>1352.16</v>
      </c>
      <c r="G36" s="34" t="n">
        <v>1352.17</v>
      </c>
      <c r="H36" s="34" t="n">
        <v>1352.18</v>
      </c>
      <c r="I36" s="34" t="n">
        <v>1352.17</v>
      </c>
      <c r="J36" s="34" t="n">
        <v>1352.15</v>
      </c>
      <c r="K36" s="34" t="n">
        <v>1352.17</v>
      </c>
      <c r="L36" s="34" t="n">
        <v>1352.17</v>
      </c>
      <c r="M36" s="34" t="n">
        <v>1352.17</v>
      </c>
      <c r="N36" s="35" t="n">
        <v>16226.02</v>
      </c>
      <c r="O36" s="36" t="n">
        <v>0</v>
      </c>
      <c r="P36" s="36" t="n">
        <v>0</v>
      </c>
      <c r="Q36" s="36" t="n">
        <v>-0.01999999999998181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-0.01999999999998181</v>
      </c>
      <c r="AB36" s="35" t="n">
        <v>-0.01999999999998181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2675.89</v>
      </c>
      <c r="C37" s="34" t="n">
        <v>2675.89</v>
      </c>
      <c r="D37" s="34" t="n">
        <v>2675.89</v>
      </c>
      <c r="E37" s="34" t="n">
        <v>2675.89</v>
      </c>
      <c r="F37" s="34" t="n">
        <v>2675.87</v>
      </c>
      <c r="G37" s="34" t="n">
        <v>2675.89</v>
      </c>
      <c r="H37" s="34" t="n">
        <v>2675.89</v>
      </c>
      <c r="I37" s="34" t="n">
        <v>2675.89</v>
      </c>
      <c r="J37" s="34" t="n">
        <v>2675.89</v>
      </c>
      <c r="K37" s="34" t="n">
        <v>2675.89</v>
      </c>
      <c r="L37" s="34" t="n">
        <v>2675.89</v>
      </c>
      <c r="M37" s="34" t="n">
        <v>2675.89</v>
      </c>
      <c r="N37" s="35" t="n">
        <v>32110.66</v>
      </c>
      <c r="O37" s="36" t="n">
        <v>5351.78</v>
      </c>
      <c r="P37" s="36" t="n">
        <v>5351.76</v>
      </c>
      <c r="Q37" s="36" t="n">
        <v>5351.74</v>
      </c>
      <c r="R37" s="36" t="n">
        <v>6001.940000000001</v>
      </c>
      <c r="S37" s="36" t="n">
        <v>6001.940000000001</v>
      </c>
      <c r="T37" s="36" t="n">
        <v>6001.940000000001</v>
      </c>
      <c r="U37" s="36" t="n">
        <v>6001.92</v>
      </c>
      <c r="V37" s="37" t="n"/>
      <c r="W37" s="37" t="n"/>
      <c r="X37" s="37" t="n"/>
      <c r="Y37" s="37" t="n"/>
      <c r="Z37" s="37" t="n"/>
      <c r="AA37" s="35" t="n">
        <v>40063.02</v>
      </c>
      <c r="AB37" s="35" t="n">
        <v>40063.02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3509.46</v>
      </c>
      <c r="C38" s="34" t="n">
        <v>3660.35</v>
      </c>
      <c r="D38" s="34" t="n">
        <v>5568.2</v>
      </c>
      <c r="E38" s="34" t="n">
        <v>8007.949999999999</v>
      </c>
      <c r="F38" s="34" t="n">
        <v>1788.74</v>
      </c>
      <c r="G38" s="34" t="n">
        <v>1689.65</v>
      </c>
      <c r="H38" s="34" t="n">
        <v>169.8400000000001</v>
      </c>
      <c r="I38" s="34" t="n">
        <v>3754.63</v>
      </c>
      <c r="J38" s="34" t="n">
        <v>-37.61000000000001</v>
      </c>
      <c r="K38" s="34" t="n">
        <v>3108.2</v>
      </c>
      <c r="L38" s="34" t="n">
        <v>3987.78</v>
      </c>
      <c r="M38" s="34" t="n">
        <v>3893.51</v>
      </c>
      <c r="N38" s="35" t="n">
        <v>39100.7</v>
      </c>
      <c r="O38" s="36" t="n">
        <v>9607.639999999999</v>
      </c>
      <c r="P38" s="36" t="n">
        <v>10198.62</v>
      </c>
      <c r="Q38" s="36" t="n">
        <v>7662.76</v>
      </c>
      <c r="R38" s="36" t="n">
        <v>8124.42</v>
      </c>
      <c r="S38" s="36" t="n">
        <v>5569.32</v>
      </c>
      <c r="T38" s="36" t="n">
        <v>5889</v>
      </c>
      <c r="U38" s="36" t="n">
        <v>5203.82</v>
      </c>
      <c r="V38" s="37" t="n"/>
      <c r="W38" s="37" t="n"/>
      <c r="X38" s="37" t="n"/>
      <c r="Y38" s="37" t="n"/>
      <c r="Z38" s="37" t="n"/>
      <c r="AA38" s="35" t="n">
        <v>52255.58</v>
      </c>
      <c r="AB38" s="35" t="n">
        <v>52255.58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684.62</v>
      </c>
      <c r="D39" s="34" t="n">
        <v>1279.46</v>
      </c>
      <c r="E39" s="34" t="n">
        <v>467.35</v>
      </c>
      <c r="F39" s="34" t="n">
        <v>370.59</v>
      </c>
      <c r="G39" s="34" t="n">
        <v>9013.309999999999</v>
      </c>
      <c r="H39" s="34" t="n">
        <v>3047.56</v>
      </c>
      <c r="I39" s="34" t="n">
        <v>883.29</v>
      </c>
      <c r="J39" s="34" t="n">
        <v>196.41</v>
      </c>
      <c r="K39" s="34" t="n">
        <v>0</v>
      </c>
      <c r="L39" s="34" t="n">
        <v>27.8</v>
      </c>
      <c r="M39" s="34" t="n">
        <v>502.36</v>
      </c>
      <c r="N39" s="35" t="n">
        <v>16942.46</v>
      </c>
      <c r="O39" s="36" t="n">
        <v>265.57</v>
      </c>
      <c r="P39" s="36" t="n">
        <v>399.74</v>
      </c>
      <c r="Q39" s="36" t="n">
        <v>0</v>
      </c>
      <c r="R39" s="36" t="n">
        <v>558</v>
      </c>
      <c r="S39" s="36" t="n">
        <v>245.7</v>
      </c>
      <c r="T39" s="36" t="n">
        <v>15.54</v>
      </c>
      <c r="U39" s="36" t="n">
        <v>1737.04</v>
      </c>
      <c r="V39" s="37" t="n"/>
      <c r="W39" s="37" t="n"/>
      <c r="X39" s="37" t="n"/>
      <c r="Y39" s="37" t="n"/>
      <c r="Z39" s="37" t="n"/>
      <c r="AA39" s="35" t="n">
        <v>3221.59</v>
      </c>
      <c r="AB39" s="35" t="n">
        <v>3221.59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565.36</v>
      </c>
      <c r="C40" s="34" t="n">
        <v>146.78</v>
      </c>
      <c r="D40" s="34" t="n">
        <v>1009.05</v>
      </c>
      <c r="E40" s="34" t="n">
        <v>591.6899999999999</v>
      </c>
      <c r="F40" s="34" t="n">
        <v>683.0300000000001</v>
      </c>
      <c r="G40" s="34" t="n">
        <v>228.26</v>
      </c>
      <c r="H40" s="34" t="n">
        <v>275.9400000000001</v>
      </c>
      <c r="I40" s="34" t="n">
        <v>419.46</v>
      </c>
      <c r="J40" s="34" t="n">
        <v>706.9599999999999</v>
      </c>
      <c r="K40" s="34" t="n">
        <v>518.13</v>
      </c>
      <c r="L40" s="34" t="n">
        <v>302.55</v>
      </c>
      <c r="M40" s="34" t="n">
        <v>223.94</v>
      </c>
      <c r="N40" s="35" t="n">
        <v>5671.15</v>
      </c>
      <c r="O40" s="36" t="n">
        <v>624.1</v>
      </c>
      <c r="P40" s="36" t="n">
        <v>1661.36</v>
      </c>
      <c r="Q40" s="36" t="n">
        <v>538.58</v>
      </c>
      <c r="R40" s="36" t="n">
        <v>429.48</v>
      </c>
      <c r="S40" s="36" t="n">
        <v>374.26</v>
      </c>
      <c r="T40" s="36" t="n">
        <v>865.52</v>
      </c>
      <c r="U40" s="36" t="n">
        <v>1514.04</v>
      </c>
      <c r="V40" s="37" t="n"/>
      <c r="W40" s="37" t="n"/>
      <c r="X40" s="37" t="n"/>
      <c r="Y40" s="37" t="n"/>
      <c r="Z40" s="37" t="n"/>
      <c r="AA40" s="35" t="n">
        <v>6007.34</v>
      </c>
      <c r="AB40" s="35" t="n">
        <v>6007.34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652.52</v>
      </c>
      <c r="C41" s="34" t="n">
        <v>805.1400000000001</v>
      </c>
      <c r="D41" s="34" t="n">
        <v>828.9799999999999</v>
      </c>
      <c r="E41" s="34" t="n">
        <v>628.63</v>
      </c>
      <c r="F41" s="34" t="n">
        <v>649.87</v>
      </c>
      <c r="G41" s="34" t="n">
        <v>768.5600000000001</v>
      </c>
      <c r="H41" s="34" t="n">
        <v>727.29</v>
      </c>
      <c r="I41" s="34" t="n">
        <v>991.83</v>
      </c>
      <c r="J41" s="34" t="n">
        <v>1199.28</v>
      </c>
      <c r="K41" s="34" t="n">
        <v>829.89</v>
      </c>
      <c r="L41" s="34" t="n">
        <v>1015.03</v>
      </c>
      <c r="M41" s="34" t="n">
        <v>1120.28</v>
      </c>
      <c r="N41" s="35" t="n">
        <v>10217.3</v>
      </c>
      <c r="O41" s="36" t="n">
        <v>2004.16</v>
      </c>
      <c r="P41" s="36" t="n">
        <v>2004.14</v>
      </c>
      <c r="Q41" s="36" t="n">
        <v>2419.42</v>
      </c>
      <c r="R41" s="36" t="n">
        <v>2807.26</v>
      </c>
      <c r="S41" s="36" t="n">
        <v>2313.78</v>
      </c>
      <c r="T41" s="36" t="n">
        <v>1773.54</v>
      </c>
      <c r="U41" s="36" t="n">
        <v>2899.96</v>
      </c>
      <c r="V41" s="37" t="n"/>
      <c r="W41" s="37" t="n"/>
      <c r="X41" s="37" t="n"/>
      <c r="Y41" s="37" t="n"/>
      <c r="Z41" s="37" t="n"/>
      <c r="AA41" s="35" t="n">
        <v>16222.26</v>
      </c>
      <c r="AB41" s="35" t="n">
        <v>16222.26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79.33</v>
      </c>
      <c r="C42" s="34" t="n">
        <v>93.42999999999999</v>
      </c>
      <c r="D42" s="34" t="n">
        <v>72.05</v>
      </c>
      <c r="E42" s="34" t="n">
        <v>142.42</v>
      </c>
      <c r="F42" s="34" t="n">
        <v>44.7</v>
      </c>
      <c r="G42" s="34" t="n">
        <v>72.30000000000001</v>
      </c>
      <c r="H42" s="34" t="n">
        <v>44.95999999999999</v>
      </c>
      <c r="I42" s="34" t="n">
        <v>322.6</v>
      </c>
      <c r="J42" s="34" t="n">
        <v>319.56</v>
      </c>
      <c r="K42" s="34" t="n">
        <v>760.77</v>
      </c>
      <c r="L42" s="34" t="n">
        <v>49.97</v>
      </c>
      <c r="M42" s="34" t="n">
        <v>-386.72</v>
      </c>
      <c r="N42" s="35" t="n">
        <v>1615.37</v>
      </c>
      <c r="O42" s="36" t="n">
        <v>169.64</v>
      </c>
      <c r="P42" s="36" t="n">
        <v>130.74</v>
      </c>
      <c r="Q42" s="36" t="n">
        <v>101.18</v>
      </c>
      <c r="R42" s="36" t="n">
        <v>66.64</v>
      </c>
      <c r="S42" s="36" t="n">
        <v>85.78</v>
      </c>
      <c r="T42" s="36" t="n">
        <v>379.06</v>
      </c>
      <c r="U42" s="36" t="n">
        <v>297.82</v>
      </c>
      <c r="V42" s="37" t="n"/>
      <c r="W42" s="37" t="n"/>
      <c r="X42" s="37" t="n"/>
      <c r="Y42" s="37" t="n"/>
      <c r="Z42" s="37" t="n"/>
      <c r="AA42" s="35" t="n">
        <v>1230.86</v>
      </c>
      <c r="AB42" s="35" t="n">
        <v>1230.86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10</v>
      </c>
      <c r="L43" s="34" t="n">
        <v>10</v>
      </c>
      <c r="M43" s="34" t="n">
        <v>10</v>
      </c>
      <c r="N43" s="35" t="n">
        <v>50</v>
      </c>
      <c r="O43" s="36" t="n">
        <v>173.36</v>
      </c>
      <c r="P43" s="36" t="n">
        <v>146.6</v>
      </c>
      <c r="Q43" s="36" t="n">
        <v>11.9</v>
      </c>
      <c r="R43" s="36" t="n">
        <v>112</v>
      </c>
      <c r="S43" s="36" t="n">
        <v>352</v>
      </c>
      <c r="T43" s="36" t="n">
        <v>9.9</v>
      </c>
      <c r="U43" s="36" t="n">
        <v>95.98</v>
      </c>
      <c r="V43" s="37" t="n"/>
      <c r="W43" s="37" t="n"/>
      <c r="X43" s="37" t="n"/>
      <c r="Y43" s="37" t="n"/>
      <c r="Z43" s="37" t="n"/>
      <c r="AA43" s="35" t="n">
        <v>901.7399999999999</v>
      </c>
      <c r="AB43" s="35" t="n">
        <v>901.7399999999999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2897.94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23953.43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11860.03</v>
      </c>
      <c r="C47" s="41" t="n">
        <v>12012.69</v>
      </c>
      <c r="D47" s="41" t="n">
        <v>15335.56</v>
      </c>
      <c r="E47" s="41" t="n">
        <v>16421.62</v>
      </c>
      <c r="F47" s="41" t="n">
        <v>10120.81</v>
      </c>
      <c r="G47" s="41" t="n">
        <v>18392.84</v>
      </c>
      <c r="H47" s="41" t="n">
        <v>10843.64</v>
      </c>
      <c r="I47" s="41" t="n">
        <v>13297.81</v>
      </c>
      <c r="J47" s="41" t="n">
        <v>8982.59</v>
      </c>
      <c r="K47" s="41" t="n">
        <v>9804.889999999999</v>
      </c>
      <c r="L47" s="41" t="n">
        <v>9421.190000000001</v>
      </c>
      <c r="M47" s="41" t="n">
        <v>9393.42</v>
      </c>
      <c r="N47" s="51" t="n">
        <v>145887.09</v>
      </c>
      <c r="O47" s="43" t="n">
        <v>18196.25</v>
      </c>
      <c r="P47" s="43" t="n">
        <v>19892.96</v>
      </c>
      <c r="Q47" s="43" t="n">
        <v>16085.56</v>
      </c>
      <c r="R47" s="43" t="n">
        <v>18099.74</v>
      </c>
      <c r="S47" s="43" t="n">
        <v>14942.78</v>
      </c>
      <c r="T47" s="43" t="n">
        <v>14934.5</v>
      </c>
      <c r="U47" s="43" t="n">
        <v>17750.58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119902.37</v>
      </c>
      <c r="AB47" s="51" t="n">
        <v>119902.37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68011.43000000001</v>
      </c>
      <c r="C48" s="22" t="n">
        <v>64282.61</v>
      </c>
      <c r="D48" s="22" t="n">
        <v>66662.03999999999</v>
      </c>
      <c r="E48" s="22" t="n">
        <v>69839.48999999999</v>
      </c>
      <c r="F48" s="22" t="n">
        <v>66832.78</v>
      </c>
      <c r="G48" s="22" t="n">
        <v>75735.2</v>
      </c>
      <c r="H48" s="22" t="n">
        <v>75217.61</v>
      </c>
      <c r="I48" s="22" t="n">
        <v>68608.59000000001</v>
      </c>
      <c r="J48" s="22" t="n">
        <v>74484.88</v>
      </c>
      <c r="K48" s="22" t="n">
        <v>73251.75999999999</v>
      </c>
      <c r="L48" s="22" t="n">
        <v>72715.04000000001</v>
      </c>
      <c r="M48" s="22" t="n">
        <v>72587.02000000002</v>
      </c>
      <c r="N48" s="35" t="n">
        <v>848228.4500000001</v>
      </c>
      <c r="O48" s="24" t="n">
        <v>153575.81</v>
      </c>
      <c r="P48" s="24" t="n">
        <v>140308.62</v>
      </c>
      <c r="Q48" s="24" t="n">
        <v>140112.22</v>
      </c>
      <c r="R48" s="24" t="n">
        <v>158578.34</v>
      </c>
      <c r="S48" s="24" t="n">
        <v>166441.94</v>
      </c>
      <c r="T48" s="24" t="n">
        <v>164156.38</v>
      </c>
      <c r="U48" s="24" t="n">
        <v>169281.9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1092455.21</v>
      </c>
      <c r="AB48" s="35" t="n">
        <v>1092455.21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34505.5</v>
      </c>
      <c r="C50" s="54" t="n">
        <v>26918.79000000001</v>
      </c>
      <c r="D50" s="54" t="n">
        <v>35983.39</v>
      </c>
      <c r="E50" s="54" t="n">
        <v>29437.78999999999</v>
      </c>
      <c r="F50" s="54" t="n">
        <v>25055.40999999999</v>
      </c>
      <c r="G50" s="54" t="n">
        <v>7847.660000000003</v>
      </c>
      <c r="H50" s="54" t="n">
        <v>42573.25</v>
      </c>
      <c r="I50" s="54" t="n">
        <v>-576.7200000000303</v>
      </c>
      <c r="J50" s="54" t="n">
        <v>-8250.710000000006</v>
      </c>
      <c r="K50" s="54" t="n">
        <v>-3468.299999999988</v>
      </c>
      <c r="L50" s="54" t="n">
        <v>7009.87999999999</v>
      </c>
      <c r="M50" s="54" t="n">
        <v>15826.12999999998</v>
      </c>
      <c r="N50" s="54" t="n">
        <v>212862.0699999999</v>
      </c>
      <c r="O50" s="54" t="n">
        <v>3133.109999999986</v>
      </c>
      <c r="P50" s="54" t="n">
        <v>14425.96000000002</v>
      </c>
      <c r="Q50" s="54" t="n">
        <v>32349</v>
      </c>
      <c r="R50" s="54" t="n">
        <v>38604.56</v>
      </c>
      <c r="S50" s="54" t="n">
        <v>31507</v>
      </c>
      <c r="T50" s="54" t="n">
        <v>54306.44</v>
      </c>
      <c r="U50" s="54" t="n">
        <v>44853.36000000002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219179.43</v>
      </c>
      <c r="AB50" s="54" t="n">
        <v>219179.43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407.15</v>
      </c>
      <c r="N57" s="35" t="n">
        <v>607.15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125.1</v>
      </c>
      <c r="P58" s="36" t="n">
        <v>125.1</v>
      </c>
      <c r="Q58" s="36" t="n">
        <v>125.1</v>
      </c>
      <c r="R58" s="36" t="n">
        <v>125.1</v>
      </c>
      <c r="S58" s="36" t="n">
        <v>125.1</v>
      </c>
      <c r="T58" s="36" t="n">
        <v>125.1</v>
      </c>
      <c r="U58" s="36" t="n">
        <v>135</v>
      </c>
      <c r="V58" s="37" t="n"/>
      <c r="W58" s="37" t="n"/>
      <c r="X58" s="37" t="n"/>
      <c r="Y58" s="37" t="n"/>
      <c r="Z58" s="37" t="n"/>
      <c r="AA58" s="35" t="n">
        <v>885.5999999999999</v>
      </c>
      <c r="AB58" s="35" t="n">
        <v>885.5999999999999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402.76</v>
      </c>
      <c r="C59" s="34" t="n">
        <v>402.76</v>
      </c>
      <c r="D59" s="34" t="n">
        <v>402.76</v>
      </c>
      <c r="E59" s="34" t="n">
        <v>402.76</v>
      </c>
      <c r="F59" s="34" t="n">
        <v>402.74</v>
      </c>
      <c r="G59" s="34" t="n">
        <v>617.5599999999999</v>
      </c>
      <c r="H59" s="34" t="n">
        <v>617.5599999999999</v>
      </c>
      <c r="I59" s="34" t="n">
        <v>617.5599999999999</v>
      </c>
      <c r="J59" s="34" t="n">
        <v>617.5599999999999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6417.22</v>
      </c>
      <c r="O59" s="36" t="n">
        <v>1288.8</v>
      </c>
      <c r="P59" s="36" t="n">
        <v>1288.8</v>
      </c>
      <c r="Q59" s="36" t="n">
        <v>1288.8</v>
      </c>
      <c r="R59" s="36" t="n">
        <v>1288.8</v>
      </c>
      <c r="S59" s="36" t="n">
        <v>1288.8</v>
      </c>
      <c r="T59" s="36" t="n">
        <v>1288.8</v>
      </c>
      <c r="U59" s="36" t="n">
        <v>1288.8</v>
      </c>
      <c r="V59" s="37" t="n"/>
      <c r="W59" s="37" t="n"/>
      <c r="X59" s="37" t="n"/>
      <c r="Y59" s="37" t="n"/>
      <c r="Z59" s="37" t="n"/>
      <c r="AA59" s="35" t="n">
        <v>9021.6</v>
      </c>
      <c r="AB59" s="35" t="n">
        <v>9021.6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1832.77</v>
      </c>
      <c r="C60" s="34" t="n">
        <v>463.8100000000002</v>
      </c>
      <c r="D60" s="34" t="n">
        <v>665.2400000000001</v>
      </c>
      <c r="E60" s="34" t="n">
        <v>1210.149999999999</v>
      </c>
      <c r="F60" s="34" t="n">
        <v>210.41</v>
      </c>
      <c r="G60" s="34" t="n">
        <v>467.98</v>
      </c>
      <c r="H60" s="34" t="n">
        <v>263.02</v>
      </c>
      <c r="I60" s="34" t="n">
        <v>203.55</v>
      </c>
      <c r="J60" s="34" t="n">
        <v>260.11</v>
      </c>
      <c r="K60" s="34" t="n">
        <v>514.09</v>
      </c>
      <c r="L60" s="34" t="n">
        <v>330.8000000000001</v>
      </c>
      <c r="M60" s="34" t="n">
        <v>277.3400000000001</v>
      </c>
      <c r="N60" s="35" t="n">
        <v>6699.27</v>
      </c>
      <c r="O60" s="36" t="n">
        <v>462.28</v>
      </c>
      <c r="P60" s="36" t="n">
        <v>513</v>
      </c>
      <c r="Q60" s="36" t="n">
        <v>480.18</v>
      </c>
      <c r="R60" s="36" t="n">
        <v>2676.96</v>
      </c>
      <c r="S60" s="36" t="n">
        <v>392.1799999999999</v>
      </c>
      <c r="T60" s="36" t="n">
        <v>173.48</v>
      </c>
      <c r="U60" s="36" t="n">
        <v>293.32</v>
      </c>
      <c r="V60" s="37" t="n"/>
      <c r="W60" s="37" t="n"/>
      <c r="X60" s="37" t="n"/>
      <c r="Y60" s="37" t="n"/>
      <c r="Z60" s="37" t="n"/>
      <c r="AA60" s="35" t="n">
        <v>4991.4</v>
      </c>
      <c r="AB60" s="35" t="n">
        <v>4991.4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127.99</v>
      </c>
      <c r="H61" s="34" t="n">
        <v>97.05</v>
      </c>
      <c r="I61" s="34" t="n">
        <v>0</v>
      </c>
      <c r="J61" s="34" t="n">
        <v>19.94</v>
      </c>
      <c r="K61" s="34" t="n">
        <v>102.72</v>
      </c>
      <c r="L61" s="34" t="n">
        <v>66.54000000000001</v>
      </c>
      <c r="M61" s="34" t="n">
        <v>99.97999999999999</v>
      </c>
      <c r="N61" s="35" t="n">
        <v>640.51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64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697.5</v>
      </c>
      <c r="K62" s="34" t="n">
        <v>70</v>
      </c>
      <c r="L62" s="34" t="n">
        <v>0</v>
      </c>
      <c r="M62" s="34" t="n">
        <v>20</v>
      </c>
      <c r="N62" s="35" t="n">
        <v>2086.66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2880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2880</v>
      </c>
      <c r="AB65" s="35" t="n">
        <v>2880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1024</v>
      </c>
      <c r="P66" s="36" t="n">
        <v>1016</v>
      </c>
      <c r="Q66" s="36" t="n">
        <v>1006</v>
      </c>
      <c r="R66" s="36" t="n">
        <v>998</v>
      </c>
      <c r="S66" s="36" t="n">
        <v>988</v>
      </c>
      <c r="T66" s="36" t="n">
        <v>980</v>
      </c>
      <c r="U66" s="36" t="n">
        <v>970</v>
      </c>
      <c r="V66" s="37" t="n"/>
      <c r="W66" s="37" t="n"/>
      <c r="X66" s="37" t="n"/>
      <c r="Y66" s="37" t="n"/>
      <c r="Z66" s="37" t="n"/>
      <c r="AA66" s="35" t="n">
        <v>6982</v>
      </c>
      <c r="AB66" s="35" t="n">
        <v>6982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42</v>
      </c>
      <c r="P67" s="36" t="n">
        <v>53.8</v>
      </c>
      <c r="Q67" s="36" t="n">
        <v>41.3</v>
      </c>
      <c r="R67" s="36" t="n">
        <v>50.4</v>
      </c>
      <c r="S67" s="36" t="n">
        <v>53.9</v>
      </c>
      <c r="T67" s="36" t="n">
        <v>45.5</v>
      </c>
      <c r="U67" s="36" t="n">
        <v>56.7</v>
      </c>
      <c r="V67" s="37" t="n"/>
      <c r="W67" s="37" t="n"/>
      <c r="X67" s="37" t="n"/>
      <c r="Y67" s="37" t="n"/>
      <c r="Z67" s="37" t="n"/>
      <c r="AA67" s="35" t="n">
        <v>343.6</v>
      </c>
      <c r="AB67" s="35" t="n">
        <v>343.6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2326.48</v>
      </c>
      <c r="C69" s="41" t="n">
        <v>1507.58</v>
      </c>
      <c r="D69" s="41" t="n">
        <v>1541.28</v>
      </c>
      <c r="E69" s="41" t="n">
        <v>2952.009999999999</v>
      </c>
      <c r="F69" s="41" t="n">
        <v>761.71</v>
      </c>
      <c r="G69" s="41" t="n">
        <v>1292.68</v>
      </c>
      <c r="H69" s="41" t="n">
        <v>1127.03</v>
      </c>
      <c r="I69" s="41" t="n">
        <v>907.4599999999999</v>
      </c>
      <c r="J69" s="41" t="n">
        <v>1675.51</v>
      </c>
      <c r="K69" s="41" t="n">
        <v>1414.06</v>
      </c>
      <c r="L69" s="41" t="n">
        <v>1325.29</v>
      </c>
      <c r="M69" s="41" t="n">
        <v>2470.97</v>
      </c>
      <c r="N69" s="42" t="n">
        <v>19302.06</v>
      </c>
      <c r="O69" s="43" t="n">
        <v>2942.18</v>
      </c>
      <c r="P69" s="43" t="n">
        <v>2996.7</v>
      </c>
      <c r="Q69" s="43" t="n">
        <v>5821.38</v>
      </c>
      <c r="R69" s="43" t="n">
        <v>5139.26</v>
      </c>
      <c r="S69" s="43" t="n">
        <v>2847.98</v>
      </c>
      <c r="T69" s="43" t="n">
        <v>2612.88</v>
      </c>
      <c r="U69" s="43" t="n">
        <v>2743.82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25104.2</v>
      </c>
      <c r="AB69" s="42" t="n">
        <v>25104.2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32179.02</v>
      </c>
      <c r="C70" s="54" t="n">
        <v>25411.21000000001</v>
      </c>
      <c r="D70" s="54" t="n">
        <v>34442.11</v>
      </c>
      <c r="E70" s="54" t="n">
        <v>26485.78</v>
      </c>
      <c r="F70" s="54" t="n">
        <v>24293.69999999999</v>
      </c>
      <c r="G70" s="54" t="n">
        <v>6554.980000000003</v>
      </c>
      <c r="H70" s="54" t="n">
        <v>41446.22</v>
      </c>
      <c r="I70" s="54" t="n">
        <v>-1484.18000000003</v>
      </c>
      <c r="J70" s="54" t="n">
        <v>-9926.220000000007</v>
      </c>
      <c r="K70" s="54" t="n">
        <v>-4882.359999999989</v>
      </c>
      <c r="L70" s="54" t="n">
        <v>5684.58999999999</v>
      </c>
      <c r="M70" s="54" t="n">
        <v>13355.15999999997</v>
      </c>
      <c r="N70" s="54" t="n">
        <v>193560.0099999999</v>
      </c>
      <c r="O70" s="54" t="n">
        <v>190.9299999999862</v>
      </c>
      <c r="P70" s="54" t="n">
        <v>11429.26000000002</v>
      </c>
      <c r="Q70" s="54" t="n">
        <v>26527.62</v>
      </c>
      <c r="R70" s="54" t="n">
        <v>33465.3</v>
      </c>
      <c r="S70" s="54" t="n">
        <v>28659.02</v>
      </c>
      <c r="T70" s="54" t="n">
        <v>51693.56</v>
      </c>
      <c r="U70" s="54" t="n">
        <v>42109.54000000002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194075.23</v>
      </c>
      <c r="AB70" s="54" t="n">
        <v>194075.23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32179.02000000001</v>
      </c>
      <c r="C79" s="56" t="n">
        <v>25411.21000000001</v>
      </c>
      <c r="D79" s="56" t="n">
        <v>34442.11</v>
      </c>
      <c r="E79" s="56" t="n">
        <v>26485.78</v>
      </c>
      <c r="F79" s="56" t="n">
        <v>24293.69999999999</v>
      </c>
      <c r="G79" s="56" t="n">
        <v>6554.979999999989</v>
      </c>
      <c r="H79" s="56" t="n">
        <v>41446.22</v>
      </c>
      <c r="I79" s="56" t="n">
        <v>-1484.180000000001</v>
      </c>
      <c r="J79" s="56" t="n">
        <v>-9926.220000000007</v>
      </c>
      <c r="K79" s="56" t="n">
        <v>-4882.360000000003</v>
      </c>
      <c r="L79" s="56" t="n">
        <v>5684.590000000005</v>
      </c>
      <c r="M79" s="56" t="n">
        <v>13355.15999999999</v>
      </c>
      <c r="N79" s="77" t="n">
        <v>193560.01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N80" s="59" t="n"/>
      <c r="AA80" s="59" t="n">
        <v>0</v>
      </c>
      <c r="AB80" t="n">
        <v>0</v>
      </c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Borrowing Costs</t>
        </is>
      </c>
      <c r="I82" s="55" t="n"/>
      <c r="J82" s="55" t="n"/>
      <c r="K82" s="55" t="n"/>
      <c r="L82" s="55" t="n"/>
      <c r="M82" s="55" t="n"/>
      <c r="N82" s="55" t="n"/>
      <c r="O82" s="59" t="n">
        <v>0</v>
      </c>
      <c r="P82" s="59" t="n">
        <v>0</v>
      </c>
      <c r="Q82" s="59" t="n">
        <v>0</v>
      </c>
      <c r="R82" s="59" t="n">
        <v>0</v>
      </c>
      <c r="S82" s="59" t="n">
        <v>0</v>
      </c>
      <c r="T82" s="59" t="n">
        <v>0</v>
      </c>
      <c r="U82" s="59" t="n">
        <v>1</v>
      </c>
      <c r="V82" s="59" t="n">
        <v>0</v>
      </c>
      <c r="W82" s="59" t="n">
        <v>0</v>
      </c>
      <c r="X82" s="59" t="n">
        <v>0</v>
      </c>
      <c r="Y82" s="59" t="n">
        <v>0</v>
      </c>
      <c r="Z82" s="59" t="n">
        <v>0</v>
      </c>
      <c r="AA82" t="n">
        <v>1</v>
      </c>
      <c r="AB82" s="59" t="n">
        <v>1</v>
      </c>
    </row>
    <row r="83">
      <c r="A83" s="33" t="inlineStr">
        <is>
          <t>Depreciation</t>
        </is>
      </c>
      <c r="I83" s="55" t="n"/>
      <c r="J83" s="55" t="n"/>
      <c r="K83" s="55" t="n"/>
      <c r="L83" s="55" t="n"/>
      <c r="M83" s="55" t="n"/>
      <c r="N83" s="55" t="n"/>
      <c r="O83" s="59" t="n">
        <v>579.4525</v>
      </c>
      <c r="P83" s="59" t="n">
        <v>579.4525</v>
      </c>
      <c r="Q83" s="59" t="n">
        <v>579.4525</v>
      </c>
      <c r="R83" s="59" t="n">
        <v>579.4525</v>
      </c>
      <c r="S83" s="59" t="n">
        <v>579.4525</v>
      </c>
      <c r="T83" s="59" t="n">
        <v>579.4525</v>
      </c>
      <c r="U83" s="59" t="n">
        <v>580.4525</v>
      </c>
      <c r="V83" s="59" t="n">
        <v>547.8125</v>
      </c>
      <c r="W83" s="59" t="n">
        <v>547.8125</v>
      </c>
      <c r="X83" s="59" t="n">
        <v>547.8125</v>
      </c>
      <c r="Y83" s="59" t="n">
        <v>547.8125</v>
      </c>
      <c r="Z83" s="59" t="n">
        <v>542.1725</v>
      </c>
      <c r="AA83" t="n">
        <v>4057.1675</v>
      </c>
      <c r="AB83" s="59" t="n">
        <v>6790.59</v>
      </c>
    </row>
    <row r="84">
      <c r="A84" s="33" t="inlineStr">
        <is>
          <t>Amortisation</t>
        </is>
      </c>
      <c r="I84" s="55" t="n"/>
      <c r="J84" s="55" t="n"/>
      <c r="K84" s="55" t="n"/>
      <c r="L84" s="55" t="n"/>
      <c r="M84" s="55" t="n"/>
      <c r="N84" s="55" t="n"/>
      <c r="O84" s="59" t="n">
        <v>0</v>
      </c>
      <c r="P84" s="59" t="n">
        <v>0</v>
      </c>
      <c r="Q84" s="59" t="n">
        <v>0</v>
      </c>
      <c r="R84" s="59" t="n">
        <v>0</v>
      </c>
      <c r="S84" s="59" t="n">
        <v>0</v>
      </c>
      <c r="T84" s="59" t="n">
        <v>0</v>
      </c>
      <c r="U84" s="59" t="n">
        <v>1</v>
      </c>
      <c r="V84" s="59" t="n">
        <v>0</v>
      </c>
      <c r="W84" s="59" t="n">
        <v>0</v>
      </c>
      <c r="X84" s="59" t="n">
        <v>0</v>
      </c>
      <c r="Y84" s="59" t="n">
        <v>0</v>
      </c>
      <c r="Z84" s="59" t="n">
        <v>0</v>
      </c>
      <c r="AA84" t="n">
        <v>1</v>
      </c>
      <c r="AB84" s="59" t="n">
        <v>1</v>
      </c>
    </row>
    <row r="85">
      <c r="A85" s="69" t="inlineStr">
        <is>
          <t>Profit Before Tax</t>
        </is>
      </c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  <c r="AA85" s="55" t="n">
        <v>0</v>
      </c>
      <c r="AB85" s="55" t="n">
        <v>0</v>
      </c>
      <c r="AC85" s="55" t="n"/>
      <c r="AD85" s="55" t="n"/>
      <c r="AE85" s="55" t="n"/>
      <c r="AF85" s="55" t="n"/>
      <c r="AG85" s="55" t="n"/>
      <c r="AH85" s="55" t="n"/>
    </row>
    <row r="86" ht="15.75" customHeight="1">
      <c r="A86" s="70" t="inlineStr">
        <is>
          <t>Corp Tax Due</t>
        </is>
      </c>
      <c r="B86" s="63" t="n"/>
      <c r="C86" s="63" t="n"/>
      <c r="D86" s="63" t="n"/>
      <c r="E86" s="63" t="n"/>
      <c r="F86" s="63" t="n"/>
      <c r="G86" s="63" t="n"/>
      <c r="H86" s="63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>
        <v>0</v>
      </c>
      <c r="AB86" s="71" t="n">
        <v>0</v>
      </c>
      <c r="AC86" s="71" t="n"/>
      <c r="AD86" s="71" t="n"/>
      <c r="AE86" s="71" t="n"/>
      <c r="AF86" s="71" t="n"/>
      <c r="AG86" s="71" t="n"/>
      <c r="AH86" s="71" t="n"/>
    </row>
    <row r="87" ht="15.75" customHeight="1">
      <c r="A87" s="21" t="n"/>
      <c r="AA87" t="n">
        <v>0</v>
      </c>
      <c r="AB87" t="n">
        <v>0</v>
      </c>
    </row>
    <row r="88">
      <c r="AA88" t="n">
        <v>0</v>
      </c>
      <c r="AB88" t="n">
        <v>0</v>
      </c>
    </row>
    <row r="89">
      <c r="AA89" t="n">
        <v>0</v>
      </c>
      <c r="AB89" t="n">
        <v>0</v>
      </c>
    </row>
    <row r="90">
      <c r="AA90" t="n">
        <v>0</v>
      </c>
      <c r="AB90" t="n">
        <v>0</v>
      </c>
    </row>
    <row r="91">
      <c r="A91" s="59" t="inlineStr">
        <is>
          <t>Memo</t>
        </is>
      </c>
      <c r="AA91" t="n">
        <v>0</v>
      </c>
      <c r="AB91" t="n">
        <v>0</v>
      </c>
    </row>
    <row r="92">
      <c r="A92" s="59" t="inlineStr">
        <is>
          <t>Direct - Sales</t>
        </is>
      </c>
      <c r="B92" s="59" t="n">
        <v>102516.93</v>
      </c>
      <c r="C92" s="59" t="n">
        <v>91201.40000000001</v>
      </c>
      <c r="D92" s="59" t="n">
        <v>102645.43</v>
      </c>
      <c r="E92" s="59" t="n">
        <v>99277.27999999998</v>
      </c>
      <c r="F92" s="59" t="n">
        <v>91888.18999999999</v>
      </c>
      <c r="G92" s="59" t="n">
        <v>83582.85999999999</v>
      </c>
      <c r="H92" s="59" t="n">
        <v>117790.86</v>
      </c>
      <c r="I92" s="59" t="n">
        <v>68031.87</v>
      </c>
      <c r="J92" s="59" t="n">
        <v>66234.17</v>
      </c>
      <c r="K92" s="59" t="n">
        <v>69783.46000000001</v>
      </c>
      <c r="L92" s="59" t="n">
        <v>79724.92</v>
      </c>
      <c r="N92" t="n">
        <v>972677.37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A93" s="33" t="inlineStr">
        <is>
          <t>Direct - Staff Cost</t>
        </is>
      </c>
      <c r="B93" s="17" t="n">
        <v>-53151.28999999999</v>
      </c>
      <c r="C93" s="17" t="n">
        <v>-46769.66</v>
      </c>
      <c r="D93" s="17" t="n">
        <v>-48048.35999999999</v>
      </c>
      <c r="E93" s="17" t="n">
        <v>-51157.31</v>
      </c>
      <c r="F93" s="17" t="n">
        <v>-53740.63999999999</v>
      </c>
      <c r="G93" s="17" t="n">
        <v>-55046.78</v>
      </c>
      <c r="H93" s="17" t="n">
        <v>-61884.79</v>
      </c>
      <c r="I93" s="17" t="n">
        <v>-52400.49</v>
      </c>
      <c r="J93" s="17" t="n">
        <v>-58243.64</v>
      </c>
      <c r="K93" s="17" t="n">
        <v>-60315.25000000001</v>
      </c>
      <c r="L93" s="17" t="n">
        <v>-60521.19</v>
      </c>
      <c r="M93" s="17" t="n"/>
      <c r="N93" t="n">
        <v>-601279.4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A94" s="59" t="inlineStr">
        <is>
          <t>Direct - Childcare Cost</t>
        </is>
      </c>
      <c r="B94" s="17" t="n">
        <v>-3000.11</v>
      </c>
      <c r="C94" s="17" t="n">
        <v>-5500.259999999999</v>
      </c>
      <c r="D94" s="17" t="n">
        <v>-3278.120000000001</v>
      </c>
      <c r="E94" s="17" t="n">
        <v>-2260.56</v>
      </c>
      <c r="F94" s="17" t="n">
        <v>-2971.33</v>
      </c>
      <c r="G94" s="17" t="n">
        <v>-2295.58</v>
      </c>
      <c r="H94" s="17" t="n">
        <v>-2489.18</v>
      </c>
      <c r="I94" s="17" t="n">
        <v>-2910.29</v>
      </c>
      <c r="J94" s="17" t="n">
        <v>-7258.65</v>
      </c>
      <c r="K94" s="17" t="n">
        <v>-3131.62</v>
      </c>
      <c r="L94" s="17" t="n">
        <v>-2772.66</v>
      </c>
      <c r="M94" s="17" t="n">
        <v>-2663.74</v>
      </c>
      <c r="N94" t="n">
        <v>-40532.1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A95" s="59" t="inlineStr">
        <is>
          <t>Direct - Premises &amp; Admin</t>
        </is>
      </c>
      <c r="B95" s="17" t="n">
        <v>-11860.03</v>
      </c>
      <c r="C95" s="17" t="n">
        <v>-12012.69</v>
      </c>
      <c r="D95" s="17" t="n">
        <v>-15335.56</v>
      </c>
      <c r="E95" s="17" t="n">
        <v>-16421.62</v>
      </c>
      <c r="F95" s="17" t="n">
        <v>-10120.81</v>
      </c>
      <c r="G95" s="17" t="n">
        <v>-18392.84</v>
      </c>
      <c r="H95" s="17" t="n">
        <v>-10843.64</v>
      </c>
      <c r="I95" s="17" t="n">
        <v>-13297.81</v>
      </c>
      <c r="J95" s="17" t="n">
        <v>-8982.59</v>
      </c>
      <c r="K95" s="17" t="n">
        <v>-9804.890000000001</v>
      </c>
      <c r="L95" s="17" t="n">
        <v>-9421.189999999999</v>
      </c>
      <c r="M95" s="17" t="n">
        <v>-9393.420000000002</v>
      </c>
      <c r="N95" t="n">
        <v>-145887.09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</row>
    <row r="96">
      <c r="A96" s="59" t="inlineStr">
        <is>
          <t>In-Direct - Staff Cost</t>
        </is>
      </c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A97" s="59" t="inlineStr">
        <is>
          <t>In-Direct - Overheads</t>
        </is>
      </c>
      <c r="B97" s="17" t="n">
        <v>-2326.48</v>
      </c>
      <c r="C97" s="17" t="n">
        <v>-1507.58</v>
      </c>
      <c r="D97" s="17" t="n">
        <v>-1541.28</v>
      </c>
      <c r="E97" s="17" t="n">
        <v>-2952.009999999999</v>
      </c>
      <c r="F97" s="17" t="n">
        <v>-761.71</v>
      </c>
      <c r="G97" s="17" t="n">
        <v>-1292.68</v>
      </c>
      <c r="H97" s="17" t="n">
        <v>-1127.03</v>
      </c>
      <c r="I97" s="17" t="n">
        <v>-907.4599999999998</v>
      </c>
      <c r="J97" s="17" t="n">
        <v>-1675.51</v>
      </c>
      <c r="K97" s="17" t="n">
        <v>-1414.06</v>
      </c>
      <c r="L97" s="17" t="n">
        <v>-1325.29</v>
      </c>
      <c r="M97" s="17" t="n">
        <v>-2470.97</v>
      </c>
      <c r="N97" t="n">
        <v>-19302.06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 ht="15.75" customHeight="1">
      <c r="B98" s="66" t="n">
        <v>32179.02000000001</v>
      </c>
      <c r="C98" s="66" t="n">
        <v>25411.21000000001</v>
      </c>
      <c r="D98" s="66" t="n">
        <v>34442.11</v>
      </c>
      <c r="E98" s="66" t="n">
        <v>26485.77999999999</v>
      </c>
      <c r="F98" s="66" t="n">
        <v>24293.7</v>
      </c>
      <c r="G98" s="66" t="n">
        <v>6554.979999999989</v>
      </c>
      <c r="H98" s="66" t="n">
        <v>41446.22</v>
      </c>
      <c r="I98" s="66" t="n">
        <v>-1484.180000000003</v>
      </c>
      <c r="J98" s="66" t="n">
        <v>-9926.220000000001</v>
      </c>
      <c r="K98" s="66" t="n">
        <v>-4882.360000000002</v>
      </c>
      <c r="L98" s="66" t="n">
        <v>5684.590000000005</v>
      </c>
      <c r="M98" s="66" t="n">
        <v>-14528.13</v>
      </c>
      <c r="N98" t="n">
        <v>165676.72</v>
      </c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t="n">
        <v>0</v>
      </c>
      <c r="AB98" t="n">
        <v>0</v>
      </c>
      <c r="AC98" s="63" t="n"/>
      <c r="AD98" s="63" t="n"/>
      <c r="AE98" s="63" t="n"/>
      <c r="AF98" s="63" t="n"/>
      <c r="AG98" s="63" t="n"/>
      <c r="AH98" s="63" t="n"/>
    </row>
    <row r="99" ht="15.75" customHeight="1">
      <c r="B99" s="17" t="n">
        <v>0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0</v>
      </c>
      <c r="H99" s="17" t="n">
        <v>0</v>
      </c>
      <c r="I99" s="17" t="n">
        <v>1.818989403545856e-12</v>
      </c>
      <c r="J99" s="17" t="n">
        <v>0</v>
      </c>
      <c r="K99" s="17" t="n">
        <v>0</v>
      </c>
      <c r="L99" s="17" t="n">
        <v>0</v>
      </c>
      <c r="M99" s="17" t="n">
        <v>27883.28999999999</v>
      </c>
      <c r="N99" t="n">
        <v>27883.28999999999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</row>
    <row r="100"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AA100" t="n">
        <v>0</v>
      </c>
      <c r="AB100" t="n">
        <v>0</v>
      </c>
    </row>
    <row r="101">
      <c r="B101" s="17" t="n">
        <v>0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  <c r="I101" s="17" t="n">
        <v>-5.456968210637569e-12</v>
      </c>
      <c r="J101" s="17" t="n">
        <v>0</v>
      </c>
      <c r="K101" s="17" t="n">
        <v>0</v>
      </c>
      <c r="L101" s="17" t="n">
        <v>0</v>
      </c>
      <c r="M101" s="17" t="n">
        <v>-27883.28999999999</v>
      </c>
      <c r="N101" t="n">
        <v>-27883.28999999999</v>
      </c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t="n">
        <v>0</v>
      </c>
      <c r="AB101" t="n">
        <v>0</v>
      </c>
    </row>
    <row r="102">
      <c r="B102" s="17" t="n">
        <v>-32179.02000000001</v>
      </c>
      <c r="C102" s="17" t="n">
        <v>-25411.21000000002</v>
      </c>
      <c r="D102" s="17" t="n">
        <v>-34442.11</v>
      </c>
      <c r="E102" s="17" t="n">
        <v>-26485.78</v>
      </c>
      <c r="F102" s="17" t="n">
        <v>-24293.7</v>
      </c>
      <c r="G102" s="17" t="n">
        <v>-6554.979999999985</v>
      </c>
      <c r="H102" s="17" t="n">
        <v>-41446.22</v>
      </c>
      <c r="I102" s="17" t="n">
        <v>1484.179999999997</v>
      </c>
      <c r="J102" s="17" t="n">
        <v>9926.219999999996</v>
      </c>
      <c r="K102" s="17" t="n">
        <v>4882.359999999999</v>
      </c>
      <c r="L102" s="17" t="n">
        <v>-5684.589999999999</v>
      </c>
      <c r="M102" s="17" t="n">
        <v>-13355.15999999999</v>
      </c>
      <c r="N102" t="n">
        <v>-193560.01</v>
      </c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t="n">
        <v>0</v>
      </c>
      <c r="AB102" t="n">
        <v>0</v>
      </c>
    </row>
    <row r="103"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AA103" t="n">
        <v>0</v>
      </c>
      <c r="AB103" t="n">
        <v>0</v>
      </c>
    </row>
    <row r="104"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AA104" t="n">
        <v>0</v>
      </c>
      <c r="AB104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P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6709.7</v>
      </c>
      <c r="P8" s="36" t="n">
        <v>6647.38</v>
      </c>
      <c r="Q8" s="36" t="n">
        <v>13333.56</v>
      </c>
      <c r="R8" s="36" t="n">
        <v>11186.44</v>
      </c>
      <c r="S8" s="36" t="n">
        <v>11435.14</v>
      </c>
      <c r="T8" s="36" t="n">
        <v>11398.92</v>
      </c>
      <c r="U8" s="36" t="n">
        <v>16631.74</v>
      </c>
      <c r="V8" s="37" t="n"/>
      <c r="W8" s="37" t="n"/>
      <c r="X8" s="37" t="n"/>
      <c r="Y8" s="37" t="n"/>
      <c r="Z8" s="37" t="n"/>
      <c r="AA8" s="35" t="n">
        <v>77342.87999999999</v>
      </c>
      <c r="AB8" s="35" t="n">
        <v>77342.87999999999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21014.62</v>
      </c>
      <c r="P9" s="36" t="n">
        <v>21014.62</v>
      </c>
      <c r="Q9" s="36" t="n">
        <v>-7915.68</v>
      </c>
      <c r="R9" s="36" t="n">
        <v>18059.9</v>
      </c>
      <c r="S9" s="36" t="n">
        <v>18059.9</v>
      </c>
      <c r="T9" s="36" t="n">
        <v>20885.63</v>
      </c>
      <c r="U9" s="36" t="n">
        <v>19001.82</v>
      </c>
      <c r="V9" s="37" t="n"/>
      <c r="W9" s="37" t="n"/>
      <c r="X9" s="37" t="n"/>
      <c r="Y9" s="37" t="n"/>
      <c r="Z9" s="37" t="n"/>
      <c r="AA9" s="35" t="n">
        <v>110120.81</v>
      </c>
      <c r="AB9" s="35" t="n">
        <v>110120.81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27724.32</v>
      </c>
      <c r="P11" s="43" t="n">
        <v>27662</v>
      </c>
      <c r="Q11" s="43" t="n">
        <v>5417.879999999999</v>
      </c>
      <c r="R11" s="43" t="n">
        <v>29246.34</v>
      </c>
      <c r="S11" s="43" t="n">
        <v>29495.04</v>
      </c>
      <c r="T11" s="43" t="n">
        <v>32284.55</v>
      </c>
      <c r="U11" s="43" t="n">
        <v>35633.56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187463.69</v>
      </c>
      <c r="AB11" s="42" t="n">
        <v>187463.69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30500.14</v>
      </c>
      <c r="P16" s="36" t="n">
        <v>29464.08</v>
      </c>
      <c r="Q16" s="36" t="n">
        <v>34688.12</v>
      </c>
      <c r="R16" s="36" t="n">
        <v>31330.84</v>
      </c>
      <c r="S16" s="36" t="n">
        <v>34293.32</v>
      </c>
      <c r="T16" s="36" t="n">
        <v>34900.9</v>
      </c>
      <c r="U16" s="36" t="n">
        <v>32050.82</v>
      </c>
      <c r="V16" s="37" t="n"/>
      <c r="W16" s="37" t="n"/>
      <c r="X16" s="37" t="n"/>
      <c r="Y16" s="37" t="n"/>
      <c r="Z16" s="37" t="n"/>
      <c r="AA16" s="35" t="n">
        <v>227228.22</v>
      </c>
      <c r="AB16" s="35" t="n">
        <v>227228.22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3812.12</v>
      </c>
      <c r="P17" s="36" t="n">
        <v>3104.84</v>
      </c>
      <c r="Q17" s="36" t="n">
        <v>3880.72</v>
      </c>
      <c r="R17" s="36" t="n">
        <v>3516.38</v>
      </c>
      <c r="S17" s="36" t="n">
        <v>3818.28</v>
      </c>
      <c r="T17" s="36" t="n">
        <v>3926.78</v>
      </c>
      <c r="U17" s="36" t="n">
        <v>3504.28</v>
      </c>
      <c r="V17" s="37" t="n"/>
      <c r="W17" s="37" t="n"/>
      <c r="X17" s="37" t="n"/>
      <c r="Y17" s="37" t="n"/>
      <c r="Z17" s="37" t="n"/>
      <c r="AA17" s="35" t="n">
        <v>25563.4</v>
      </c>
      <c r="AB17" s="35" t="n">
        <v>25563.4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532.6</v>
      </c>
      <c r="P18" s="36" t="n">
        <v>423.28</v>
      </c>
      <c r="Q18" s="36" t="n">
        <v>565.12</v>
      </c>
      <c r="R18" s="36" t="n">
        <v>487.8</v>
      </c>
      <c r="S18" s="36" t="n">
        <v>488.06</v>
      </c>
      <c r="T18" s="36" t="n">
        <v>491.46</v>
      </c>
      <c r="U18" s="36" t="n">
        <v>420.68</v>
      </c>
      <c r="V18" s="37" t="n"/>
      <c r="W18" s="37" t="n"/>
      <c r="X18" s="37" t="n"/>
      <c r="Y18" s="37" t="n"/>
      <c r="Z18" s="37" t="n"/>
      <c r="AA18" s="35" t="n">
        <v>3409</v>
      </c>
      <c r="AB18" s="35" t="n">
        <v>3409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129.12</v>
      </c>
      <c r="Q19" s="36" t="n">
        <v>0</v>
      </c>
      <c r="R19" s="36" t="n">
        <v>0</v>
      </c>
      <c r="S19" s="36" t="n">
        <v>108.96</v>
      </c>
      <c r="T19" s="36" t="n">
        <v>260.16</v>
      </c>
      <c r="U19" s="36" t="n">
        <v>88.31999999999999</v>
      </c>
      <c r="V19" s="37" t="n"/>
      <c r="W19" s="37" t="n"/>
      <c r="X19" s="37" t="n"/>
      <c r="Y19" s="37" t="n"/>
      <c r="Z19" s="37" t="n"/>
      <c r="AA19" s="35" t="n">
        <v>586.5600000000001</v>
      </c>
      <c r="AB19" s="35" t="n">
        <v>586.5600000000001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156</v>
      </c>
      <c r="Q20" s="36" t="n">
        <v>0</v>
      </c>
      <c r="R20" s="36" t="n">
        <v>156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312</v>
      </c>
      <c r="AB20" s="35" t="n">
        <v>312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102.48</v>
      </c>
      <c r="P21" s="36" t="n">
        <v>362.54</v>
      </c>
      <c r="Q21" s="36" t="n">
        <v>166.86</v>
      </c>
      <c r="R21" s="36" t="n">
        <v>98.58</v>
      </c>
      <c r="S21" s="36" t="n">
        <v>122.22</v>
      </c>
      <c r="T21" s="36" t="n">
        <v>128.86</v>
      </c>
      <c r="U21" s="36" t="n">
        <v>80.5</v>
      </c>
      <c r="V21" s="37" t="n"/>
      <c r="W21" s="37" t="n"/>
      <c r="X21" s="37" t="n"/>
      <c r="Y21" s="37" t="n"/>
      <c r="Z21" s="37" t="n"/>
      <c r="AA21" s="35" t="n">
        <v>1062.04</v>
      </c>
      <c r="AB21" s="35" t="n">
        <v>1062.04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36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36</v>
      </c>
      <c r="AB23" s="35" t="n">
        <v>36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34983.34</v>
      </c>
      <c r="P25" s="43" t="n">
        <v>33639.86</v>
      </c>
      <c r="Q25" s="43" t="n">
        <v>39300.82</v>
      </c>
      <c r="R25" s="43" t="n">
        <v>35589.6</v>
      </c>
      <c r="S25" s="43" t="n">
        <v>38830.84</v>
      </c>
      <c r="T25" s="43" t="n">
        <v>39708.16</v>
      </c>
      <c r="U25" s="43" t="n">
        <v>36144.6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258197.22</v>
      </c>
      <c r="AB25" s="42" t="n">
        <v>258197.22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817.74</v>
      </c>
      <c r="P27" s="36" t="n">
        <v>1126.74</v>
      </c>
      <c r="Q27" s="36" t="n">
        <v>847.78</v>
      </c>
      <c r="R27" s="36" t="n">
        <v>1296.64</v>
      </c>
      <c r="S27" s="36" t="n">
        <v>882.9400000000001</v>
      </c>
      <c r="T27" s="36" t="n">
        <v>978.72</v>
      </c>
      <c r="U27" s="36" t="n">
        <v>580.34</v>
      </c>
      <c r="V27" s="37" t="n"/>
      <c r="W27" s="37" t="n"/>
      <c r="X27" s="37" t="n"/>
      <c r="Y27" s="37" t="n"/>
      <c r="Z27" s="37" t="n"/>
      <c r="AA27" s="35" t="n">
        <v>6530.900000000001</v>
      </c>
      <c r="AB27" s="35" t="n">
        <v>6530.900000000001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7.42</v>
      </c>
      <c r="Q28" s="36" t="n">
        <v>665.7400000000001</v>
      </c>
      <c r="R28" s="36" t="n">
        <v>24</v>
      </c>
      <c r="S28" s="36" t="n">
        <v>32</v>
      </c>
      <c r="T28" s="36" t="n">
        <v>70.2399999999999</v>
      </c>
      <c r="U28" s="36" t="n">
        <v>33.98</v>
      </c>
      <c r="V28" s="37" t="n"/>
      <c r="W28" s="37" t="n"/>
      <c r="X28" s="37" t="n"/>
      <c r="Y28" s="37" t="n"/>
      <c r="Z28" s="37" t="n"/>
      <c r="AA28" s="35" t="n">
        <v>833.38</v>
      </c>
      <c r="AB28" s="35" t="n">
        <v>833.38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155.18</v>
      </c>
      <c r="M29" s="34" t="n">
        <v>15.39</v>
      </c>
      <c r="N29" s="35" t="n">
        <v>375.01</v>
      </c>
      <c r="O29" s="36" t="n">
        <v>0</v>
      </c>
      <c r="P29" s="36" t="n">
        <v>21.94</v>
      </c>
      <c r="Q29" s="36" t="n">
        <v>129.48</v>
      </c>
      <c r="R29" s="36" t="n">
        <v>164.26</v>
      </c>
      <c r="S29" s="36" t="n">
        <v>11.38</v>
      </c>
      <c r="T29" s="36" t="n">
        <v>70.3</v>
      </c>
      <c r="U29" s="36" t="n">
        <v>9.98</v>
      </c>
      <c r="V29" s="37" t="n"/>
      <c r="W29" s="37" t="n"/>
      <c r="X29" s="37" t="n"/>
      <c r="Y29" s="37" t="n"/>
      <c r="Z29" s="37" t="n"/>
      <c r="AA29" s="35" t="n">
        <v>407.34</v>
      </c>
      <c r="AB29" s="35" t="n">
        <v>407.34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35.98</v>
      </c>
      <c r="P30" s="36" t="n">
        <v>19.82</v>
      </c>
      <c r="Q30" s="36" t="n">
        <v>0</v>
      </c>
      <c r="R30" s="36" t="n">
        <v>11.82</v>
      </c>
      <c r="S30" s="36" t="n">
        <v>138.44</v>
      </c>
      <c r="T30" s="36" t="n">
        <v>13.96</v>
      </c>
      <c r="U30" s="36" t="n">
        <v>0</v>
      </c>
      <c r="V30" s="37" t="n"/>
      <c r="W30" s="37" t="n"/>
      <c r="X30" s="37" t="n"/>
      <c r="Y30" s="37" t="n"/>
      <c r="Z30" s="37" t="n"/>
      <c r="AA30" s="35" t="n">
        <v>220.02</v>
      </c>
      <c r="AB30" s="35" t="n">
        <v>220.02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15.16</v>
      </c>
      <c r="P31" s="36" t="n">
        <v>59.98</v>
      </c>
      <c r="Q31" s="36" t="n">
        <v>190.4</v>
      </c>
      <c r="R31" s="36" t="n">
        <v>747.9</v>
      </c>
      <c r="S31" s="36" t="n">
        <v>0</v>
      </c>
      <c r="T31" s="36" t="n">
        <v>9.98</v>
      </c>
      <c r="U31" s="36" t="n">
        <v>11.62</v>
      </c>
      <c r="V31" s="37" t="n"/>
      <c r="W31" s="37" t="n"/>
      <c r="X31" s="37" t="n"/>
      <c r="Y31" s="37" t="n"/>
      <c r="Z31" s="37" t="n"/>
      <c r="AA31" s="35" t="n">
        <v>1035.04</v>
      </c>
      <c r="AB31" s="35" t="n">
        <v>1035.04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88.73999999999999</v>
      </c>
      <c r="P32" s="36" t="n">
        <v>15.9</v>
      </c>
      <c r="Q32" s="36" t="n">
        <v>94.48</v>
      </c>
      <c r="R32" s="36" t="n">
        <v>5.78</v>
      </c>
      <c r="S32" s="36" t="n">
        <v>208.08</v>
      </c>
      <c r="T32" s="36" t="n">
        <v>154.66</v>
      </c>
      <c r="U32" s="36" t="n">
        <v>67.45999999999999</v>
      </c>
      <c r="V32" s="37" t="n"/>
      <c r="W32" s="37" t="n"/>
      <c r="X32" s="37" t="n"/>
      <c r="Y32" s="37" t="n"/>
      <c r="Z32" s="37" t="n"/>
      <c r="AA32" s="35" t="n">
        <v>635.1</v>
      </c>
      <c r="AB32" s="35" t="n">
        <v>635.1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731.6600000000001</v>
      </c>
      <c r="M34" s="41" t="n">
        <v>526.37</v>
      </c>
      <c r="N34" s="42" t="n">
        <v>10212.23</v>
      </c>
      <c r="O34" s="43" t="n">
        <v>957.62</v>
      </c>
      <c r="P34" s="43" t="n">
        <v>1251.8</v>
      </c>
      <c r="Q34" s="43" t="n">
        <v>1927.88</v>
      </c>
      <c r="R34" s="43" t="n">
        <v>2250.4</v>
      </c>
      <c r="S34" s="43" t="n">
        <v>1272.84</v>
      </c>
      <c r="T34" s="43" t="n">
        <v>1297.86</v>
      </c>
      <c r="U34" s="43" t="n">
        <v>703.38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9661.780000000001</v>
      </c>
      <c r="AB34" s="42" t="n">
        <v>9661.780000000001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1330.68</v>
      </c>
      <c r="P37" s="36" t="n">
        <v>1330.68</v>
      </c>
      <c r="Q37" s="36" t="n">
        <v>1330.68</v>
      </c>
      <c r="R37" s="36" t="n">
        <v>1530.26</v>
      </c>
      <c r="S37" s="36" t="n">
        <v>1530.26</v>
      </c>
      <c r="T37" s="36" t="n">
        <v>1530.26</v>
      </c>
      <c r="U37" s="36" t="n">
        <v>1530.26</v>
      </c>
      <c r="V37" s="37" t="n"/>
      <c r="W37" s="37" t="n"/>
      <c r="X37" s="37" t="n"/>
      <c r="Y37" s="37" t="n"/>
      <c r="Z37" s="37" t="n"/>
      <c r="AA37" s="35" t="n">
        <v>10113.08</v>
      </c>
      <c r="AB37" s="35" t="n">
        <v>10113.08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3236.64</v>
      </c>
      <c r="P38" s="36" t="n">
        <v>3340.72</v>
      </c>
      <c r="Q38" s="36" t="n">
        <v>3243.82</v>
      </c>
      <c r="R38" s="36" t="n">
        <v>2850.86</v>
      </c>
      <c r="S38" s="36" t="n">
        <v>2388.18</v>
      </c>
      <c r="T38" s="36" t="n">
        <v>665.98</v>
      </c>
      <c r="U38" s="36" t="n">
        <v>3108.72</v>
      </c>
      <c r="V38" s="37" t="n"/>
      <c r="W38" s="37" t="n"/>
      <c r="X38" s="37" t="n"/>
      <c r="Y38" s="37" t="n"/>
      <c r="Z38" s="37" t="n"/>
      <c r="AA38" s="35" t="n">
        <v>18834.92</v>
      </c>
      <c r="AB38" s="35" t="n">
        <v>18834.92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340.68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2205.15</v>
      </c>
      <c r="O39" s="36" t="n">
        <v>0</v>
      </c>
      <c r="P39" s="36" t="n">
        <v>286.22</v>
      </c>
      <c r="Q39" s="36" t="n">
        <v>7557.32</v>
      </c>
      <c r="R39" s="36" t="n">
        <v>2810.72</v>
      </c>
      <c r="S39" s="36" t="n">
        <v>765.9999999999999</v>
      </c>
      <c r="T39" s="36" t="n">
        <v>35.14</v>
      </c>
      <c r="U39" s="36" t="n">
        <v>216</v>
      </c>
      <c r="V39" s="37" t="n"/>
      <c r="W39" s="37" t="n"/>
      <c r="X39" s="37" t="n"/>
      <c r="Y39" s="37" t="n"/>
      <c r="Z39" s="37" t="n"/>
      <c r="AA39" s="35" t="n">
        <v>11671.4</v>
      </c>
      <c r="AB39" s="35" t="n">
        <v>11671.4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225.74</v>
      </c>
      <c r="P40" s="36" t="n">
        <v>66</v>
      </c>
      <c r="Q40" s="36" t="n">
        <v>154.78</v>
      </c>
      <c r="R40" s="36" t="n">
        <v>0</v>
      </c>
      <c r="S40" s="36" t="n">
        <v>486.46</v>
      </c>
      <c r="T40" s="36" t="n">
        <v>248.44</v>
      </c>
      <c r="U40" s="36" t="n">
        <v>0</v>
      </c>
      <c r="V40" s="37" t="n"/>
      <c r="W40" s="37" t="n"/>
      <c r="X40" s="37" t="n"/>
      <c r="Y40" s="37" t="n"/>
      <c r="Z40" s="37" t="n"/>
      <c r="AA40" s="35" t="n">
        <v>1181.42</v>
      </c>
      <c r="AB40" s="35" t="n">
        <v>1181.42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798.84</v>
      </c>
      <c r="P41" s="36" t="n">
        <v>817.8200000000001</v>
      </c>
      <c r="Q41" s="36" t="n">
        <v>905.66</v>
      </c>
      <c r="R41" s="36" t="n">
        <v>1014.94</v>
      </c>
      <c r="S41" s="36" t="n">
        <v>852.86</v>
      </c>
      <c r="T41" s="36" t="n">
        <v>635.54</v>
      </c>
      <c r="U41" s="36" t="n">
        <v>798.84</v>
      </c>
      <c r="V41" s="37" t="n"/>
      <c r="W41" s="37" t="n"/>
      <c r="X41" s="37" t="n"/>
      <c r="Y41" s="37" t="n"/>
      <c r="Z41" s="37" t="n"/>
      <c r="AA41" s="35" t="n">
        <v>5824.5</v>
      </c>
      <c r="AB41" s="35" t="n">
        <v>5824.5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70.06</v>
      </c>
      <c r="P42" s="36" t="n">
        <v>72.98</v>
      </c>
      <c r="Q42" s="36" t="n">
        <v>0</v>
      </c>
      <c r="R42" s="36" t="n">
        <v>50.92</v>
      </c>
      <c r="S42" s="36" t="n">
        <v>56.94</v>
      </c>
      <c r="T42" s="36" t="n">
        <v>74.13999999999999</v>
      </c>
      <c r="U42" s="36" t="n">
        <v>27.76</v>
      </c>
      <c r="V42" s="37" t="n"/>
      <c r="W42" s="37" t="n"/>
      <c r="X42" s="37" t="n"/>
      <c r="Y42" s="37" t="n"/>
      <c r="Z42" s="37" t="n"/>
      <c r="AA42" s="35" t="n">
        <v>352.8</v>
      </c>
      <c r="AB42" s="35" t="n">
        <v>352.8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50</v>
      </c>
      <c r="P43" s="36" t="n">
        <v>0</v>
      </c>
      <c r="Q43" s="36" t="n">
        <v>1567.48</v>
      </c>
      <c r="R43" s="36" t="n">
        <v>2074</v>
      </c>
      <c r="S43" s="36" t="n">
        <v>474</v>
      </c>
      <c r="T43" s="36" t="n">
        <v>46</v>
      </c>
      <c r="U43" s="36" t="n">
        <v>112</v>
      </c>
      <c r="V43" s="37" t="n"/>
      <c r="W43" s="37" t="n"/>
      <c r="X43" s="37" t="n"/>
      <c r="Y43" s="37" t="n"/>
      <c r="Z43" s="37" t="n"/>
      <c r="AA43" s="35" t="n">
        <v>4323.48</v>
      </c>
      <c r="AB43" s="35" t="n">
        <v>4323.48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275</v>
      </c>
      <c r="P45" s="36" t="n">
        <v>275</v>
      </c>
      <c r="Q45" s="36" t="n">
        <v>275</v>
      </c>
      <c r="R45" s="36" t="n">
        <v>275</v>
      </c>
      <c r="S45" s="36" t="n">
        <v>275</v>
      </c>
      <c r="T45" s="36" t="n">
        <v>275</v>
      </c>
      <c r="U45" s="36" t="n">
        <v>275</v>
      </c>
      <c r="V45" s="37" t="n"/>
      <c r="W45" s="37" t="n"/>
      <c r="X45" s="37" t="n"/>
      <c r="Y45" s="37" t="n"/>
      <c r="Z45" s="37" t="n"/>
      <c r="AA45" s="35" t="n">
        <v>1925</v>
      </c>
      <c r="AB45" s="35" t="n">
        <v>1925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3459.39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44116.72</v>
      </c>
      <c r="O47" s="43" t="n">
        <v>5986.96</v>
      </c>
      <c r="P47" s="43" t="n">
        <v>6189.42</v>
      </c>
      <c r="Q47" s="43" t="n">
        <v>15034.74</v>
      </c>
      <c r="R47" s="43" t="n">
        <v>10606.7</v>
      </c>
      <c r="S47" s="43" t="n">
        <v>6829.7</v>
      </c>
      <c r="T47" s="43" t="n">
        <v>3510.5</v>
      </c>
      <c r="U47" s="43" t="n">
        <v>6068.58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54226.6</v>
      </c>
      <c r="AB47" s="51" t="n">
        <v>54226.6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17748.23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21797.52</v>
      </c>
      <c r="M48" s="22" t="n">
        <v>19603.73</v>
      </c>
      <c r="N48" s="35" t="n">
        <v>229695.01</v>
      </c>
      <c r="O48" s="24" t="n">
        <v>41927.92</v>
      </c>
      <c r="P48" s="24" t="n">
        <v>41081.08</v>
      </c>
      <c r="Q48" s="24" t="n">
        <v>56263.44</v>
      </c>
      <c r="R48" s="24" t="n">
        <v>48446.7</v>
      </c>
      <c r="S48" s="24" t="n">
        <v>46933.38</v>
      </c>
      <c r="T48" s="24" t="n">
        <v>44516.52</v>
      </c>
      <c r="U48" s="24" t="n">
        <v>42916.56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322085.6</v>
      </c>
      <c r="AB48" s="35" t="n">
        <v>322085.6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654.7999999999993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-9124.18</v>
      </c>
      <c r="M50" s="54" t="n">
        <v>19054.90000000001</v>
      </c>
      <c r="N50" s="54" t="n">
        <v>6458.940000000004</v>
      </c>
      <c r="O50" s="54" t="n">
        <v>-14203.6</v>
      </c>
      <c r="P50" s="54" t="n">
        <v>-13419.08</v>
      </c>
      <c r="Q50" s="54" t="n">
        <v>-50845.56</v>
      </c>
      <c r="R50" s="54" t="n">
        <v>-19200.36</v>
      </c>
      <c r="S50" s="54" t="n">
        <v>-17438.34</v>
      </c>
      <c r="T50" s="54" t="n">
        <v>-12231.97000000001</v>
      </c>
      <c r="U50" s="54" t="n">
        <v>-7283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-134621.91</v>
      </c>
      <c r="AB50" s="54" t="n">
        <v>-134621.91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85.5</v>
      </c>
      <c r="P58" s="36" t="n">
        <v>85.5</v>
      </c>
      <c r="Q58" s="36" t="n">
        <v>85.5</v>
      </c>
      <c r="R58" s="36" t="n">
        <v>85.5</v>
      </c>
      <c r="S58" s="36" t="n">
        <v>85.5</v>
      </c>
      <c r="T58" s="36" t="n">
        <v>85.5</v>
      </c>
      <c r="U58" s="36" t="n">
        <v>90</v>
      </c>
      <c r="V58" s="37" t="n"/>
      <c r="W58" s="37" t="n"/>
      <c r="X58" s="37" t="n"/>
      <c r="Y58" s="37" t="n"/>
      <c r="Z58" s="37" t="n"/>
      <c r="AA58" s="35" t="n">
        <v>603</v>
      </c>
      <c r="AB58" s="35" t="n">
        <v>603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429.6</v>
      </c>
      <c r="P59" s="36" t="n">
        <v>429.6</v>
      </c>
      <c r="Q59" s="36" t="n">
        <v>429.6</v>
      </c>
      <c r="R59" s="36" t="n">
        <v>429.6</v>
      </c>
      <c r="S59" s="36" t="n">
        <v>429.6</v>
      </c>
      <c r="T59" s="36" t="n">
        <v>429.6</v>
      </c>
      <c r="U59" s="36" t="n">
        <v>429.6</v>
      </c>
      <c r="V59" s="37" t="n"/>
      <c r="W59" s="37" t="n"/>
      <c r="X59" s="37" t="n"/>
      <c r="Y59" s="37" t="n"/>
      <c r="Z59" s="37" t="n"/>
      <c r="AA59" s="35" t="n">
        <v>3007.2</v>
      </c>
      <c r="AB59" s="35" t="n">
        <v>3007.2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58.8</v>
      </c>
      <c r="P60" s="36" t="n">
        <v>4.8</v>
      </c>
      <c r="Q60" s="36" t="n">
        <v>3.6</v>
      </c>
      <c r="R60" s="36" t="n">
        <v>60</v>
      </c>
      <c r="S60" s="36" t="n">
        <v>6</v>
      </c>
      <c r="T60" s="36" t="n">
        <v>3.6</v>
      </c>
      <c r="U60" s="36" t="n">
        <v>7.2</v>
      </c>
      <c r="V60" s="37" t="n"/>
      <c r="W60" s="37" t="n"/>
      <c r="X60" s="37" t="n"/>
      <c r="Y60" s="37" t="n"/>
      <c r="Z60" s="37" t="n"/>
      <c r="AA60" s="35" t="n">
        <v>144</v>
      </c>
      <c r="AB60" s="35" t="n">
        <v>144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31.53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154.94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503.54</v>
      </c>
      <c r="P64" s="36" t="n">
        <v>503.54</v>
      </c>
      <c r="Q64" s="36" t="n">
        <v>503.54</v>
      </c>
      <c r="R64" s="36" t="n">
        <v>503.54</v>
      </c>
      <c r="S64" s="36" t="n">
        <v>503.54</v>
      </c>
      <c r="T64" s="36" t="n">
        <v>503.54</v>
      </c>
      <c r="U64" s="36" t="n">
        <v>503.54</v>
      </c>
      <c r="V64" s="37" t="n"/>
      <c r="W64" s="37" t="n"/>
      <c r="X64" s="37" t="n"/>
      <c r="Y64" s="37" t="n"/>
      <c r="Z64" s="37" t="n"/>
      <c r="AA64" s="35" t="n">
        <v>3524.78</v>
      </c>
      <c r="AB64" s="35" t="n">
        <v>3524.78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2160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2160</v>
      </c>
      <c r="AB65" s="35" t="n">
        <v>2160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380</v>
      </c>
      <c r="P66" s="36" t="n">
        <v>374</v>
      </c>
      <c r="Q66" s="36" t="n">
        <v>366</v>
      </c>
      <c r="R66" s="36" t="n">
        <v>358</v>
      </c>
      <c r="S66" s="36" t="n">
        <v>350</v>
      </c>
      <c r="T66" s="36" t="n">
        <v>342</v>
      </c>
      <c r="U66" s="36" t="n">
        <v>334</v>
      </c>
      <c r="V66" s="37" t="n"/>
      <c r="W66" s="37" t="n"/>
      <c r="X66" s="37" t="n"/>
      <c r="Y66" s="37" t="n"/>
      <c r="Z66" s="37" t="n"/>
      <c r="AA66" s="35" t="n">
        <v>2504</v>
      </c>
      <c r="AB66" s="35" t="n">
        <v>2504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747.15</v>
      </c>
      <c r="N67" s="35" t="n">
        <v>2096.5</v>
      </c>
      <c r="O67" s="36" t="n">
        <v>6.3</v>
      </c>
      <c r="P67" s="36" t="n">
        <v>6.3</v>
      </c>
      <c r="Q67" s="36" t="n">
        <v>6.3</v>
      </c>
      <c r="R67" s="36" t="n">
        <v>11.2</v>
      </c>
      <c r="S67" s="36" t="n">
        <v>7.7</v>
      </c>
      <c r="T67" s="36" t="n">
        <v>9.800000000000001</v>
      </c>
      <c r="U67" s="36" t="n">
        <v>11.2</v>
      </c>
      <c r="V67" s="37" t="n"/>
      <c r="W67" s="37" t="n"/>
      <c r="X67" s="37" t="n"/>
      <c r="Y67" s="37" t="n"/>
      <c r="Z67" s="37" t="n"/>
      <c r="AA67" s="35" t="n">
        <v>58.8</v>
      </c>
      <c r="AB67" s="35" t="n">
        <v>58.8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-75.11</v>
      </c>
      <c r="K68" s="34" t="n">
        <v>5.25</v>
      </c>
      <c r="L68" s="34" t="n">
        <v>3.5</v>
      </c>
      <c r="M68" s="34" t="n">
        <v>3.85</v>
      </c>
      <c r="N68" s="35" t="n">
        <v>-5.109999999999994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210.33</v>
      </c>
      <c r="C69" s="41" t="n">
        <v>252.12</v>
      </c>
      <c r="D69" s="41" t="n">
        <v>345.99</v>
      </c>
      <c r="E69" s="41" t="n">
        <v>1290.48</v>
      </c>
      <c r="F69" s="41" t="n">
        <v>245.01</v>
      </c>
      <c r="G69" s="41" t="n">
        <v>314.84</v>
      </c>
      <c r="H69" s="41" t="n">
        <v>283.51</v>
      </c>
      <c r="I69" s="41" t="n">
        <v>733.28</v>
      </c>
      <c r="J69" s="41" t="n">
        <v>171.42</v>
      </c>
      <c r="K69" s="41" t="n">
        <v>331.6</v>
      </c>
      <c r="L69" s="41" t="n">
        <v>479.85</v>
      </c>
      <c r="M69" s="41" t="n">
        <v>1220.32</v>
      </c>
      <c r="N69" s="42" t="n">
        <v>5878.75</v>
      </c>
      <c r="O69" s="43" t="n">
        <v>1463.74</v>
      </c>
      <c r="P69" s="43" t="n">
        <v>1403.74</v>
      </c>
      <c r="Q69" s="43" t="n">
        <v>3554.54</v>
      </c>
      <c r="R69" s="43" t="n">
        <v>1447.84</v>
      </c>
      <c r="S69" s="43" t="n">
        <v>1382.34</v>
      </c>
      <c r="T69" s="43" t="n">
        <v>1374.04</v>
      </c>
      <c r="U69" s="43" t="n">
        <v>1375.54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12001.78</v>
      </c>
      <c r="AB69" s="42" t="n">
        <v>12001.78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-178.7000000000026</v>
      </c>
      <c r="C70" s="54" t="n">
        <v>-151.9499999999981</v>
      </c>
      <c r="D70" s="54" t="n">
        <v>8494.030000000001</v>
      </c>
      <c r="E70" s="54" t="n">
        <v>345.3099999999972</v>
      </c>
      <c r="F70" s="54" t="n">
        <v>409.7899999999993</v>
      </c>
      <c r="G70" s="54" t="n">
        <v>-165.9799999999994</v>
      </c>
      <c r="H70" s="54" t="n">
        <v>2328.629999999999</v>
      </c>
      <c r="I70" s="54" t="n">
        <v>-8197.23</v>
      </c>
      <c r="J70" s="54" t="n">
        <v>-3464.919999999998</v>
      </c>
      <c r="K70" s="54" t="n">
        <v>-7069.34</v>
      </c>
      <c r="L70" s="54" t="n">
        <v>-9604.030000000001</v>
      </c>
      <c r="M70" s="54" t="n">
        <v>17834.58000000001</v>
      </c>
      <c r="N70" s="54" t="n">
        <v>580.190000000003</v>
      </c>
      <c r="O70" s="54" t="n">
        <v>-15667.34</v>
      </c>
      <c r="P70" s="54" t="n">
        <v>-14822.82</v>
      </c>
      <c r="Q70" s="54" t="n">
        <v>-54400.10000000001</v>
      </c>
      <c r="R70" s="54" t="n">
        <v>-20648.2</v>
      </c>
      <c r="S70" s="54" t="n">
        <v>-18820.68</v>
      </c>
      <c r="T70" s="54" t="n">
        <v>-13606.01000000001</v>
      </c>
      <c r="U70" s="54" t="n">
        <v>-8658.540000000001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-146623.69</v>
      </c>
      <c r="AB70" s="54" t="n">
        <v>-146623.69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AA71" t="n">
        <v>0</v>
      </c>
      <c r="AB71" s="55" t="n">
        <v>0</v>
      </c>
    </row>
    <row r="72">
      <c r="A72" s="21" t="n"/>
      <c r="AA72" t="n">
        <v>0</v>
      </c>
      <c r="AB72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300.0053333333334</v>
      </c>
      <c r="P74" s="59" t="n">
        <v>300.0053333333334</v>
      </c>
      <c r="Q74" s="59" t="n">
        <v>410.3731666666667</v>
      </c>
      <c r="R74" s="59" t="n">
        <v>496.8085</v>
      </c>
      <c r="S74" s="59" t="n">
        <v>514.6443333333333</v>
      </c>
      <c r="T74" s="59" t="n">
        <v>514.6443333333333</v>
      </c>
      <c r="U74" s="59" t="n">
        <v>515.644333333333</v>
      </c>
      <c r="V74" s="59" t="n">
        <v>514.6443333333333</v>
      </c>
      <c r="W74" s="59" t="n">
        <v>514.6443333333333</v>
      </c>
      <c r="X74" s="59" t="n">
        <v>514.6443333333333</v>
      </c>
      <c r="Y74" s="59" t="n">
        <v>514.6443333333333</v>
      </c>
      <c r="Z74" s="59" t="n">
        <v>514.6443333333333</v>
      </c>
      <c r="AA74" t="n">
        <v>3052.125333333333</v>
      </c>
      <c r="AB74" s="59" t="n">
        <v>5625.347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AA78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A79" t="n">
        <v>0</v>
      </c>
      <c r="AB79" t="n">
        <v>0</v>
      </c>
    </row>
    <row r="80">
      <c r="AA80" t="n">
        <v>0</v>
      </c>
      <c r="AB80" t="n">
        <v>0</v>
      </c>
    </row>
    <row r="81"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AA81" t="n">
        <v>0</v>
      </c>
      <c r="AB81" t="n">
        <v>0</v>
      </c>
    </row>
    <row r="82">
      <c r="A82" s="59" t="inlineStr">
        <is>
          <t>Memo</t>
        </is>
      </c>
      <c r="AA82" t="n">
        <v>0</v>
      </c>
      <c r="AB82" t="n">
        <v>0</v>
      </c>
    </row>
    <row r="83">
      <c r="A83" s="59" t="inlineStr">
        <is>
          <t>Direct - Sales</t>
        </is>
      </c>
      <c r="B83" s="59" t="n">
        <v>20117.83</v>
      </c>
      <c r="C83" s="59" t="n">
        <v>20249.13</v>
      </c>
      <c r="D83" s="59" t="n">
        <v>26571.5</v>
      </c>
      <c r="E83" s="59" t="n">
        <v>19831.28</v>
      </c>
      <c r="F83" s="59" t="n">
        <v>18403.03</v>
      </c>
      <c r="G83" s="59" t="n">
        <v>17457.45</v>
      </c>
      <c r="H83" s="59" t="n">
        <v>24037.05</v>
      </c>
      <c r="I83" s="59" t="n">
        <v>10930.69</v>
      </c>
      <c r="J83" s="59" t="n">
        <v>13199.67</v>
      </c>
      <c r="K83" s="59" t="n">
        <v>14024.35</v>
      </c>
      <c r="L83" s="59" t="n">
        <v>12673.34</v>
      </c>
      <c r="N83" t="n">
        <v>197495.32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33" t="inlineStr">
        <is>
          <t>Direct - Staff Cost</t>
        </is>
      </c>
      <c r="B84" s="17" t="n">
        <v>-15237.76</v>
      </c>
      <c r="C84" s="17" t="n">
        <v>-15403.43</v>
      </c>
      <c r="D84" s="17" t="n">
        <v>-12032.29</v>
      </c>
      <c r="E84" s="17" t="n">
        <v>-13190.74</v>
      </c>
      <c r="F84" s="17" t="n">
        <v>-13389.22</v>
      </c>
      <c r="G84" s="17" t="n">
        <v>-13121.69</v>
      </c>
      <c r="H84" s="17" t="n">
        <v>-16994.95</v>
      </c>
      <c r="I84" s="17" t="n">
        <v>-14247.8</v>
      </c>
      <c r="J84" s="17" t="n">
        <v>-13644.29</v>
      </c>
      <c r="K84" s="17" t="n">
        <v>-16145.13</v>
      </c>
      <c r="L84" s="17" t="n">
        <v>-17393.09</v>
      </c>
      <c r="M84" s="17" t="n"/>
      <c r="N84" t="n">
        <v>-160800.39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Childcare Cost</t>
        </is>
      </c>
      <c r="B85" s="17" t="n">
        <v>-1008.73</v>
      </c>
      <c r="C85" s="17" t="n">
        <v>-815.6400000000001</v>
      </c>
      <c r="D85" s="17" t="n">
        <v>-974.3000000000002</v>
      </c>
      <c r="E85" s="17" t="n">
        <v>-851.04</v>
      </c>
      <c r="F85" s="17" t="n">
        <v>-899.62</v>
      </c>
      <c r="G85" s="17" t="n">
        <v>-683.0300000000001</v>
      </c>
      <c r="H85" s="17" t="n">
        <v>-779.1600000000002</v>
      </c>
      <c r="I85" s="17" t="n">
        <v>-713.29</v>
      </c>
      <c r="J85" s="17" t="n">
        <v>-768.41</v>
      </c>
      <c r="K85" s="17" t="n">
        <v>-1460.98</v>
      </c>
      <c r="L85" s="17" t="n">
        <v>-731.6600000000002</v>
      </c>
      <c r="M85" s="17" t="n">
        <v>-526.37</v>
      </c>
      <c r="N85" t="n">
        <v>-10212.23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Direct - Premises &amp; Admin</t>
        </is>
      </c>
      <c r="B86" s="17" t="n">
        <v>-3839.71</v>
      </c>
      <c r="C86" s="17" t="n">
        <v>-3929.89</v>
      </c>
      <c r="D86" s="17" t="n">
        <v>-4724.89</v>
      </c>
      <c r="E86" s="17" t="n">
        <v>-4153.71</v>
      </c>
      <c r="F86" s="17" t="n">
        <v>-3459.39</v>
      </c>
      <c r="G86" s="17" t="n">
        <v>-3503.869999999999</v>
      </c>
      <c r="H86" s="17" t="n">
        <v>-3650.799999999999</v>
      </c>
      <c r="I86" s="17" t="n">
        <v>-3433.55</v>
      </c>
      <c r="J86" s="17" t="n">
        <v>-2080.47</v>
      </c>
      <c r="K86" s="17" t="n">
        <v>-3155.98</v>
      </c>
      <c r="L86" s="17" t="n">
        <v>-3672.77</v>
      </c>
      <c r="M86" s="17" t="n">
        <v>-4511.69</v>
      </c>
      <c r="N86" t="n">
        <v>-44116.72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59" t="inlineStr">
        <is>
          <t>In-Direct - Overheads</t>
        </is>
      </c>
      <c r="B88" s="17" t="n">
        <v>-210.33</v>
      </c>
      <c r="C88" s="17" t="n">
        <v>-252.12</v>
      </c>
      <c r="D88" s="17" t="n">
        <v>-345.99</v>
      </c>
      <c r="E88" s="17" t="n">
        <v>-1290.48</v>
      </c>
      <c r="F88" s="17" t="n">
        <v>-245.01</v>
      </c>
      <c r="G88" s="17" t="n">
        <v>-314.84</v>
      </c>
      <c r="H88" s="17" t="n">
        <v>-283.51</v>
      </c>
      <c r="I88" s="17" t="n">
        <v>-733.2800000000001</v>
      </c>
      <c r="J88" s="17" t="n">
        <v>-171.42</v>
      </c>
      <c r="K88" s="17" t="n">
        <v>-331.6</v>
      </c>
      <c r="L88" s="17" t="n">
        <v>-479.85</v>
      </c>
      <c r="M88" s="17" t="n">
        <v>-1220.32</v>
      </c>
      <c r="N88" t="n">
        <v>-5878.75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 ht="15.75" customHeight="1">
      <c r="B89" s="66" t="n">
        <v>-178.7000000000003</v>
      </c>
      <c r="C89" s="66" t="n">
        <v>-151.9499999999977</v>
      </c>
      <c r="D89" s="66" t="n">
        <v>8494.030000000001</v>
      </c>
      <c r="E89" s="66" t="n">
        <v>345.3100000000009</v>
      </c>
      <c r="F89" s="66" t="n">
        <v>409.7899999999979</v>
      </c>
      <c r="G89" s="66" t="n">
        <v>-165.9799999999994</v>
      </c>
      <c r="H89" s="66" t="n">
        <v>2328.629999999999</v>
      </c>
      <c r="I89" s="66" t="n">
        <v>-8197.23</v>
      </c>
      <c r="J89" s="66" t="n">
        <v>-3464.919999999999</v>
      </c>
      <c r="K89" s="66" t="n">
        <v>-7069.340000000002</v>
      </c>
      <c r="L89" s="66" t="n">
        <v>-9604.030000000004</v>
      </c>
      <c r="M89" s="66" t="n">
        <v>-6258.379999999999</v>
      </c>
      <c r="N89" t="n">
        <v>-23512.77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</row>
    <row r="90" ht="15.75" customHeight="1">
      <c r="B90" s="17" t="n">
        <v>1.364242052659392e-12</v>
      </c>
      <c r="C90" s="17" t="n">
        <v>-4.547473508864641e-13</v>
      </c>
      <c r="D90" s="17" t="n">
        <v>0</v>
      </c>
      <c r="E90" s="17" t="n">
        <v>0</v>
      </c>
      <c r="F90" s="17" t="n">
        <v>-2.273736754432321e-12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24092.96000000001</v>
      </c>
      <c r="N90" t="n">
        <v>24092.96000000001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>
        <v>-5.949999999998653</v>
      </c>
      <c r="C92" s="17" t="n">
        <v>-9.799999999999073</v>
      </c>
      <c r="D92" s="17" t="n">
        <v>-7.000000000001819</v>
      </c>
      <c r="E92" s="17" t="n">
        <v>-7.699999999998568</v>
      </c>
      <c r="F92" s="17" t="n">
        <v>-6.999999999998863</v>
      </c>
      <c r="G92" s="17" t="n">
        <v>-5.949999999998511</v>
      </c>
      <c r="H92" s="17" t="n">
        <v>-6.65000000000191</v>
      </c>
      <c r="I92" s="17" t="n">
        <v>-7.350000000000364</v>
      </c>
      <c r="J92" s="17" t="n">
        <v>75.11000000000058</v>
      </c>
      <c r="K92" s="17" t="n">
        <v>-5.250000000001819</v>
      </c>
      <c r="L92" s="17" t="n">
        <v>-3.500000000007276</v>
      </c>
      <c r="M92" s="17" t="n">
        <v>-24096.81</v>
      </c>
      <c r="N92" t="n">
        <v>-24087.85000000001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>
        <v>172.7500000000017</v>
      </c>
      <c r="C93" s="17" t="n">
        <v>142.1499999999986</v>
      </c>
      <c r="D93" s="17" t="n">
        <v>-8501.030000000002</v>
      </c>
      <c r="E93" s="17" t="n">
        <v>-353.0099999999994</v>
      </c>
      <c r="F93" s="17" t="n">
        <v>-416.7899999999968</v>
      </c>
      <c r="G93" s="17" t="n">
        <v>160.0300000000009</v>
      </c>
      <c r="H93" s="17" t="n">
        <v>-2335.280000000001</v>
      </c>
      <c r="I93" s="17" t="n">
        <v>8189.879999999999</v>
      </c>
      <c r="J93" s="17" t="n">
        <v>3540.03</v>
      </c>
      <c r="K93" s="17" t="n">
        <v>7064.09</v>
      </c>
      <c r="L93" s="17" t="n">
        <v>9600.529999999997</v>
      </c>
      <c r="M93" s="17" t="n">
        <v>-17838.43</v>
      </c>
      <c r="N93" t="n">
        <v>-575.0800000000023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7" t="n"/>
      <c r="W1" s="87" t="n"/>
      <c r="X1" s="87" t="n"/>
      <c r="Y1" s="87" t="n"/>
      <c r="Z1" s="87" t="n"/>
      <c r="AA1" s="6" t="n"/>
      <c r="AB1" s="6" t="n"/>
      <c r="AC1" s="88" t="n">
        <v>2027</v>
      </c>
      <c r="AD1" s="87" t="inlineStr">
        <is>
          <t>NOT COMPLETED - STRETCHED FUNDING INCOMING- NEEDS REVIEW</t>
        </is>
      </c>
      <c r="AE1" s="87" t="n"/>
      <c r="AF1" s="87" t="n"/>
      <c r="AG1" s="87" t="n"/>
      <c r="AH1" s="87" t="n"/>
      <c r="AJ1" s="89" t="inlineStr">
        <is>
          <t>Q1</t>
        </is>
      </c>
      <c r="AK1" s="90" t="inlineStr">
        <is>
          <t>Q2</t>
        </is>
      </c>
      <c r="AL1" s="90" t="inlineStr">
        <is>
          <t>Q3</t>
        </is>
      </c>
      <c r="AM1" s="89" t="inlineStr">
        <is>
          <t>Q4</t>
        </is>
      </c>
      <c r="AN1" s="9" t="n"/>
      <c r="AO1" s="91" t="inlineStr">
        <is>
          <t>FY27 Q1</t>
        </is>
      </c>
      <c r="AP1" s="91" t="inlineStr">
        <is>
          <t>FY27 Q2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4" t="inlineStr">
        <is>
          <t xml:space="preserve">12 Month Rolling Total </t>
        </is>
      </c>
      <c r="AN2" s="16" t="n"/>
      <c r="AO2" s="92" t="inlineStr">
        <is>
          <t xml:space="preserve">12 Month Rolling Total </t>
        </is>
      </c>
      <c r="AP2" s="92" t="inlineStr">
        <is>
          <t xml:space="preserve">13 Month Rolling Total 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93" t="n"/>
      <c r="AP3" s="93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94" t="n"/>
      <c r="AP4" s="94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94" t="n"/>
      <c r="AP5" s="94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5" t="n"/>
      <c r="AP6" s="95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94" t="n"/>
      <c r="AP7" s="94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543796.71</v>
      </c>
      <c r="P8" s="36" t="n">
        <v>507198.07</v>
      </c>
      <c r="Q8" s="36" t="n">
        <v>597272.4400000001</v>
      </c>
      <c r="R8" s="36" t="n">
        <v>659486.7699999999</v>
      </c>
      <c r="S8" s="36" t="n">
        <v>559947.2299999999</v>
      </c>
      <c r="T8" s="36" t="n">
        <v>611540.38</v>
      </c>
      <c r="U8" s="36" t="n">
        <v>762843.1600000001</v>
      </c>
      <c r="V8" s="37" t="n">
        <v>671325.5800000001</v>
      </c>
      <c r="W8" s="37" t="n">
        <v>471962.95</v>
      </c>
      <c r="X8" s="37" t="n">
        <v>460483.51</v>
      </c>
      <c r="Y8" s="37" t="n">
        <v>467058.45</v>
      </c>
      <c r="Z8" s="37" t="n">
        <v>642733.78</v>
      </c>
      <c r="AA8" s="35" t="n">
        <v>4242084.76</v>
      </c>
      <c r="AB8" s="35" t="n">
        <v>6955649.03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5" t="n"/>
      <c r="AN8" s="39" t="n"/>
      <c r="AO8" s="96" t="n"/>
      <c r="AP8" s="96" t="n"/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295756.54</v>
      </c>
      <c r="P9" s="36" t="n">
        <v>447984.4400000001</v>
      </c>
      <c r="Q9" s="36" t="n">
        <v>481127.5699999999</v>
      </c>
      <c r="R9" s="36" t="n">
        <v>368697.44</v>
      </c>
      <c r="S9" s="36" t="n">
        <v>366453.2500000001</v>
      </c>
      <c r="T9" s="36" t="n">
        <v>467950.14</v>
      </c>
      <c r="U9" s="36" t="n">
        <v>404602.7499999999</v>
      </c>
      <c r="V9" s="37" t="n">
        <v>0</v>
      </c>
      <c r="W9" s="37" t="n">
        <v>380670.8200000001</v>
      </c>
      <c r="X9" s="37" t="n">
        <v>443074.56</v>
      </c>
      <c r="Y9" s="37" t="n">
        <v>447422.36</v>
      </c>
      <c r="Z9" s="37" t="n">
        <v>221447</v>
      </c>
      <c r="AA9" s="35" t="n">
        <v>2832572.13</v>
      </c>
      <c r="AB9" s="35" t="n">
        <v>4325186.87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5" t="n"/>
      <c r="AN9" s="39" t="n"/>
      <c r="AO9" s="96" t="n"/>
      <c r="AP9" s="96" t="n"/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1231.37</v>
      </c>
      <c r="S10" s="36" t="n">
        <v>900</v>
      </c>
      <c r="T10" s="36" t="n">
        <v>1350</v>
      </c>
      <c r="U10" s="36" t="n">
        <v>1050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10363.67</v>
      </c>
      <c r="AB10" s="35" t="n">
        <v>10363.67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5" t="n"/>
      <c r="AN10" s="39" t="n"/>
      <c r="AO10" s="96" t="n"/>
      <c r="AP10" s="96" t="n"/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842751.25</v>
      </c>
      <c r="P11" s="43" t="n">
        <v>956082.5099999999</v>
      </c>
      <c r="Q11" s="43" t="n">
        <v>1080134.31</v>
      </c>
      <c r="R11" s="43" t="n">
        <v>1029415.58</v>
      </c>
      <c r="S11" s="43" t="n">
        <v>927300.4800000003</v>
      </c>
      <c r="T11" s="43" t="n">
        <v>1080840.52</v>
      </c>
      <c r="U11" s="43" t="n">
        <v>1168495.91</v>
      </c>
      <c r="V11" s="44" t="n">
        <v>671325.5800000001</v>
      </c>
      <c r="W11" s="44" t="n">
        <v>852633.77</v>
      </c>
      <c r="X11" s="44" t="n">
        <v>903558.0700000001</v>
      </c>
      <c r="Y11" s="44" t="n">
        <v>914480.8100000001</v>
      </c>
      <c r="Z11" s="44" t="n">
        <v>864180.78</v>
      </c>
      <c r="AA11" s="42" t="n">
        <v>7085020.559999998</v>
      </c>
      <c r="AB11" s="42" t="n">
        <v>11291199.57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97" t="n"/>
      <c r="AP11" s="97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5" t="n"/>
      <c r="AN12" s="39" t="n"/>
      <c r="AO12" s="96" t="n"/>
      <c r="AP12" s="96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J13" s="46" t="n"/>
      <c r="AK13" s="46" t="n"/>
      <c r="AL13" s="46" t="n"/>
      <c r="AM13" s="46" t="n"/>
      <c r="AN13" s="78" t="n"/>
      <c r="AO13" s="98" t="n"/>
      <c r="AP13" s="9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5" t="n"/>
      <c r="AN14" s="39" t="n"/>
      <c r="AO14" s="96" t="n"/>
      <c r="AP14" s="96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9" t="n"/>
      <c r="R15" s="99" t="n"/>
      <c r="S15" s="99" t="n"/>
      <c r="T15" s="99" t="n"/>
      <c r="U15" s="99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5" t="n"/>
      <c r="AN15" s="39" t="n"/>
      <c r="AO15" s="96" t="n"/>
      <c r="AP15" s="96" t="n"/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461254.9</v>
      </c>
      <c r="P16" s="36" t="n">
        <v>448500.78</v>
      </c>
      <c r="Q16" s="36" t="n">
        <v>458163.45</v>
      </c>
      <c r="R16" s="36" t="n">
        <v>484406.4399999999</v>
      </c>
      <c r="S16" s="36" t="n">
        <v>492644.78</v>
      </c>
      <c r="T16" s="36" t="n">
        <v>494176.0200000001</v>
      </c>
      <c r="U16" s="36" t="n">
        <v>500334.39</v>
      </c>
      <c r="V16" s="37" t="n">
        <v>497245.78</v>
      </c>
      <c r="W16" s="37" t="n">
        <v>497245.78</v>
      </c>
      <c r="X16" s="37" t="n">
        <v>497245.78</v>
      </c>
      <c r="Y16" s="37" t="n">
        <v>497245.78</v>
      </c>
      <c r="Z16" s="37" t="n">
        <v>497245.78</v>
      </c>
      <c r="AA16" s="35" t="n">
        <v>3339480.76</v>
      </c>
      <c r="AB16" s="35" t="n">
        <v>5825709.66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5" t="n"/>
      <c r="AN16" s="39" t="n"/>
      <c r="AO16" s="96" t="n"/>
      <c r="AP16" s="96" t="n"/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49129.75999999999</v>
      </c>
      <c r="P17" s="36" t="n">
        <v>46475.82</v>
      </c>
      <c r="Q17" s="36" t="n">
        <v>48054.16</v>
      </c>
      <c r="R17" s="36" t="n">
        <v>51118.2</v>
      </c>
      <c r="S17" s="36" t="n">
        <v>50882.99</v>
      </c>
      <c r="T17" s="36" t="n">
        <v>51058.53</v>
      </c>
      <c r="U17" s="36" t="n">
        <v>52611.64</v>
      </c>
      <c r="V17" s="37" t="n">
        <v>52200.67000000001</v>
      </c>
      <c r="W17" s="37" t="n">
        <v>52200.67000000001</v>
      </c>
      <c r="X17" s="37" t="n">
        <v>52200.67000000001</v>
      </c>
      <c r="Y17" s="37" t="n">
        <v>52200.67000000001</v>
      </c>
      <c r="Z17" s="37" t="n">
        <v>52200.67000000001</v>
      </c>
      <c r="AA17" s="35" t="n">
        <v>349331.1</v>
      </c>
      <c r="AB17" s="35" t="n">
        <v>610334.4500000001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5" t="n"/>
      <c r="AN17" s="39" t="n"/>
      <c r="AO17" s="96" t="n"/>
      <c r="AP17" s="96" t="n"/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8442.289999999999</v>
      </c>
      <c r="P18" s="36" t="n">
        <v>7788.17</v>
      </c>
      <c r="Q18" s="36" t="n">
        <v>7749.8</v>
      </c>
      <c r="R18" s="36" t="n">
        <v>8459.630000000001</v>
      </c>
      <c r="S18" s="36" t="n">
        <v>8531.470000000001</v>
      </c>
      <c r="T18" s="36" t="n">
        <v>8565.080000000002</v>
      </c>
      <c r="U18" s="36" t="n">
        <v>8728.65</v>
      </c>
      <c r="V18" s="37" t="n">
        <v>8786.98</v>
      </c>
      <c r="W18" s="37" t="n">
        <v>8786.98</v>
      </c>
      <c r="X18" s="37" t="n">
        <v>8786.98</v>
      </c>
      <c r="Y18" s="37" t="n">
        <v>8786.98</v>
      </c>
      <c r="Z18" s="37" t="n">
        <v>8786.98</v>
      </c>
      <c r="AA18" s="35" t="n">
        <v>58265.09</v>
      </c>
      <c r="AB18" s="35" t="n">
        <v>102199.99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5" t="n"/>
      <c r="AN18" s="39" t="n"/>
      <c r="AO18" s="96" t="n"/>
      <c r="AP18" s="96" t="n"/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487.4300000000001</v>
      </c>
      <c r="R19" s="36" t="n">
        <v>998.3099999999999</v>
      </c>
      <c r="S19" s="36" t="n">
        <v>806.8900000000001</v>
      </c>
      <c r="T19" s="36" t="n">
        <v>1606.83</v>
      </c>
      <c r="U19" s="36" t="n">
        <v>697.17</v>
      </c>
      <c r="V19" s="37" t="n">
        <v>1094.34</v>
      </c>
      <c r="W19" s="37" t="n">
        <v>1094.34</v>
      </c>
      <c r="X19" s="37" t="n">
        <v>1094.34</v>
      </c>
      <c r="Y19" s="37" t="n">
        <v>1094.34</v>
      </c>
      <c r="Z19" s="37" t="n">
        <v>1094.34</v>
      </c>
      <c r="AA19" s="35" t="n">
        <v>6676.660000000001</v>
      </c>
      <c r="AB19" s="35" t="n">
        <v>12148.36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5" t="n"/>
      <c r="AN19" s="39" t="n"/>
      <c r="AO19" s="96" t="n"/>
      <c r="AP19" s="96" t="n"/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3518.3</v>
      </c>
      <c r="P20" s="36" t="n">
        <v>4612.39</v>
      </c>
      <c r="Q20" s="36" t="n">
        <v>3762.65</v>
      </c>
      <c r="R20" s="36" t="n">
        <v>7678.139999999999</v>
      </c>
      <c r="S20" s="36" t="n">
        <v>1470.38</v>
      </c>
      <c r="T20" s="36" t="n">
        <v>1735.11</v>
      </c>
      <c r="U20" s="36" t="n">
        <v>3327.14</v>
      </c>
      <c r="V20" s="37" t="n">
        <v>1873</v>
      </c>
      <c r="W20" s="37" t="n">
        <v>1873</v>
      </c>
      <c r="X20" s="37" t="n">
        <v>1873</v>
      </c>
      <c r="Y20" s="37" t="n">
        <v>1873</v>
      </c>
      <c r="Z20" s="37" t="n">
        <v>1873</v>
      </c>
      <c r="AA20" s="35" t="n">
        <v>26104.11</v>
      </c>
      <c r="AB20" s="35" t="n">
        <v>35469.11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5" t="n"/>
      <c r="AN20" s="39" t="n"/>
      <c r="AO20" s="96" t="n"/>
      <c r="AP20" s="96" t="n"/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3021.75</v>
      </c>
      <c r="P21" s="36" t="n">
        <v>2675.65</v>
      </c>
      <c r="Q21" s="36" t="n">
        <v>3419.17</v>
      </c>
      <c r="R21" s="36" t="n">
        <v>3178.21</v>
      </c>
      <c r="S21" s="36" t="n">
        <v>2623.07</v>
      </c>
      <c r="T21" s="36" t="n">
        <v>3261.92</v>
      </c>
      <c r="U21" s="36" t="n">
        <v>3486.16</v>
      </c>
      <c r="V21" s="37" t="n">
        <v>2213.69</v>
      </c>
      <c r="W21" s="37" t="n">
        <v>2213.69</v>
      </c>
      <c r="X21" s="37" t="n">
        <v>2213.69</v>
      </c>
      <c r="Y21" s="37" t="n">
        <v>2213.69</v>
      </c>
      <c r="Z21" s="37" t="n">
        <v>2213.69</v>
      </c>
      <c r="AA21" s="35" t="n">
        <v>21665.93</v>
      </c>
      <c r="AB21" s="35" t="n">
        <v>32734.37999999999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5" t="n"/>
      <c r="AN21" s="39" t="n"/>
      <c r="AO21" s="96" t="n"/>
      <c r="AP21" s="96" t="n"/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4118.92</v>
      </c>
      <c r="P22" s="36" t="n">
        <v>9460.450000000001</v>
      </c>
      <c r="Q22" s="36" t="n">
        <v>2684.43</v>
      </c>
      <c r="R22" s="36" t="n">
        <v>4340.82</v>
      </c>
      <c r="S22" s="36" t="n">
        <v>6417.92</v>
      </c>
      <c r="T22" s="36" t="n">
        <v>5274.6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37344.93</v>
      </c>
      <c r="AB22" s="35" t="n">
        <v>55344.93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5" t="n"/>
      <c r="AN22" s="39" t="n"/>
      <c r="AO22" s="96" t="n"/>
      <c r="AP22" s="96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854.54</v>
      </c>
      <c r="P23" s="36" t="n">
        <v>828.78</v>
      </c>
      <c r="Q23" s="36" t="n">
        <v>504.74</v>
      </c>
      <c r="R23" s="36" t="n">
        <v>477.73</v>
      </c>
      <c r="S23" s="36" t="n">
        <v>1228.74</v>
      </c>
      <c r="T23" s="36" t="n">
        <v>535.1800000000001</v>
      </c>
      <c r="U23" s="36" t="n">
        <v>1112.91</v>
      </c>
      <c r="V23" s="37" t="n">
        <v>922</v>
      </c>
      <c r="W23" s="37" t="n">
        <v>922</v>
      </c>
      <c r="X23" s="37" t="n">
        <v>922</v>
      </c>
      <c r="Y23" s="37" t="n">
        <v>922</v>
      </c>
      <c r="Z23" s="37" t="n">
        <v>922</v>
      </c>
      <c r="AA23" s="35" t="n">
        <v>5542.62</v>
      </c>
      <c r="AB23" s="35" t="n">
        <v>10152.62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5" t="n"/>
      <c r="AN23" s="39" t="n"/>
      <c r="AO23" s="96" t="n"/>
      <c r="AP23" s="96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5" t="n"/>
      <c r="AN24" s="39" t="n"/>
      <c r="AO24" s="96" t="n"/>
      <c r="AP24" s="96" t="n"/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>
        <v>6000273.36</v>
      </c>
      <c r="O25" s="43" t="n">
        <v>532736.47</v>
      </c>
      <c r="P25" s="43" t="n">
        <v>521312.0700000001</v>
      </c>
      <c r="Q25" s="43" t="n">
        <v>524825.83</v>
      </c>
      <c r="R25" s="43" t="n">
        <v>560657.4800000001</v>
      </c>
      <c r="S25" s="43" t="n">
        <v>564606.2400000001</v>
      </c>
      <c r="T25" s="43" t="n">
        <v>566213.2699999999</v>
      </c>
      <c r="U25" s="43" t="n">
        <v>575345.85</v>
      </c>
      <c r="V25" s="44" t="n">
        <v>567936.4600000001</v>
      </c>
      <c r="W25" s="44" t="n">
        <v>567936.4600000001</v>
      </c>
      <c r="X25" s="44" t="n">
        <v>567936.4600000001</v>
      </c>
      <c r="Y25" s="44" t="n">
        <v>567936.4600000001</v>
      </c>
      <c r="Z25" s="44" t="n">
        <v>567936.4600000001</v>
      </c>
      <c r="AA25" s="42" t="n">
        <v>3845697.21</v>
      </c>
      <c r="AB25" s="42" t="n">
        <v>6685379.509999999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97" t="n"/>
      <c r="AP25" s="97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5" t="n"/>
      <c r="AN26" s="39" t="n"/>
      <c r="AO26" s="96" t="n"/>
      <c r="AP26" s="96" t="n"/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21969.04</v>
      </c>
      <c r="P27" s="36" t="n">
        <v>25548.56</v>
      </c>
      <c r="Q27" s="36" t="n">
        <v>24689.83</v>
      </c>
      <c r="R27" s="36" t="n">
        <v>25202.21999999999</v>
      </c>
      <c r="S27" s="36" t="n">
        <v>25207.36</v>
      </c>
      <c r="T27" s="36" t="n">
        <v>26364.88</v>
      </c>
      <c r="U27" s="36" t="n">
        <v>27481.35999999999</v>
      </c>
      <c r="V27" s="37" t="n"/>
      <c r="W27" s="37" t="n"/>
      <c r="X27" s="37" t="n"/>
      <c r="Y27" s="37" t="n"/>
      <c r="Z27" s="37" t="n"/>
      <c r="AA27" s="35" t="n">
        <v>176463.25</v>
      </c>
      <c r="AB27" s="35" t="n">
        <v>176463.25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5" t="n"/>
      <c r="AN27" s="39" t="n"/>
      <c r="AO27" s="96" t="n"/>
      <c r="AP27" s="96" t="n"/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1793</v>
      </c>
      <c r="P28" s="36" t="n">
        <v>2330.77</v>
      </c>
      <c r="Q28" s="36" t="n">
        <v>3785.290000000001</v>
      </c>
      <c r="R28" s="36" t="n">
        <v>1987.32</v>
      </c>
      <c r="S28" s="36" t="n">
        <v>2768.419999999999</v>
      </c>
      <c r="T28" s="36" t="n">
        <v>5192.41</v>
      </c>
      <c r="U28" s="36" t="n">
        <v>-1079.73</v>
      </c>
      <c r="V28" s="37" t="n">
        <v>1069</v>
      </c>
      <c r="W28" s="37" t="n">
        <v>1073</v>
      </c>
      <c r="X28" s="37" t="n">
        <v>1077</v>
      </c>
      <c r="Y28" s="37" t="n">
        <v>1081</v>
      </c>
      <c r="Z28" s="37" t="n">
        <v>1085</v>
      </c>
      <c r="AA28" s="35" t="n">
        <v>16777.48</v>
      </c>
      <c r="AB28" s="35" t="n">
        <v>22162.48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5" t="n"/>
      <c r="AN28" s="39" t="n"/>
      <c r="AO28" s="96" t="n"/>
      <c r="AP28" s="96" t="n"/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2255.569999999999</v>
      </c>
      <c r="R29" s="36" t="n">
        <v>1011.52</v>
      </c>
      <c r="S29" s="36" t="n">
        <v>965.8800000000002</v>
      </c>
      <c r="T29" s="36" t="n">
        <v>2310.63</v>
      </c>
      <c r="U29" s="36" t="n">
        <v>1446.8</v>
      </c>
      <c r="V29" s="37" t="n"/>
      <c r="W29" s="37" t="n"/>
      <c r="X29" s="37" t="n"/>
      <c r="Y29" s="37" t="n"/>
      <c r="Z29" s="37" t="n"/>
      <c r="AA29" s="35" t="n">
        <v>10571.48</v>
      </c>
      <c r="AB29" s="35" t="n">
        <v>10571.48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5" t="n"/>
      <c r="AN29" s="39" t="n"/>
      <c r="AO29" s="96" t="n"/>
      <c r="AP29" s="96" t="n"/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733.6099999999999</v>
      </c>
      <c r="P30" s="36" t="n">
        <v>757.1499999999999</v>
      </c>
      <c r="Q30" s="36" t="n">
        <v>497.83</v>
      </c>
      <c r="R30" s="36" t="n">
        <v>1011.05</v>
      </c>
      <c r="S30" s="36" t="n">
        <v>523.9399999999999</v>
      </c>
      <c r="T30" s="36" t="n">
        <v>708.6100000000001</v>
      </c>
      <c r="U30" s="36" t="n">
        <v>497.44</v>
      </c>
      <c r="V30" s="37" t="n">
        <v>1561</v>
      </c>
      <c r="W30" s="37" t="n">
        <v>1561</v>
      </c>
      <c r="X30" s="37" t="n">
        <v>1561</v>
      </c>
      <c r="Y30" s="37" t="n">
        <v>1561</v>
      </c>
      <c r="Z30" s="37" t="n">
        <v>1561</v>
      </c>
      <c r="AA30" s="35" t="n">
        <v>4729.630000000001</v>
      </c>
      <c r="AB30" s="35" t="n">
        <v>12534.63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5" t="n"/>
      <c r="AN30" s="39" t="n"/>
      <c r="AO30" s="96" t="n"/>
      <c r="AP30" s="96" t="n"/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1127.34</v>
      </c>
      <c r="P31" s="36" t="n">
        <v>886.8700000000001</v>
      </c>
      <c r="Q31" s="36" t="n">
        <v>962.62</v>
      </c>
      <c r="R31" s="36" t="n">
        <v>1566.97</v>
      </c>
      <c r="S31" s="36" t="n">
        <v>1826.29</v>
      </c>
      <c r="T31" s="36" t="n">
        <v>1751.07</v>
      </c>
      <c r="U31" s="36" t="n">
        <v>1100.66</v>
      </c>
      <c r="V31" s="37" t="n">
        <v>1003</v>
      </c>
      <c r="W31" s="37" t="n">
        <v>1003</v>
      </c>
      <c r="X31" s="37" t="n">
        <v>1003</v>
      </c>
      <c r="Y31" s="37" t="n">
        <v>1003</v>
      </c>
      <c r="Z31" s="37" t="n">
        <v>1003</v>
      </c>
      <c r="AA31" s="35" t="n">
        <v>9221.82</v>
      </c>
      <c r="AB31" s="35" t="n">
        <v>14236.82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5" t="n"/>
      <c r="AN31" s="39" t="n"/>
      <c r="AO31" s="96" t="n"/>
      <c r="AP31" s="96" t="n"/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3897.52</v>
      </c>
      <c r="P32" s="36" t="n">
        <v>4138.77</v>
      </c>
      <c r="Q32" s="36" t="n">
        <v>4159.339999999999</v>
      </c>
      <c r="R32" s="36" t="n">
        <v>5510.79</v>
      </c>
      <c r="S32" s="36" t="n">
        <v>5639.54</v>
      </c>
      <c r="T32" s="36" t="n">
        <v>4668.17</v>
      </c>
      <c r="U32" s="36" t="n">
        <v>4084.92</v>
      </c>
      <c r="V32" s="37" t="n"/>
      <c r="W32" s="37" t="n"/>
      <c r="X32" s="37" t="n"/>
      <c r="Y32" s="37" t="n"/>
      <c r="Z32" s="37" t="n"/>
      <c r="AA32" s="35" t="n">
        <v>32099.05</v>
      </c>
      <c r="AB32" s="35" t="n">
        <v>32099.05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5" t="n"/>
      <c r="AN32" s="39" t="n"/>
      <c r="AO32" s="96" t="n"/>
      <c r="AP32" s="96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16</v>
      </c>
      <c r="W33" s="37" t="n">
        <v>20</v>
      </c>
      <c r="X33" s="37" t="n">
        <v>24</v>
      </c>
      <c r="Y33" s="37" t="n">
        <v>28</v>
      </c>
      <c r="Z33" s="37" t="n">
        <v>32</v>
      </c>
      <c r="AA33" s="35" t="n">
        <v>0</v>
      </c>
      <c r="AB33" s="35" t="n">
        <v>120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5" t="n"/>
      <c r="AN33" s="39" t="n"/>
      <c r="AO33" s="96" t="n"/>
      <c r="AP33" s="96" t="n"/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30626.13</v>
      </c>
      <c r="P34" s="43" t="n">
        <v>35137.57999999999</v>
      </c>
      <c r="Q34" s="43" t="n">
        <v>36350.48</v>
      </c>
      <c r="R34" s="43" t="n">
        <v>36289.87</v>
      </c>
      <c r="S34" s="43" t="n">
        <v>36931.43</v>
      </c>
      <c r="T34" s="43" t="n">
        <v>40995.77</v>
      </c>
      <c r="U34" s="43" t="n">
        <v>33531.45</v>
      </c>
      <c r="V34" s="44" t="n">
        <v>3649</v>
      </c>
      <c r="W34" s="44" t="n">
        <v>3657</v>
      </c>
      <c r="X34" s="44" t="n">
        <v>3665</v>
      </c>
      <c r="Y34" s="44" t="n">
        <v>3673</v>
      </c>
      <c r="Z34" s="44" t="n">
        <v>3681</v>
      </c>
      <c r="AA34" s="42" t="n">
        <v>249862.71</v>
      </c>
      <c r="AB34" s="42" t="n">
        <v>268187.71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97" t="n"/>
      <c r="AP34" s="97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5" t="n"/>
      <c r="AN35" s="39" t="n"/>
      <c r="AO35" s="96" t="n"/>
      <c r="AP35" s="96" t="n"/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33788.07000000001</v>
      </c>
      <c r="AB36" s="35" t="n">
        <v>57018.07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5" t="n"/>
      <c r="AN36" s="39" t="n"/>
      <c r="AO36" s="96" t="n"/>
      <c r="AP36" s="96" t="n"/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25222.89999999999</v>
      </c>
      <c r="P37" s="36" t="n">
        <v>25222.82</v>
      </c>
      <c r="Q37" s="36" t="n">
        <v>25185.89</v>
      </c>
      <c r="R37" s="36" t="n">
        <v>25771.98</v>
      </c>
      <c r="S37" s="36" t="n">
        <v>25771.98</v>
      </c>
      <c r="T37" s="36" t="n">
        <v>26656.98</v>
      </c>
      <c r="U37" s="36" t="n">
        <v>24504.72</v>
      </c>
      <c r="V37" s="37" t="n">
        <v>25648.675</v>
      </c>
      <c r="W37" s="37" t="n">
        <v>25648.675</v>
      </c>
      <c r="X37" s="37" t="n">
        <v>25648.675</v>
      </c>
      <c r="Y37" s="37" t="n">
        <v>25648.675</v>
      </c>
      <c r="Z37" s="37" t="n">
        <v>25648.675</v>
      </c>
      <c r="AA37" s="35" t="n">
        <v>178337.27</v>
      </c>
      <c r="AB37" s="35" t="n">
        <v>306580.645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5" t="n"/>
      <c r="AN37" s="39" t="n"/>
      <c r="AO37" s="96" t="n"/>
      <c r="AP37" s="96" t="n"/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27406</v>
      </c>
      <c r="P38" s="36" t="n">
        <v>30549.71000000001</v>
      </c>
      <c r="Q38" s="36" t="n">
        <v>24465.68</v>
      </c>
      <c r="R38" s="36" t="n">
        <v>21717.33</v>
      </c>
      <c r="S38" s="36" t="n">
        <v>15878.96</v>
      </c>
      <c r="T38" s="36" t="n">
        <v>14238.91</v>
      </c>
      <c r="U38" s="36" t="n">
        <v>10447.22</v>
      </c>
      <c r="V38" s="37" t="n">
        <v>18452</v>
      </c>
      <c r="W38" s="37" t="n">
        <v>18452</v>
      </c>
      <c r="X38" s="37" t="n">
        <v>18452</v>
      </c>
      <c r="Y38" s="37" t="n">
        <v>18452</v>
      </c>
      <c r="Z38" s="37" t="n">
        <v>18452</v>
      </c>
      <c r="AA38" s="35" t="n">
        <v>144703.81</v>
      </c>
      <c r="AB38" s="35" t="n">
        <v>236963.81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5" t="n"/>
      <c r="AN38" s="39" t="n"/>
      <c r="AO38" s="96" t="n"/>
      <c r="AP38" s="96" t="n"/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4359.46</v>
      </c>
      <c r="P39" s="36" t="n">
        <v>6480.23</v>
      </c>
      <c r="Q39" s="36" t="n">
        <v>7688.39</v>
      </c>
      <c r="R39" s="36" t="n">
        <v>3403.69</v>
      </c>
      <c r="S39" s="36" t="n">
        <v>5268.43</v>
      </c>
      <c r="T39" s="36" t="n">
        <v>5061.84</v>
      </c>
      <c r="U39" s="36" t="n">
        <v>8394.089999999998</v>
      </c>
      <c r="V39" s="37" t="n">
        <v>11500</v>
      </c>
      <c r="W39" s="37" t="n">
        <v>14000</v>
      </c>
      <c r="X39" s="37" t="n">
        <v>9000</v>
      </c>
      <c r="Y39" s="37" t="n">
        <v>6000</v>
      </c>
      <c r="Z39" s="37" t="n">
        <v>4000</v>
      </c>
      <c r="AA39" s="35" t="n">
        <v>40656.13</v>
      </c>
      <c r="AB39" s="35" t="n">
        <v>85156.12999999999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5" t="n"/>
      <c r="AN39" s="39" t="n"/>
      <c r="AO39" s="96" t="n"/>
      <c r="AP39" s="96" t="n"/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8896.219999999999</v>
      </c>
      <c r="P40" s="36" t="n">
        <v>13720.62</v>
      </c>
      <c r="Q40" s="36" t="n">
        <v>7493.51</v>
      </c>
      <c r="R40" s="36" t="n">
        <v>8148.19</v>
      </c>
      <c r="S40" s="36" t="n">
        <v>8471.190000000001</v>
      </c>
      <c r="T40" s="36" t="n">
        <v>8879.49</v>
      </c>
      <c r="U40" s="36" t="n">
        <v>11246.26</v>
      </c>
      <c r="V40" s="37" t="n">
        <v>9977</v>
      </c>
      <c r="W40" s="37" t="n">
        <v>9977</v>
      </c>
      <c r="X40" s="37" t="n">
        <v>9977</v>
      </c>
      <c r="Y40" s="37" t="n">
        <v>9977</v>
      </c>
      <c r="Z40" s="37" t="n">
        <v>9977</v>
      </c>
      <c r="AA40" s="35" t="n">
        <v>66855.48000000001</v>
      </c>
      <c r="AB40" s="35" t="n">
        <v>116740.48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5" t="n"/>
      <c r="AN40" s="39" t="n"/>
      <c r="AO40" s="96" t="n"/>
      <c r="AP40" s="96" t="n"/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6629.42</v>
      </c>
      <c r="P41" s="36" t="n">
        <v>6830.12</v>
      </c>
      <c r="Q41" s="36" t="n">
        <v>8122.139999999999</v>
      </c>
      <c r="R41" s="36" t="n">
        <v>8684.49</v>
      </c>
      <c r="S41" s="36" t="n">
        <v>7626.929999999998</v>
      </c>
      <c r="T41" s="36" t="n">
        <v>4998.649999999999</v>
      </c>
      <c r="U41" s="36" t="n">
        <v>9640.140000000001</v>
      </c>
      <c r="V41" s="37" t="n">
        <v>6938</v>
      </c>
      <c r="W41" s="37" t="n">
        <v>6938</v>
      </c>
      <c r="X41" s="37" t="n">
        <v>6938</v>
      </c>
      <c r="Y41" s="37" t="n">
        <v>6938</v>
      </c>
      <c r="Z41" s="37" t="n">
        <v>6938</v>
      </c>
      <c r="AA41" s="35" t="n">
        <v>52531.89</v>
      </c>
      <c r="AB41" s="35" t="n">
        <v>87221.88999999998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5" t="n"/>
      <c r="AN41" s="39" t="n"/>
      <c r="AO41" s="96" t="n"/>
      <c r="AP41" s="96" t="n"/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16373.5</v>
      </c>
      <c r="P42" s="36" t="n">
        <v>10840.48</v>
      </c>
      <c r="Q42" s="36" t="n">
        <v>12992.6</v>
      </c>
      <c r="R42" s="36" t="n">
        <v>14223.9</v>
      </c>
      <c r="S42" s="36" t="n">
        <v>16592.69</v>
      </c>
      <c r="T42" s="36" t="n">
        <v>14617.07</v>
      </c>
      <c r="U42" s="36" t="n">
        <v>16865.86</v>
      </c>
      <c r="V42" s="37" t="n">
        <v>456</v>
      </c>
      <c r="W42" s="37" t="n">
        <v>456</v>
      </c>
      <c r="X42" s="37" t="n">
        <v>456</v>
      </c>
      <c r="Y42" s="37" t="n">
        <v>456</v>
      </c>
      <c r="Z42" s="37" t="n">
        <v>456</v>
      </c>
      <c r="AA42" s="35" t="n">
        <v>102506.1</v>
      </c>
      <c r="AB42" s="35" t="n">
        <v>104786.1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5" t="n"/>
      <c r="AN42" s="39" t="n"/>
      <c r="AO42" s="96" t="n"/>
      <c r="AP42" s="96" t="n"/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714.59</v>
      </c>
      <c r="P43" s="36" t="n">
        <v>912.6100000000001</v>
      </c>
      <c r="Q43" s="36" t="n">
        <v>1919.66</v>
      </c>
      <c r="R43" s="36" t="n">
        <v>1909.28</v>
      </c>
      <c r="S43" s="36" t="n">
        <v>1186.72</v>
      </c>
      <c r="T43" s="36" t="n">
        <v>843.78</v>
      </c>
      <c r="U43" s="36" t="n">
        <v>178.99</v>
      </c>
      <c r="V43" s="37" t="n">
        <v>3663</v>
      </c>
      <c r="W43" s="37" t="n">
        <v>3663</v>
      </c>
      <c r="X43" s="37" t="n">
        <v>8663</v>
      </c>
      <c r="Y43" s="37" t="n">
        <v>3663</v>
      </c>
      <c r="Z43" s="37" t="n">
        <v>3663</v>
      </c>
      <c r="AA43" s="35" t="n">
        <v>7665.63</v>
      </c>
      <c r="AB43" s="35" t="n">
        <v>30980.63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5" t="n"/>
      <c r="AN43" s="39" t="n"/>
      <c r="AO43" s="96" t="n"/>
      <c r="AP43" s="96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-580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2515.44</v>
      </c>
      <c r="AB44" s="35" t="n">
        <v>2515.44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5" t="n"/>
      <c r="AN44" s="39" t="n"/>
      <c r="AO44" s="96" t="n"/>
      <c r="AP44" s="96" t="n"/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2804.52</v>
      </c>
      <c r="P45" s="36" t="n">
        <v>2784.44</v>
      </c>
      <c r="Q45" s="36" t="n">
        <v>3346.53</v>
      </c>
      <c r="R45" s="36" t="n">
        <v>3789.82</v>
      </c>
      <c r="S45" s="36" t="n">
        <v>2692.34</v>
      </c>
      <c r="T45" s="36" t="n">
        <v>9505.280000000001</v>
      </c>
      <c r="U45" s="36" t="n">
        <v>2764.25</v>
      </c>
      <c r="V45" s="37" t="n">
        <v>4144</v>
      </c>
      <c r="W45" s="37" t="n">
        <v>4144</v>
      </c>
      <c r="X45" s="37" t="n">
        <v>4144</v>
      </c>
      <c r="Y45" s="37" t="n">
        <v>4144</v>
      </c>
      <c r="Z45" s="37" t="n">
        <v>4144</v>
      </c>
      <c r="AA45" s="35" t="n">
        <v>27687.18</v>
      </c>
      <c r="AB45" s="35" t="n">
        <v>48407.18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5" t="n"/>
      <c r="AN45" s="39" t="n"/>
      <c r="AO45" s="96" t="n"/>
      <c r="AP45" s="96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241.04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289.01</v>
      </c>
      <c r="AB46" s="35" t="n">
        <v>289.01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5" t="n"/>
      <c r="AN46" s="39" t="n"/>
      <c r="AO46" s="96" t="n"/>
      <c r="AP46" s="96" t="n"/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>
        <v>1156028.5</v>
      </c>
      <c r="O47" s="43" t="n">
        <v>97732.68000000001</v>
      </c>
      <c r="P47" s="43" t="n">
        <v>102418.85</v>
      </c>
      <c r="Q47" s="43" t="n">
        <v>95280.22</v>
      </c>
      <c r="R47" s="43" t="n">
        <v>92811.95999999999</v>
      </c>
      <c r="S47" s="43" t="n">
        <v>88591.05000000002</v>
      </c>
      <c r="T47" s="43" t="n">
        <v>89867.84000000001</v>
      </c>
      <c r="U47" s="43" t="n">
        <v>90833.40999999999</v>
      </c>
      <c r="V47" s="44" t="n">
        <v>85424.675</v>
      </c>
      <c r="W47" s="44" t="n">
        <v>87924.675</v>
      </c>
      <c r="X47" s="44" t="n">
        <v>87924.675</v>
      </c>
      <c r="Y47" s="44" t="n">
        <v>79924.675</v>
      </c>
      <c r="Z47" s="44" t="n">
        <v>77924.675</v>
      </c>
      <c r="AA47" s="42" t="n">
        <v>657536.0100000001</v>
      </c>
      <c r="AB47" s="42" t="n">
        <v>1076659.385</v>
      </c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42" t="n"/>
      <c r="AN47" s="39" t="n"/>
      <c r="AO47" s="97" t="n"/>
      <c r="AP47" s="97" t="n"/>
    </row>
    <row r="48" ht="15.75" customHeight="1">
      <c r="A48" s="100" t="inlineStr">
        <is>
          <t>Total Direct Costs</t>
        </is>
      </c>
      <c r="B48" s="101" t="n">
        <v>593308.08</v>
      </c>
      <c r="C48" s="101" t="n">
        <v>601457.04</v>
      </c>
      <c r="D48" s="101" t="n">
        <v>595179.59</v>
      </c>
      <c r="E48" s="101" t="n">
        <v>657683.8300000001</v>
      </c>
      <c r="F48" s="101" t="n">
        <v>657881.76</v>
      </c>
      <c r="G48" s="101" t="n">
        <v>641450.24</v>
      </c>
      <c r="H48" s="101" t="n">
        <v>670848.8300000001</v>
      </c>
      <c r="I48" s="101" t="n">
        <v>623265.5700000001</v>
      </c>
      <c r="J48" s="101" t="n">
        <v>643907.0899999999</v>
      </c>
      <c r="K48" s="101" t="n">
        <v>658803.66</v>
      </c>
      <c r="L48" s="101" t="n">
        <v>623280.2899999999</v>
      </c>
      <c r="M48" s="101" t="n">
        <v>631531.24</v>
      </c>
      <c r="N48" s="42" t="n">
        <v>7598597.22</v>
      </c>
      <c r="O48" s="102" t="n">
        <v>661095.2799999999</v>
      </c>
      <c r="P48" s="102" t="n">
        <v>658868.5000000002</v>
      </c>
      <c r="Q48" s="102" t="n">
        <v>656456.53</v>
      </c>
      <c r="R48" s="102" t="n">
        <v>689759.3099999999</v>
      </c>
      <c r="S48" s="102" t="n">
        <v>690128.7199999999</v>
      </c>
      <c r="T48" s="102" t="n">
        <v>697076.8799999999</v>
      </c>
      <c r="U48" s="102" t="n">
        <v>699710.7100000001</v>
      </c>
      <c r="V48" s="103" t="n">
        <v>657010.135</v>
      </c>
      <c r="W48" s="103" t="n">
        <v>659518.135</v>
      </c>
      <c r="X48" s="103" t="n">
        <v>659526.135</v>
      </c>
      <c r="Y48" s="103" t="n">
        <v>651534.135</v>
      </c>
      <c r="Z48" s="103" t="n">
        <v>649542.135</v>
      </c>
      <c r="AA48" s="42" t="n">
        <v>4753095.93</v>
      </c>
      <c r="AB48" s="42" t="n">
        <v>8030226.605</v>
      </c>
      <c r="AC48" s="103" t="n"/>
      <c r="AD48" s="103" t="n"/>
      <c r="AE48" s="103" t="n"/>
      <c r="AF48" s="103" t="n"/>
      <c r="AG48" s="103" t="n"/>
      <c r="AH48" s="103" t="n"/>
      <c r="AJ48" s="42" t="n"/>
      <c r="AK48" s="42" t="n"/>
      <c r="AL48" s="42" t="n"/>
      <c r="AM48" s="42" t="n"/>
      <c r="AN48" s="39" t="n"/>
      <c r="AO48" s="97" t="n"/>
      <c r="AP48" s="97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>
        <v>0</v>
      </c>
      <c r="AB49" s="104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5" t="n"/>
      <c r="AN49" s="39" t="n"/>
      <c r="AO49" s="96" t="n"/>
      <c r="AP49" s="96" t="n"/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>
        <v>3773470.97</v>
      </c>
      <c r="O50" s="54" t="n">
        <v>181655.9700000001</v>
      </c>
      <c r="P50" s="54" t="n">
        <v>297214.01</v>
      </c>
      <c r="Q50" s="54" t="n">
        <v>423677.7799999999</v>
      </c>
      <c r="R50" s="54" t="n">
        <v>339656.27</v>
      </c>
      <c r="S50" s="54" t="n">
        <v>237171.76</v>
      </c>
      <c r="T50" s="54" t="n">
        <v>383763.6400000001</v>
      </c>
      <c r="U50" s="54" t="n">
        <v>468785.2000000001</v>
      </c>
      <c r="V50" s="54" t="n">
        <v>14315.44500000001</v>
      </c>
      <c r="W50" s="54" t="n">
        <v>193115.635</v>
      </c>
      <c r="X50" s="54" t="n">
        <v>244031.935</v>
      </c>
      <c r="Y50" s="54" t="n">
        <v>262946.6750000001</v>
      </c>
      <c r="Z50" s="54" t="n">
        <v>214638.645</v>
      </c>
      <c r="AA50" s="54" t="n">
        <v>2331924.629999999</v>
      </c>
      <c r="AB50" s="105" t="n">
        <v>3260972.965</v>
      </c>
      <c r="AC50" s="54" t="n"/>
      <c r="AD50" s="54" t="n"/>
      <c r="AE50" s="54" t="n"/>
      <c r="AF50" s="54" t="n"/>
      <c r="AG50" s="54" t="n"/>
      <c r="AH50" s="54" t="n"/>
      <c r="AI50" s="55" t="n"/>
      <c r="AJ50" s="105" t="n"/>
      <c r="AK50" s="105" t="n"/>
      <c r="AL50" s="105" t="n"/>
      <c r="AM50" s="105" t="n"/>
      <c r="AN50" s="55" t="n"/>
      <c r="AO50" s="106" t="n"/>
      <c r="AP50" s="106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6" t="n"/>
      <c r="AP51" s="96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6" t="n"/>
      <c r="AP52" s="96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107" t="n">
        <v>398439</v>
      </c>
      <c r="AA53" s="35" t="n">
        <v>861294.89</v>
      </c>
      <c r="AB53" s="35" t="n">
        <v>1331050.89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5" t="n"/>
      <c r="AN53" s="39" t="n"/>
      <c r="AO53" s="96" t="n"/>
      <c r="AP53" s="96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5" t="n"/>
      <c r="AN54" s="39" t="n"/>
      <c r="AO54" s="96" t="n"/>
      <c r="AP54" s="96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5" t="n"/>
      <c r="AN55" s="39" t="n"/>
      <c r="AO55" s="96" t="n"/>
      <c r="AP55" s="96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5" t="n"/>
      <c r="AN56" s="39" t="n"/>
      <c r="AO56" s="96" t="n"/>
      <c r="AP56" s="96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124.6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>
        <v>51</v>
      </c>
      <c r="AA57" s="35" t="n">
        <v>1087.04</v>
      </c>
      <c r="AB57" s="35" t="n">
        <v>1087.04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5" t="n"/>
      <c r="AN57" s="39" t="n"/>
      <c r="AO57" s="96" t="n"/>
      <c r="AP57" s="96" t="n"/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148.05</v>
      </c>
      <c r="P58" s="36" t="n">
        <v>148.05</v>
      </c>
      <c r="Q58" s="36" t="n">
        <v>43048.05</v>
      </c>
      <c r="R58" s="36" t="n">
        <v>9628.049999999999</v>
      </c>
      <c r="S58" s="36" t="n">
        <v>148.05</v>
      </c>
      <c r="T58" s="36" t="n">
        <v>148.05</v>
      </c>
      <c r="U58" s="36" t="n">
        <v>398.25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53666.55</v>
      </c>
      <c r="AB58" s="35" t="n">
        <v>85066.54999999999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5" t="n"/>
      <c r="AN58" s="39" t="n"/>
      <c r="AO58" s="96" t="n"/>
      <c r="AP58" s="96" t="n"/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7499.030000000001</v>
      </c>
      <c r="P59" s="36" t="n">
        <v>6537.090000000001</v>
      </c>
      <c r="Q59" s="36" t="n">
        <v>6537.090000000001</v>
      </c>
      <c r="R59" s="36" t="n">
        <v>6574.890000000001</v>
      </c>
      <c r="S59" s="36" t="n">
        <v>6614.830000000001</v>
      </c>
      <c r="T59" s="36" t="n">
        <v>18170.97</v>
      </c>
      <c r="U59" s="36" t="n">
        <v>7884.020000000001</v>
      </c>
      <c r="V59" s="37" t="n">
        <v>6295.8</v>
      </c>
      <c r="W59" s="37" t="n">
        <v>6295.8</v>
      </c>
      <c r="X59" s="37" t="n">
        <v>6295.8</v>
      </c>
      <c r="Y59" s="37" t="n">
        <v>6295.8</v>
      </c>
      <c r="Z59" s="37" t="n">
        <v>6295.8</v>
      </c>
      <c r="AA59" s="35" t="n">
        <v>59817.92</v>
      </c>
      <c r="AB59" s="35" t="n">
        <v>91296.91999999998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5" t="n"/>
      <c r="AN59" s="39" t="n"/>
      <c r="AO59" s="96" t="n"/>
      <c r="AP59" s="96" t="n"/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2996.24</v>
      </c>
      <c r="P60" s="36" t="n">
        <v>2807.99</v>
      </c>
      <c r="Q60" s="36" t="n">
        <v>3215.75</v>
      </c>
      <c r="R60" s="36" t="n">
        <v>4283.410000000001</v>
      </c>
      <c r="S60" s="36" t="n">
        <v>2887.62</v>
      </c>
      <c r="T60" s="36" t="n">
        <v>4548.26</v>
      </c>
      <c r="U60" s="36" t="n">
        <v>2790.17</v>
      </c>
      <c r="V60" s="37" t="n">
        <v>2479.6</v>
      </c>
      <c r="W60" s="37" t="n">
        <v>2479.6</v>
      </c>
      <c r="X60" s="37" t="n">
        <v>2479.6</v>
      </c>
      <c r="Y60" s="37" t="n">
        <v>2479.6</v>
      </c>
      <c r="Z60" s="37" t="n">
        <v>2479.6</v>
      </c>
      <c r="AA60" s="35" t="n">
        <v>23529.44</v>
      </c>
      <c r="AB60" s="35" t="n">
        <v>35927.44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5" t="n"/>
      <c r="AN60" s="39" t="n"/>
      <c r="AO60" s="96" t="n"/>
      <c r="AP60" s="96" t="n"/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5" t="n"/>
      <c r="AN61" s="39" t="n"/>
      <c r="AO61" s="96" t="n"/>
      <c r="AP61" s="96" t="n"/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3259.92</v>
      </c>
      <c r="P62" s="36" t="n">
        <v>1651.34</v>
      </c>
      <c r="Q62" s="36" t="n">
        <v>1093.48</v>
      </c>
      <c r="R62" s="36" t="n">
        <v>1525.73</v>
      </c>
      <c r="S62" s="36" t="n">
        <v>1504.33</v>
      </c>
      <c r="T62" s="36" t="n">
        <v>2337.35</v>
      </c>
      <c r="U62" s="36" t="n">
        <v>2821.37</v>
      </c>
      <c r="V62" s="37" t="n">
        <v>1100</v>
      </c>
      <c r="W62" s="37" t="n">
        <v>1100</v>
      </c>
      <c r="X62" s="37" t="n">
        <v>1100</v>
      </c>
      <c r="Y62" s="37" t="n">
        <v>1100</v>
      </c>
      <c r="Z62" s="37" t="n">
        <v>1100</v>
      </c>
      <c r="AA62" s="35" t="n">
        <v>14193.52</v>
      </c>
      <c r="AB62" s="35" t="n">
        <v>19693.52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5" t="n"/>
      <c r="AN62" s="39" t="n"/>
      <c r="AO62" s="96" t="n"/>
      <c r="AP62" s="96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5" t="n"/>
      <c r="AN63" s="39" t="n"/>
      <c r="AO63" s="96" t="n"/>
      <c r="AP63" s="96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7241.4</v>
      </c>
      <c r="P64" s="36" t="n">
        <v>7898.049999999999</v>
      </c>
      <c r="Q64" s="36" t="n">
        <v>7898.049999999999</v>
      </c>
      <c r="R64" s="36" t="n">
        <v>7898.040000000001</v>
      </c>
      <c r="S64" s="36" t="n">
        <v>7898.040000000001</v>
      </c>
      <c r="T64" s="36" t="n">
        <v>7898.040000000001</v>
      </c>
      <c r="U64" s="36" t="n">
        <v>4620.440000000001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51352.06</v>
      </c>
      <c r="AB64" s="35" t="n">
        <v>51352.06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5" t="n"/>
      <c r="AN64" s="39" t="n"/>
      <c r="AO64" s="96" t="n"/>
      <c r="AP64" s="96" t="n"/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24148.18</v>
      </c>
      <c r="P65" s="36" t="n">
        <v>7324.77</v>
      </c>
      <c r="Q65" s="36" t="n">
        <v>15483.09</v>
      </c>
      <c r="R65" s="36" t="n">
        <v>5896.45</v>
      </c>
      <c r="S65" s="36" t="n">
        <v>5286.66</v>
      </c>
      <c r="T65" s="36" t="n">
        <v>4753.26</v>
      </c>
      <c r="U65" s="36" t="n">
        <v>28341.66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91234.07000000001</v>
      </c>
      <c r="AB65" s="35" t="n">
        <v>91234.07000000001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5" t="n"/>
      <c r="AN65" s="39" t="n"/>
      <c r="AO65" s="96" t="n"/>
      <c r="AP65" s="96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2397</v>
      </c>
      <c r="P66" s="36" t="n">
        <v>2377</v>
      </c>
      <c r="Q66" s="36" t="n">
        <v>2355</v>
      </c>
      <c r="R66" s="36" t="n">
        <v>2335</v>
      </c>
      <c r="S66" s="36" t="n">
        <v>2313</v>
      </c>
      <c r="T66" s="36" t="n">
        <v>2292</v>
      </c>
      <c r="U66" s="36" t="n">
        <v>2271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16340</v>
      </c>
      <c r="AB66" s="35" t="n">
        <v>16340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5" t="n"/>
      <c r="AN66" s="39" t="n"/>
      <c r="AO66" s="96" t="n"/>
      <c r="AP66" s="96" t="n"/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360.39</v>
      </c>
      <c r="P67" s="36" t="n">
        <v>368.99</v>
      </c>
      <c r="Q67" s="36" t="n">
        <v>255.49</v>
      </c>
      <c r="R67" s="36" t="n">
        <v>447.74</v>
      </c>
      <c r="S67" s="36" t="n">
        <v>290.59</v>
      </c>
      <c r="T67" s="36" t="n">
        <v>478.88</v>
      </c>
      <c r="U67" s="36" t="n">
        <v>226.9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2428.98</v>
      </c>
      <c r="AB67" s="35" t="n">
        <v>32428.98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5" t="n"/>
      <c r="AN67" s="39" t="n"/>
      <c r="AO67" s="96" t="n"/>
      <c r="AP67" s="96" t="n"/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-11.07</v>
      </c>
      <c r="P68" s="36" t="n">
        <v>-9.82</v>
      </c>
      <c r="Q68" s="36" t="n">
        <v>33640.11</v>
      </c>
      <c r="R68" s="36" t="n">
        <v>0</v>
      </c>
      <c r="S68" s="36" t="n">
        <v>-9.539999999999999</v>
      </c>
      <c r="T68" s="36" t="n">
        <v>33312.57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66922.25</v>
      </c>
      <c r="AB68" s="108" t="n">
        <v>79922.25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5" t="n"/>
      <c r="AN68" s="39" t="n"/>
      <c r="AO68" s="96" t="n"/>
      <c r="AP68" s="96" t="n"/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176302.67</v>
      </c>
      <c r="P69" s="43" t="n">
        <v>149969.78</v>
      </c>
      <c r="Q69" s="43" t="n">
        <v>256276.29</v>
      </c>
      <c r="R69" s="43" t="n">
        <v>239522.12</v>
      </c>
      <c r="S69" s="43" t="n">
        <v>163737.15</v>
      </c>
      <c r="T69" s="43" t="n">
        <v>209787.24</v>
      </c>
      <c r="U69" s="43" t="n">
        <v>184794.09</v>
      </c>
      <c r="V69" s="44" t="n">
        <v>162601.02</v>
      </c>
      <c r="W69" s="44" t="n">
        <v>162601.02</v>
      </c>
      <c r="X69" s="44" t="n">
        <v>162601.02</v>
      </c>
      <c r="Y69" s="44" t="n">
        <v>162601.02</v>
      </c>
      <c r="Z69" s="44" t="n">
        <v>443652.02</v>
      </c>
      <c r="AA69" s="42" t="n">
        <v>1380389.34</v>
      </c>
      <c r="AB69" s="42" t="n">
        <v>2075955.44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97" t="n"/>
      <c r="AP69" s="97" t="n"/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>
        <v>1558051.7</v>
      </c>
      <c r="O70" s="54" t="n">
        <v>5353.300000000034</v>
      </c>
      <c r="P70" s="54" t="n">
        <v>147244.2300000001</v>
      </c>
      <c r="Q70" s="54" t="n">
        <v>167401.4899999999</v>
      </c>
      <c r="R70" s="54" t="n">
        <v>100134.1500000001</v>
      </c>
      <c r="S70" s="54" t="n">
        <v>73434.60999999999</v>
      </c>
      <c r="T70" s="54" t="n">
        <v>173976.4</v>
      </c>
      <c r="U70" s="54" t="n">
        <v>283991.11</v>
      </c>
      <c r="V70" s="54" t="n">
        <v>-148285.575</v>
      </c>
      <c r="W70" s="54" t="n">
        <v>30514.61499999999</v>
      </c>
      <c r="X70" s="54" t="n">
        <v>81430.91500000004</v>
      </c>
      <c r="Y70" s="54" t="n">
        <v>100345.6550000001</v>
      </c>
      <c r="Z70" s="54" t="n">
        <v>-229013.375</v>
      </c>
      <c r="AA70" s="54" t="n">
        <v>951535.2900000002</v>
      </c>
      <c r="AB70" s="54" t="n">
        <v>1185017.525</v>
      </c>
      <c r="AC70" s="54" t="n"/>
      <c r="AD70" s="54" t="n"/>
      <c r="AE70" s="54" t="n"/>
      <c r="AF70" s="54" t="n"/>
      <c r="AG70" s="54" t="n"/>
      <c r="AH70" s="54" t="n"/>
      <c r="AI70" s="55" t="n"/>
      <c r="AJ70" s="54" t="n"/>
      <c r="AK70" s="54" t="n"/>
      <c r="AL70" s="54" t="n"/>
      <c r="AM70" s="54" t="n"/>
      <c r="AN70" s="55" t="n"/>
      <c r="AO70" s="109" t="inlineStr">
        <is>
          <t>NOT COMPLETED</t>
        </is>
      </c>
      <c r="AP70" s="110" t="n"/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>
        <v>0</v>
      </c>
      <c r="AB72" s="55" t="n">
        <v>0</v>
      </c>
      <c r="AC72" s="37" t="n"/>
      <c r="AD72" s="37" t="n"/>
      <c r="AE72" s="37" t="n"/>
      <c r="AF72" s="37" t="n"/>
      <c r="AG72" s="37" t="n"/>
      <c r="AH72" s="37" t="n"/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>
        <v>0</v>
      </c>
      <c r="P73" s="36" t="n">
        <v>0</v>
      </c>
      <c r="Q73" s="36" t="n">
        <v>0</v>
      </c>
      <c r="R73" s="36" t="n">
        <v>0</v>
      </c>
      <c r="S73" s="36" t="n">
        <v>0</v>
      </c>
      <c r="T73" s="36" t="n">
        <v>0</v>
      </c>
      <c r="U73" s="36" t="n">
        <v>3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5" t="n">
        <v>3</v>
      </c>
      <c r="AB73" s="55" t="n">
        <v>3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>
        <v>2774.924947916667</v>
      </c>
      <c r="P74" s="36" t="n">
        <v>2774.924947916667</v>
      </c>
      <c r="Q74" s="36" t="n">
        <v>2774.924947916667</v>
      </c>
      <c r="R74" s="36" t="n">
        <v>2774.924947916667</v>
      </c>
      <c r="S74" s="36" t="n">
        <v>2774.924947916667</v>
      </c>
      <c r="T74" s="36" t="n">
        <v>2774.924947916667</v>
      </c>
      <c r="U74" s="36" t="n">
        <v>2805.19578125</v>
      </c>
      <c r="V74" s="37" t="n">
        <v>2770.55578125</v>
      </c>
      <c r="W74" s="37" t="n">
        <v>2770.55578125</v>
      </c>
      <c r="X74" s="37" t="n">
        <v>2770.55578125</v>
      </c>
      <c r="Y74" s="37" t="n">
        <v>2770.55578125</v>
      </c>
      <c r="Z74" s="37" t="n">
        <v>2764.91578125</v>
      </c>
      <c r="AA74" s="35" t="n">
        <v>19454.74546875</v>
      </c>
      <c r="AB74" t="n">
        <v>33301.884375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>
        <v>0</v>
      </c>
      <c r="P75" s="36" t="n">
        <v>0</v>
      </c>
      <c r="Q75" s="36" t="n">
        <v>0</v>
      </c>
      <c r="R75" s="36" t="n">
        <v>0</v>
      </c>
      <c r="S75" s="36" t="n">
        <v>0</v>
      </c>
      <c r="T75" s="36" t="n">
        <v>0</v>
      </c>
      <c r="U75" s="36" t="n">
        <v>3</v>
      </c>
      <c r="V75" s="37" t="n">
        <v>0</v>
      </c>
      <c r="W75" s="37" t="n">
        <v>0</v>
      </c>
      <c r="X75" s="37" t="n">
        <v>0</v>
      </c>
      <c r="Y75" s="37" t="n">
        <v>0</v>
      </c>
      <c r="Z75" s="37" t="n">
        <v>0</v>
      </c>
      <c r="AA75" s="35" t="n">
        <v>3</v>
      </c>
      <c r="AB75" t="n">
        <v>3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>
        <v>0</v>
      </c>
      <c r="AB78" t="n">
        <v>0</v>
      </c>
      <c r="AC78" s="37" t="n"/>
      <c r="AD78" s="37" t="n"/>
      <c r="AE78" s="37" t="n"/>
      <c r="AF78" s="37" t="n"/>
      <c r="AG78" s="37" t="n"/>
      <c r="AH78" s="37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>
        <v>0</v>
      </c>
      <c r="AB79" t="n">
        <v>0</v>
      </c>
      <c r="AC79" s="37" t="n"/>
      <c r="AD79" s="37" t="n"/>
      <c r="AE79" s="37" t="n"/>
      <c r="AF79" s="37" t="n"/>
      <c r="AG79" s="37" t="n"/>
      <c r="AH79" s="37" t="n"/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>
        <v>0</v>
      </c>
      <c r="AB80" t="n">
        <v>0</v>
      </c>
      <c r="AC80" s="37" t="n"/>
      <c r="AD80" s="37" t="n"/>
      <c r="AE80" s="37" t="n"/>
      <c r="AF80" s="37" t="n"/>
      <c r="AG80" s="37" t="n"/>
      <c r="AH80" s="37" t="n"/>
    </row>
    <row r="81" ht="15.75" customHeight="1">
      <c r="A81" s="111" t="n"/>
      <c r="B81" s="112" t="n">
        <v>169635.61</v>
      </c>
      <c r="C81" s="112" t="n">
        <v>186626.61</v>
      </c>
      <c r="D81" s="112" t="n">
        <v>338567.7000000001</v>
      </c>
      <c r="E81" s="112" t="n">
        <v>188295.3299999997</v>
      </c>
      <c r="F81" s="112" t="n">
        <v>98787.60000000011</v>
      </c>
      <c r="G81" s="112" t="n">
        <v>250542.7</v>
      </c>
      <c r="H81" s="112" t="n">
        <v>537622.62</v>
      </c>
      <c r="I81" s="112" t="n">
        <v>38607.06999999996</v>
      </c>
      <c r="J81" s="112" t="n">
        <v>82.80000000007567</v>
      </c>
      <c r="K81" s="112" t="n">
        <v>31871.38</v>
      </c>
      <c r="L81" s="112" t="n">
        <v>209008.3400000001</v>
      </c>
      <c r="M81" s="112" t="n">
        <v>388973.69</v>
      </c>
      <c r="N81" s="112" t="n">
        <v>2438621.45</v>
      </c>
      <c r="O81" s="112" t="n"/>
      <c r="P81" s="112" t="n"/>
      <c r="Q81" s="112" t="n"/>
      <c r="R81" s="112" t="n"/>
      <c r="S81" s="112" t="n"/>
      <c r="T81" s="112" t="n"/>
      <c r="U81" s="112" t="n"/>
      <c r="V81" s="112" t="n"/>
      <c r="W81" s="112" t="n"/>
      <c r="X81" s="112" t="n"/>
      <c r="Y81" s="112" t="n"/>
      <c r="Z81" s="112" t="n"/>
      <c r="AA81" s="112" t="n">
        <v>0</v>
      </c>
      <c r="AB81" t="n">
        <v>0</v>
      </c>
      <c r="AC81" s="112" t="n"/>
      <c r="AD81" s="112" t="n"/>
      <c r="AE81" s="112" t="n"/>
      <c r="AF81" s="112" t="n"/>
      <c r="AG81" s="112" t="n"/>
      <c r="AH81" s="112" t="n"/>
    </row>
    <row r="82">
      <c r="A82" s="21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Q85" s="113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t="n">
        <v>0</v>
      </c>
      <c r="AB95" t="n">
        <v>0</v>
      </c>
      <c r="AC95" s="63" t="n"/>
      <c r="AD95" s="63" t="n"/>
      <c r="AE95" s="63" t="n"/>
      <c r="AF95" s="63" t="n"/>
      <c r="AG95" s="63" t="n"/>
      <c r="AH95" s="63" t="n"/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t="n">
        <v>0</v>
      </c>
      <c r="AB98" t="n">
        <v>0</v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I8" s="121" t="n">
        <v>110257.62</v>
      </c>
      <c r="AJ8" s="122" t="n">
        <v>110257.62</v>
      </c>
      <c r="AK8" s="122" t="n">
        <v>110257.62</v>
      </c>
      <c r="AL8" s="122" t="n">
        <v>110257.62</v>
      </c>
      <c r="AM8" s="123" t="n">
        <v>110257.62</v>
      </c>
      <c r="AN8" s="121" t="n">
        <v>110257.62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950807.38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I16" s="121" t="n">
        <v>44079.43</v>
      </c>
      <c r="AJ16" s="122" t="n">
        <v>44079.43</v>
      </c>
      <c r="AK16" s="122" t="n">
        <v>44079.43</v>
      </c>
      <c r="AL16" s="122" t="n">
        <v>44079.43</v>
      </c>
      <c r="AM16" s="123" t="n">
        <v>44079.43</v>
      </c>
      <c r="AN16" s="121" t="n">
        <v>44079.43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I17" s="121" t="n">
        <v>4289.92</v>
      </c>
      <c r="AJ17" s="122" t="n">
        <v>4289.92</v>
      </c>
      <c r="AK17" s="122" t="n">
        <v>4289.92</v>
      </c>
      <c r="AL17" s="122" t="n">
        <v>4289.92</v>
      </c>
      <c r="AM17" s="123" t="n">
        <v>4289.92</v>
      </c>
      <c r="AN17" s="121" t="n">
        <v>4289.92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I18" s="121" t="n">
        <v>706.29</v>
      </c>
      <c r="AJ18" s="122" t="n">
        <v>706.29</v>
      </c>
      <c r="AK18" s="122" t="n">
        <v>706.29</v>
      </c>
      <c r="AL18" s="122" t="n">
        <v>706.29</v>
      </c>
      <c r="AM18" s="123" t="n">
        <v>706.29</v>
      </c>
      <c r="AN18" s="121" t="n">
        <v>706.29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I19" s="121" t="n">
        <v>173</v>
      </c>
      <c r="AJ19" s="122" t="n">
        <v>173</v>
      </c>
      <c r="AK19" s="122" t="n">
        <v>173</v>
      </c>
      <c r="AL19" s="122" t="n">
        <v>173</v>
      </c>
      <c r="AM19" s="123" t="n">
        <v>173</v>
      </c>
      <c r="AN19" s="121" t="n">
        <v>173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I20" s="121" t="n">
        <v>323</v>
      </c>
      <c r="AJ20" s="122" t="n">
        <v>323</v>
      </c>
      <c r="AK20" s="122" t="n">
        <v>323</v>
      </c>
      <c r="AL20" s="122" t="n">
        <v>323</v>
      </c>
      <c r="AM20" s="123" t="n">
        <v>323</v>
      </c>
      <c r="AN20" s="121" t="n">
        <v>323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I21" s="121" t="n">
        <v>211</v>
      </c>
      <c r="AJ21" s="122" t="n">
        <v>211</v>
      </c>
      <c r="AK21" s="122" t="n">
        <v>211</v>
      </c>
      <c r="AL21" s="122" t="n">
        <v>211</v>
      </c>
      <c r="AM21" s="123" t="n">
        <v>211</v>
      </c>
      <c r="AN21" s="121" t="n">
        <v>211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I23" s="121" t="n">
        <v>121</v>
      </c>
      <c r="AJ23" s="122" t="n">
        <v>121</v>
      </c>
      <c r="AK23" s="122" t="n">
        <v>121</v>
      </c>
      <c r="AL23" s="122" t="n">
        <v>121</v>
      </c>
      <c r="AM23" s="123" t="n">
        <v>121</v>
      </c>
      <c r="AN23" s="121" t="n">
        <v>121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I37" s="121" t="n">
        <v>1823.25</v>
      </c>
      <c r="AJ37" s="122" t="n">
        <v>1823.25</v>
      </c>
      <c r="AK37" s="122" t="n">
        <v>1823.25</v>
      </c>
      <c r="AL37" s="122" t="n">
        <v>1823.25</v>
      </c>
      <c r="AM37" s="123" t="n">
        <v>1823.25</v>
      </c>
      <c r="AN37" s="121" t="n">
        <v>1823.25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I38" s="121" t="n">
        <v>1429</v>
      </c>
      <c r="AJ38" s="122" t="n">
        <v>1429</v>
      </c>
      <c r="AK38" s="122" t="n">
        <v>1429</v>
      </c>
      <c r="AL38" s="122" t="n">
        <v>1429</v>
      </c>
      <c r="AM38" s="123" t="n">
        <v>1429</v>
      </c>
      <c r="AN38" s="121" t="n">
        <v>1429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I40" s="121" t="n">
        <v>400</v>
      </c>
      <c r="AJ40" s="122" t="n">
        <v>400</v>
      </c>
      <c r="AK40" s="122" t="n">
        <v>400</v>
      </c>
      <c r="AL40" s="122" t="n">
        <v>400</v>
      </c>
      <c r="AM40" s="123" t="n">
        <v>400</v>
      </c>
      <c r="AN40" s="121" t="n">
        <v>400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I41" s="121" t="n">
        <v>400</v>
      </c>
      <c r="AJ41" s="122" t="n">
        <v>400</v>
      </c>
      <c r="AK41" s="122" t="n">
        <v>400</v>
      </c>
      <c r="AL41" s="122" t="n">
        <v>400</v>
      </c>
      <c r="AM41" s="123" t="n">
        <v>400</v>
      </c>
      <c r="AN41" s="121" t="n">
        <v>400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I42" s="121" t="n">
        <v>106</v>
      </c>
      <c r="AJ42" s="122" t="n">
        <v>106</v>
      </c>
      <c r="AK42" s="122" t="n">
        <v>106</v>
      </c>
      <c r="AL42" s="122" t="n">
        <v>106</v>
      </c>
      <c r="AM42" s="123" t="n">
        <v>106</v>
      </c>
      <c r="AN42" s="121" t="n">
        <v>106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I45" s="121" t="n">
        <v>106</v>
      </c>
      <c r="AJ45" s="122" t="n">
        <v>106</v>
      </c>
      <c r="AK45" s="122" t="n">
        <v>106</v>
      </c>
      <c r="AL45" s="122" t="n">
        <v>106</v>
      </c>
      <c r="AM45" s="123" t="n">
        <v>106</v>
      </c>
      <c r="AN45" s="121" t="n">
        <v>106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I48" s="126" t="n">
        <v>0</v>
      </c>
      <c r="AJ48" s="127" t="n">
        <v>0</v>
      </c>
      <c r="AK48" s="127" t="n">
        <v>0</v>
      </c>
      <c r="AL48" s="127" t="n">
        <v>0</v>
      </c>
      <c r="AM48" s="127" t="n">
        <v>0</v>
      </c>
      <c r="AN48" s="126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378993.15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>
        <v>0</v>
      </c>
      <c r="P57" s="36" t="n">
        <v>0</v>
      </c>
      <c r="Q57" s="36" t="n">
        <v>0</v>
      </c>
      <c r="R57" s="36" t="n">
        <v>313.5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313.5</v>
      </c>
      <c r="AB57" s="35" t="n">
        <v>313.5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/>
      <c r="W59" s="37" t="n"/>
      <c r="X59" s="37" t="n"/>
      <c r="Y59" s="37" t="n"/>
      <c r="Z59" s="37" t="n"/>
      <c r="AA59" s="35" t="n">
        <v>1503.6</v>
      </c>
      <c r="AB59" s="35" t="n">
        <v>1503.6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>
        <v>3.6</v>
      </c>
      <c r="P60" s="36" t="n">
        <v>1.8</v>
      </c>
      <c r="Q60" s="36" t="n">
        <v>48.15999999999999</v>
      </c>
      <c r="R60" s="36" t="n">
        <v>4.2</v>
      </c>
      <c r="S60" s="36" t="n">
        <v>3</v>
      </c>
      <c r="T60" s="36" t="n">
        <v>6.6</v>
      </c>
      <c r="U60" s="36" t="n">
        <v>4.8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72.15999999999998</v>
      </c>
      <c r="AB60" s="35" t="n">
        <v>97.15999999999998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21" t="n">
        <v>5</v>
      </c>
      <c r="AJ60" s="122" t="n">
        <v>5</v>
      </c>
      <c r="AK60" s="122" t="n">
        <v>5</v>
      </c>
      <c r="AL60" s="122" t="n">
        <v>5</v>
      </c>
      <c r="AM60" s="123" t="n">
        <v>5</v>
      </c>
      <c r="AN60" s="121" t="n">
        <v>5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>
        <v>0</v>
      </c>
      <c r="P62" s="36" t="n">
        <v>0</v>
      </c>
      <c r="Q62" s="36" t="n">
        <v>0</v>
      </c>
      <c r="R62" s="36" t="n">
        <v>30</v>
      </c>
      <c r="S62" s="36" t="n">
        <v>0</v>
      </c>
      <c r="T62" s="36" t="n">
        <v>356</v>
      </c>
      <c r="U62" s="36" t="n">
        <v>179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565</v>
      </c>
      <c r="AB62" s="35" t="n">
        <v>565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0.2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0.2</v>
      </c>
      <c r="AB65" s="35" t="n">
        <v>0.2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218.4</v>
      </c>
      <c r="P69" s="43" t="n">
        <v>216.6</v>
      </c>
      <c r="Q69" s="43" t="n">
        <v>262.96</v>
      </c>
      <c r="R69" s="43" t="n">
        <v>562.7</v>
      </c>
      <c r="S69" s="43" t="n">
        <v>217.8</v>
      </c>
      <c r="T69" s="43" t="n">
        <v>577.4</v>
      </c>
      <c r="U69" s="43" t="n">
        <v>398.6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2454.46</v>
      </c>
      <c r="AB69" s="42" t="n">
        <v>2479.46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375238.32</v>
      </c>
      <c r="O70" s="54" t="n">
        <v>22753.11000000002</v>
      </c>
      <c r="P70" s="54" t="n">
        <v>40869.28000000001</v>
      </c>
      <c r="Q70" s="54" t="n">
        <v>56361.71999999999</v>
      </c>
      <c r="R70" s="54" t="n">
        <v>44487.84999999999</v>
      </c>
      <c r="S70" s="54" t="n">
        <v>32946.94999999998</v>
      </c>
      <c r="T70" s="54" t="n">
        <v>44618.81999999999</v>
      </c>
      <c r="U70" s="54" t="n">
        <v>58752.72999999998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300790.46</v>
      </c>
      <c r="AB70" s="54" t="n">
        <v>504328.52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  <c r="AI83" s="121" t="n">
        <v>0</v>
      </c>
      <c r="AJ83" s="121" t="n">
        <v>0</v>
      </c>
      <c r="AK83" s="121" t="n">
        <v>0</v>
      </c>
      <c r="AL83" s="121" t="n">
        <v>0</v>
      </c>
      <c r="AM83" s="121" t="n">
        <v>0</v>
      </c>
      <c r="AN83" s="121" t="n">
        <v>0</v>
      </c>
      <c r="AO83" s="144">
        <f>SUM(AC83:AH83)+SUM(AI83:AN83)</f>
        <v/>
      </c>
      <c r="AP83" s="139">
        <f>IF(AB83&lt;&gt;0,(AO83-AB83)/ABS(AB83),0)</f>
        <v/>
      </c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  <c r="AI86" s="121" t="n">
        <v>0</v>
      </c>
      <c r="AJ86" s="121" t="n">
        <v>0</v>
      </c>
      <c r="AK86" s="121" t="n">
        <v>0</v>
      </c>
      <c r="AL86" s="121" t="n">
        <v>0</v>
      </c>
      <c r="AM86" s="121" t="n">
        <v>0</v>
      </c>
      <c r="AN86" s="121" t="n">
        <v>0</v>
      </c>
      <c r="AO86" s="145">
        <f>SUM(AC86:AH86)+SUM(AI86:AN86)</f>
        <v/>
      </c>
      <c r="AP86" s="139">
        <f>IF(AB86&lt;&gt;0,(AO86-AB86)/ABS(AB86),0)</f>
        <v/>
      </c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  <c r="AI87" s="121" t="n">
        <v>0</v>
      </c>
      <c r="AJ87" s="121" t="n">
        <v>0</v>
      </c>
      <c r="AK87" s="121" t="n">
        <v>0</v>
      </c>
      <c r="AL87" s="121" t="n">
        <v>0</v>
      </c>
      <c r="AM87" s="121" t="n">
        <v>0</v>
      </c>
      <c r="AN87" s="121" t="n">
        <v>0</v>
      </c>
      <c r="AO87" s="145">
        <f>SUM(AC87:AH87)+SUM(AI87:AN87)</f>
        <v/>
      </c>
      <c r="AP87" s="139">
        <f>IF(AB87&lt;&gt;0,(AO87-AB87)/ABS(AB87),0)</f>
        <v/>
      </c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I8" s="121" t="n">
        <v>49227.72</v>
      </c>
      <c r="AJ8" s="122" t="n">
        <v>49227.72</v>
      </c>
      <c r="AK8" s="122" t="n">
        <v>49227.72</v>
      </c>
      <c r="AL8" s="122" t="n">
        <v>49227.72</v>
      </c>
      <c r="AM8" s="123" t="n">
        <v>49227.72</v>
      </c>
      <c r="AN8" s="121" t="n">
        <v>49227.72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I16" s="121" t="n">
        <v>23226.6</v>
      </c>
      <c r="AJ16" s="122" t="n">
        <v>23226.6</v>
      </c>
      <c r="AK16" s="122" t="n">
        <v>23226.6</v>
      </c>
      <c r="AL16" s="122" t="n">
        <v>23226.6</v>
      </c>
      <c r="AM16" s="123" t="n">
        <v>23226.6</v>
      </c>
      <c r="AN16" s="121" t="n">
        <v>23226.6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I17" s="121" t="n">
        <v>2177.1</v>
      </c>
      <c r="AJ17" s="122" t="n">
        <v>2177.1</v>
      </c>
      <c r="AK17" s="122" t="n">
        <v>2177.1</v>
      </c>
      <c r="AL17" s="122" t="n">
        <v>2177.1</v>
      </c>
      <c r="AM17" s="123" t="n">
        <v>2177.1</v>
      </c>
      <c r="AN17" s="121" t="n">
        <v>2177.1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I18" s="121" t="n">
        <v>413.76</v>
      </c>
      <c r="AJ18" s="122" t="n">
        <v>413.76</v>
      </c>
      <c r="AK18" s="122" t="n">
        <v>413.76</v>
      </c>
      <c r="AL18" s="122" t="n">
        <v>413.76</v>
      </c>
      <c r="AM18" s="123" t="n">
        <v>413.76</v>
      </c>
      <c r="AN18" s="121" t="n">
        <v>413.76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I37" s="121" t="n">
        <v>1178.666666666667</v>
      </c>
      <c r="AJ37" s="122" t="n">
        <v>1178.666666666667</v>
      </c>
      <c r="AK37" s="122" t="n">
        <v>1178.666666666667</v>
      </c>
      <c r="AL37" s="122" t="n">
        <v>1178.666666666667</v>
      </c>
      <c r="AM37" s="123" t="n">
        <v>1178.666666666667</v>
      </c>
      <c r="AN37" s="121" t="n">
        <v>1178.666666666667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699.2399999999997</v>
      </c>
      <c r="R38" s="36" t="n">
        <v>870</v>
      </c>
      <c r="S38" s="36" t="n">
        <v>652.4200000000001</v>
      </c>
      <c r="T38" s="36" t="n">
        <v>416.51</v>
      </c>
      <c r="U38" s="36" t="n">
        <v>537.13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I38" s="121" t="n">
        <v>808</v>
      </c>
      <c r="AJ38" s="122" t="n">
        <v>808</v>
      </c>
      <c r="AK38" s="122" t="n">
        <v>808</v>
      </c>
      <c r="AL38" s="122" t="n">
        <v>808</v>
      </c>
      <c r="AM38" s="123" t="n">
        <v>808</v>
      </c>
      <c r="AN38" s="121" t="n">
        <v>808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I40" s="121" t="n">
        <v>310</v>
      </c>
      <c r="AJ40" s="122" t="n">
        <v>310</v>
      </c>
      <c r="AK40" s="122" t="n">
        <v>310</v>
      </c>
      <c r="AL40" s="122" t="n">
        <v>310</v>
      </c>
      <c r="AM40" s="123" t="n">
        <v>310</v>
      </c>
      <c r="AN40" s="121" t="n">
        <v>310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I41" s="121" t="n">
        <v>385</v>
      </c>
      <c r="AJ41" s="122" t="n">
        <v>385</v>
      </c>
      <c r="AK41" s="122" t="n">
        <v>385</v>
      </c>
      <c r="AL41" s="122" t="n">
        <v>385</v>
      </c>
      <c r="AM41" s="123" t="n">
        <v>385</v>
      </c>
      <c r="AN41" s="121" t="n">
        <v>385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200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200</v>
      </c>
      <c r="AB57" s="35" t="n">
        <v>200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>
        <v>2.4</v>
      </c>
      <c r="P60" s="36" t="n">
        <v>2.4</v>
      </c>
      <c r="Q60" s="36" t="n">
        <v>2.4</v>
      </c>
      <c r="R60" s="36" t="n">
        <v>2.4</v>
      </c>
      <c r="S60" s="36" t="n">
        <v>1.8</v>
      </c>
      <c r="T60" s="36" t="n">
        <v>2.4</v>
      </c>
      <c r="U60" s="36" t="n">
        <v>2.4</v>
      </c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16.2</v>
      </c>
      <c r="AB60" s="35" t="n">
        <v>16.2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65.73999999999999</v>
      </c>
      <c r="U62" s="36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65.73999999999999</v>
      </c>
      <c r="AB62" s="35" t="n">
        <v>65.73999999999999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217.2</v>
      </c>
      <c r="P69" s="43" t="n">
        <v>417.2</v>
      </c>
      <c r="Q69" s="43" t="n">
        <v>217.2</v>
      </c>
      <c r="R69" s="43" t="n">
        <v>217.2</v>
      </c>
      <c r="S69" s="43" t="n">
        <v>216.6</v>
      </c>
      <c r="T69" s="43" t="n">
        <v>282.94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1785.54</v>
      </c>
      <c r="AB69" s="42" t="n">
        <v>2860.54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12625.51999999999</v>
      </c>
      <c r="P70" s="54" t="n">
        <v>11940.43</v>
      </c>
      <c r="Q70" s="54" t="n">
        <v>14731.66999999999</v>
      </c>
      <c r="R70" s="54" t="n">
        <v>8877.470000000012</v>
      </c>
      <c r="S70" s="54" t="n">
        <v>8301.929999999998</v>
      </c>
      <c r="T70" s="54" t="n">
        <v>10160.52</v>
      </c>
      <c r="U70" s="54" t="n">
        <v>14546.11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81183.64999999999</v>
      </c>
      <c r="AB70" s="54" t="n">
        <v>81099.03666666665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  <c r="AI82" s="121" t="n">
        <v>0</v>
      </c>
      <c r="AJ82" s="121" t="n">
        <v>0</v>
      </c>
      <c r="AK82" s="121" t="n">
        <v>0</v>
      </c>
      <c r="AL82" s="121" t="n">
        <v>0</v>
      </c>
      <c r="AM82" s="121" t="n">
        <v>0</v>
      </c>
      <c r="AN82" s="121" t="n">
        <v>0</v>
      </c>
      <c r="AO82" s="145">
        <f>SUM(AC82:AH82)+SUM(AI82:AN82)</f>
        <v/>
      </c>
      <c r="AP82" s="139">
        <f>IF(AB82&lt;&gt;0,(AO82-AB82)/ABS(AB82),0)</f>
        <v/>
      </c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  <c r="AI83" s="121" t="n">
        <v>0</v>
      </c>
      <c r="AJ83" s="121" t="n">
        <v>0</v>
      </c>
      <c r="AK83" s="121" t="n">
        <v>0</v>
      </c>
      <c r="AL83" s="121" t="n">
        <v>0</v>
      </c>
      <c r="AM83" s="121" t="n">
        <v>0</v>
      </c>
      <c r="AN83" s="121" t="n">
        <v>0</v>
      </c>
      <c r="AO83" s="145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I8" s="121" t="n">
        <v>153396.96</v>
      </c>
      <c r="AJ8" s="122" t="n">
        <v>153396.96</v>
      </c>
      <c r="AK8" s="122" t="n">
        <v>153396.96</v>
      </c>
      <c r="AL8" s="122" t="n">
        <v>153396.96</v>
      </c>
      <c r="AM8" s="123" t="n">
        <v>153396.96</v>
      </c>
      <c r="AN8" s="121" t="n">
        <v>153396.96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I16" s="121" t="n">
        <v>67043.3</v>
      </c>
      <c r="AJ16" s="122" t="n">
        <v>67043.3</v>
      </c>
      <c r="AK16" s="122" t="n">
        <v>67043.3</v>
      </c>
      <c r="AL16" s="122" t="n">
        <v>67043.3</v>
      </c>
      <c r="AM16" s="123" t="n">
        <v>67043.3</v>
      </c>
      <c r="AN16" s="121" t="n">
        <v>67043.3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I17" s="121" t="n">
        <v>6517.08</v>
      </c>
      <c r="AJ17" s="122" t="n">
        <v>6517.08</v>
      </c>
      <c r="AK17" s="122" t="n">
        <v>6517.08</v>
      </c>
      <c r="AL17" s="122" t="n">
        <v>6517.08</v>
      </c>
      <c r="AM17" s="123" t="n">
        <v>6517.08</v>
      </c>
      <c r="AN17" s="121" t="n">
        <v>6517.08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I18" s="121" t="n">
        <v>1087.65</v>
      </c>
      <c r="AJ18" s="122" t="n">
        <v>1087.65</v>
      </c>
      <c r="AK18" s="122" t="n">
        <v>1087.65</v>
      </c>
      <c r="AL18" s="122" t="n">
        <v>1087.65</v>
      </c>
      <c r="AM18" s="123" t="n">
        <v>1087.65</v>
      </c>
      <c r="AN18" s="121" t="n">
        <v>1087.65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I19" s="121" t="n">
        <v>176</v>
      </c>
      <c r="AJ19" s="122" t="n">
        <v>176</v>
      </c>
      <c r="AK19" s="122" t="n">
        <v>176</v>
      </c>
      <c r="AL19" s="122" t="n">
        <v>176</v>
      </c>
      <c r="AM19" s="123" t="n">
        <v>176</v>
      </c>
      <c r="AN19" s="121" t="n">
        <v>176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I20" s="121" t="n">
        <v>500</v>
      </c>
      <c r="AJ20" s="122" t="n">
        <v>500</v>
      </c>
      <c r="AK20" s="122" t="n">
        <v>500</v>
      </c>
      <c r="AL20" s="122" t="n">
        <v>500</v>
      </c>
      <c r="AM20" s="123" t="n">
        <v>500</v>
      </c>
      <c r="AN20" s="121" t="n">
        <v>500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I21" s="121" t="n">
        <v>360</v>
      </c>
      <c r="AJ21" s="122" t="n">
        <v>360</v>
      </c>
      <c r="AK21" s="122" t="n">
        <v>360</v>
      </c>
      <c r="AL21" s="122" t="n">
        <v>360</v>
      </c>
      <c r="AM21" s="123" t="n">
        <v>360</v>
      </c>
      <c r="AN21" s="121" t="n">
        <v>360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I23" s="121" t="n">
        <v>150</v>
      </c>
      <c r="AJ23" s="122" t="n">
        <v>150</v>
      </c>
      <c r="AK23" s="122" t="n">
        <v>150</v>
      </c>
      <c r="AL23" s="122" t="n">
        <v>150</v>
      </c>
      <c r="AM23" s="123" t="n">
        <v>150</v>
      </c>
      <c r="AN23" s="121" t="n">
        <v>150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I30" s="121" t="n">
        <v>278</v>
      </c>
      <c r="AJ30" s="122" t="n">
        <v>278</v>
      </c>
      <c r="AK30" s="122" t="n">
        <v>278</v>
      </c>
      <c r="AL30" s="122" t="n">
        <v>278</v>
      </c>
      <c r="AM30" s="123" t="n">
        <v>278</v>
      </c>
      <c r="AN30" s="121" t="n">
        <v>278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I37" s="121" t="n">
        <v>3123.75</v>
      </c>
      <c r="AJ37" s="122" t="n">
        <v>3123.75</v>
      </c>
      <c r="AK37" s="122" t="n">
        <v>3123.75</v>
      </c>
      <c r="AL37" s="122" t="n">
        <v>3123.75</v>
      </c>
      <c r="AM37" s="123" t="n">
        <v>3123.75</v>
      </c>
      <c r="AN37" s="121" t="n">
        <v>3123.75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I38" s="121" t="n">
        <v>3138</v>
      </c>
      <c r="AJ38" s="122" t="n">
        <v>3138</v>
      </c>
      <c r="AK38" s="122" t="n">
        <v>3138</v>
      </c>
      <c r="AL38" s="122" t="n">
        <v>3138</v>
      </c>
      <c r="AM38" s="123" t="n">
        <v>3138</v>
      </c>
      <c r="AN38" s="121" t="n">
        <v>3138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I40" s="121" t="n">
        <v>4300</v>
      </c>
      <c r="AJ40" s="122" t="n">
        <v>4300</v>
      </c>
      <c r="AK40" s="122" t="n">
        <v>4300</v>
      </c>
      <c r="AL40" s="122" t="n">
        <v>4300</v>
      </c>
      <c r="AM40" s="123" t="n">
        <v>4300</v>
      </c>
      <c r="AN40" s="121" t="n">
        <v>4300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I41" s="121" t="n">
        <v>746</v>
      </c>
      <c r="AJ41" s="122" t="n">
        <v>746</v>
      </c>
      <c r="AK41" s="122" t="n">
        <v>746</v>
      </c>
      <c r="AL41" s="122" t="n">
        <v>746</v>
      </c>
      <c r="AM41" s="123" t="n">
        <v>746</v>
      </c>
      <c r="AN41" s="121" t="n">
        <v>746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I42" s="121" t="n">
        <v>150</v>
      </c>
      <c r="AJ42" s="122" t="n">
        <v>150</v>
      </c>
      <c r="AK42" s="122" t="n">
        <v>150</v>
      </c>
      <c r="AL42" s="122" t="n">
        <v>150</v>
      </c>
      <c r="AM42" s="123" t="n">
        <v>150</v>
      </c>
      <c r="AN42" s="121" t="n">
        <v>150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>
        <v>290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290</v>
      </c>
      <c r="AB57" s="35" t="n">
        <v>290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1503.6</v>
      </c>
      <c r="AB59" s="35" t="n">
        <v>2577.6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>
        <v>34.15</v>
      </c>
      <c r="P60" s="36" t="n">
        <v>3.6</v>
      </c>
      <c r="Q60" s="36" t="n">
        <v>4.2</v>
      </c>
      <c r="R60" s="36" t="n">
        <v>4.8</v>
      </c>
      <c r="S60" s="36" t="n">
        <v>3.6</v>
      </c>
      <c r="T60" s="36" t="n">
        <v>3</v>
      </c>
      <c r="U60" s="36" t="n">
        <v>5.4</v>
      </c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58.75</v>
      </c>
      <c r="AB60" s="35" t="n">
        <v>76.75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I60" s="121" t="n">
        <v>3.6</v>
      </c>
      <c r="AJ60" s="122" t="n">
        <v>3.6</v>
      </c>
      <c r="AK60" s="122" t="n">
        <v>3.6</v>
      </c>
      <c r="AL60" s="122" t="n">
        <v>3.6</v>
      </c>
      <c r="AM60" s="123" t="n">
        <v>3.6</v>
      </c>
      <c r="AN60" s="121" t="n">
        <v>3.6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>
        <v>0</v>
      </c>
      <c r="P62" s="36" t="n">
        <v>0</v>
      </c>
      <c r="Q62" s="36" t="n">
        <v>120</v>
      </c>
      <c r="R62" s="36" t="n">
        <v>266</v>
      </c>
      <c r="S62" s="36" t="n">
        <v>310</v>
      </c>
      <c r="T62" s="36" t="n">
        <v>0</v>
      </c>
      <c r="U62" s="36" t="n">
        <v>90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786</v>
      </c>
      <c r="AB62" s="35" t="n">
        <v>786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538.95</v>
      </c>
      <c r="P69" s="43" t="n">
        <v>218.4</v>
      </c>
      <c r="Q69" s="43" t="n">
        <v>339</v>
      </c>
      <c r="R69" s="43" t="n">
        <v>485.6</v>
      </c>
      <c r="S69" s="43" t="n">
        <v>528.4</v>
      </c>
      <c r="T69" s="43" t="n">
        <v>217.8</v>
      </c>
      <c r="U69" s="43" t="n">
        <v>310.2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2638.35</v>
      </c>
      <c r="AB69" s="42" t="n">
        <v>3730.35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43788.94000000002</v>
      </c>
      <c r="P70" s="54" t="n">
        <v>82097.59000000003</v>
      </c>
      <c r="Q70" s="54" t="n">
        <v>123942.68</v>
      </c>
      <c r="R70" s="54" t="n">
        <v>73899.93999999999</v>
      </c>
      <c r="S70" s="54" t="n">
        <v>48896.71000000001</v>
      </c>
      <c r="T70" s="54" t="n">
        <v>123692.38</v>
      </c>
      <c r="U70" s="54" t="n">
        <v>104219.21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600537.4500000001</v>
      </c>
      <c r="AB70" s="54" t="n">
        <v>840681.23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  <c r="AI84" s="121" t="n">
        <v>0</v>
      </c>
      <c r="AJ84" s="121" t="n">
        <v>0</v>
      </c>
      <c r="AK84" s="121" t="n">
        <v>0</v>
      </c>
      <c r="AL84" s="121" t="n">
        <v>0</v>
      </c>
      <c r="AM84" s="121" t="n">
        <v>0</v>
      </c>
      <c r="AN84" s="121" t="n">
        <v>0</v>
      </c>
      <c r="AO84" s="144">
        <f>SUM(AC84:AH84)+SUM(AI84:AN84)</f>
        <v/>
      </c>
      <c r="AP84" s="139">
        <f>IF(AB84&lt;&gt;0,(AO84-AB84)/ABS(AB84),0)</f>
        <v/>
      </c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I8" s="121" t="n">
        <v>33002.04</v>
      </c>
      <c r="AJ8" s="122" t="n">
        <v>33002.04</v>
      </c>
      <c r="AK8" s="122" t="n">
        <v>33002.04</v>
      </c>
      <c r="AL8" s="122" t="n">
        <v>33002.04</v>
      </c>
      <c r="AM8" s="123" t="n">
        <v>33002.04</v>
      </c>
      <c r="AN8" s="121" t="n">
        <v>33002.04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I16" s="121" t="n">
        <v>22510.48</v>
      </c>
      <c r="AJ16" s="122" t="n">
        <v>22510.48</v>
      </c>
      <c r="AK16" s="122" t="n">
        <v>22510.48</v>
      </c>
      <c r="AL16" s="122" t="n">
        <v>22510.48</v>
      </c>
      <c r="AM16" s="123" t="n">
        <v>22510.48</v>
      </c>
      <c r="AN16" s="121" t="n">
        <v>22510.48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I17" s="121" t="n">
        <v>2763.77</v>
      </c>
      <c r="AJ17" s="122" t="n">
        <v>2763.77</v>
      </c>
      <c r="AK17" s="122" t="n">
        <v>2763.77</v>
      </c>
      <c r="AL17" s="122" t="n">
        <v>2763.77</v>
      </c>
      <c r="AM17" s="123" t="n">
        <v>2763.77</v>
      </c>
      <c r="AN17" s="121" t="n">
        <v>2763.77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I18" s="121" t="n">
        <v>478.22</v>
      </c>
      <c r="AJ18" s="122" t="n">
        <v>478.22</v>
      </c>
      <c r="AK18" s="122" t="n">
        <v>478.22</v>
      </c>
      <c r="AL18" s="122" t="n">
        <v>478.22</v>
      </c>
      <c r="AM18" s="123" t="n">
        <v>478.22</v>
      </c>
      <c r="AN18" s="121" t="n">
        <v>478.22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I19" s="121" t="n">
        <v>6.99</v>
      </c>
      <c r="AJ19" s="122" t="n">
        <v>6.99</v>
      </c>
      <c r="AK19" s="122" t="n">
        <v>6.99</v>
      </c>
      <c r="AL19" s="122" t="n">
        <v>6.99</v>
      </c>
      <c r="AM19" s="123" t="n">
        <v>6.99</v>
      </c>
      <c r="AN19" s="121" t="n">
        <v>6.99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21" t="n">
        <v>150</v>
      </c>
      <c r="AJ21" s="122" t="n">
        <v>150</v>
      </c>
      <c r="AK21" s="122" t="n">
        <v>150</v>
      </c>
      <c r="AL21" s="122" t="n">
        <v>150</v>
      </c>
      <c r="AM21" s="123" t="n">
        <v>150</v>
      </c>
      <c r="AN21" s="121" t="n">
        <v>150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I37" s="121" t="n">
        <v>736.67</v>
      </c>
      <c r="AJ37" s="122" t="n">
        <v>736.67</v>
      </c>
      <c r="AK37" s="122" t="n">
        <v>736.67</v>
      </c>
      <c r="AL37" s="122" t="n">
        <v>736.67</v>
      </c>
      <c r="AM37" s="123" t="n">
        <v>736.67</v>
      </c>
      <c r="AN37" s="121" t="n">
        <v>736.67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I38" s="121" t="n">
        <v>448</v>
      </c>
      <c r="AJ38" s="122" t="n">
        <v>448</v>
      </c>
      <c r="AK38" s="122" t="n">
        <v>448</v>
      </c>
      <c r="AL38" s="122" t="n">
        <v>448</v>
      </c>
      <c r="AM38" s="123" t="n">
        <v>448</v>
      </c>
      <c r="AN38" s="121" t="n">
        <v>448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I40" s="121" t="n">
        <v>210</v>
      </c>
      <c r="AJ40" s="122" t="n">
        <v>210</v>
      </c>
      <c r="AK40" s="122" t="n">
        <v>210</v>
      </c>
      <c r="AL40" s="122" t="n">
        <v>210</v>
      </c>
      <c r="AM40" s="123" t="n">
        <v>210</v>
      </c>
      <c r="AN40" s="121" t="n">
        <v>210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I41" s="121" t="n">
        <v>300</v>
      </c>
      <c r="AJ41" s="122" t="n">
        <v>300</v>
      </c>
      <c r="AK41" s="122" t="n">
        <v>300</v>
      </c>
      <c r="AL41" s="122" t="n">
        <v>300</v>
      </c>
      <c r="AM41" s="123" t="n">
        <v>300</v>
      </c>
      <c r="AN41" s="121" t="n">
        <v>300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100955.81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158.94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158.94</v>
      </c>
      <c r="AB57" s="35" t="n">
        <v>158.94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>
        <v>0.6</v>
      </c>
      <c r="P60" s="36" t="n">
        <v>0.6</v>
      </c>
      <c r="Q60" s="36" t="n">
        <v>0</v>
      </c>
      <c r="R60" s="36" t="n">
        <v>0</v>
      </c>
      <c r="S60" s="36" t="n">
        <v>0.6</v>
      </c>
      <c r="T60" s="36" t="n">
        <v>0.6</v>
      </c>
      <c r="U60" s="36" t="n">
        <v>0.6</v>
      </c>
      <c r="V60" s="37" t="n"/>
      <c r="W60" s="37" t="n"/>
      <c r="X60" s="37" t="n"/>
      <c r="Y60" s="37" t="n"/>
      <c r="Z60" s="37" t="n"/>
      <c r="AA60" s="35" t="n">
        <v>3</v>
      </c>
      <c r="AB60" s="35" t="n">
        <v>3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>
        <v>0</v>
      </c>
      <c r="P62" s="36" t="n">
        <v>20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31.8</v>
      </c>
      <c r="V62" s="37" t="n"/>
      <c r="W62" s="37" t="n"/>
      <c r="X62" s="37" t="n"/>
      <c r="Y62" s="37" t="n"/>
      <c r="Z62" s="37" t="n"/>
      <c r="AA62" s="35" t="n">
        <v>51.8</v>
      </c>
      <c r="AB62" s="35" t="n">
        <v>51.8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215.4</v>
      </c>
      <c r="P69" s="43" t="n">
        <v>235.4</v>
      </c>
      <c r="Q69" s="43" t="n">
        <v>214.8</v>
      </c>
      <c r="R69" s="43" t="n">
        <v>373.74</v>
      </c>
      <c r="S69" s="43" t="n">
        <v>215.4</v>
      </c>
      <c r="T69" s="43" t="n">
        <v>215.4</v>
      </c>
      <c r="U69" s="43" t="n">
        <v>247.2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1717.34</v>
      </c>
      <c r="AB69" s="42" t="n">
        <v>2792.34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92551.67</v>
      </c>
      <c r="O70" s="54" t="n">
        <v>2398.01</v>
      </c>
      <c r="P70" s="54" t="n">
        <v>10980.4</v>
      </c>
      <c r="Q70" s="54" t="n">
        <v>16912.23999999999</v>
      </c>
      <c r="R70" s="54" t="n">
        <v>5431.559999999999</v>
      </c>
      <c r="S70" s="54" t="n">
        <v>2386.559999999999</v>
      </c>
      <c r="T70" s="54" t="n">
        <v>5831.900000000007</v>
      </c>
      <c r="U70" s="54" t="n">
        <v>7368.829999999999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51309.5</v>
      </c>
      <c r="AB70" s="54" t="n">
        <v>22287.85000000001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I8" s="121" t="n">
        <v>34163.18</v>
      </c>
      <c r="AJ8" s="122" t="n">
        <v>34163.18</v>
      </c>
      <c r="AK8" s="122" t="n">
        <v>34163.18</v>
      </c>
      <c r="AL8" s="122" t="n">
        <v>34163.18</v>
      </c>
      <c r="AM8" s="123" t="n">
        <v>34163.18</v>
      </c>
      <c r="AN8" s="121" t="n">
        <v>34163.18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I16" s="121" t="n">
        <v>24045</v>
      </c>
      <c r="AJ16" s="122" t="n">
        <v>24045</v>
      </c>
      <c r="AK16" s="122" t="n">
        <v>24045</v>
      </c>
      <c r="AL16" s="122" t="n">
        <v>24045</v>
      </c>
      <c r="AM16" s="123" t="n">
        <v>24045</v>
      </c>
      <c r="AN16" s="121" t="n">
        <v>24045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I17" s="121" t="n">
        <v>2713</v>
      </c>
      <c r="AJ17" s="122" t="n">
        <v>2713</v>
      </c>
      <c r="AK17" s="122" t="n">
        <v>2713</v>
      </c>
      <c r="AL17" s="122" t="n">
        <v>2713</v>
      </c>
      <c r="AM17" s="123" t="n">
        <v>2713</v>
      </c>
      <c r="AN17" s="121" t="n">
        <v>2713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I18" s="121" t="n">
        <v>453</v>
      </c>
      <c r="AJ18" s="122" t="n">
        <v>453</v>
      </c>
      <c r="AK18" s="122" t="n">
        <v>453</v>
      </c>
      <c r="AL18" s="122" t="n">
        <v>453</v>
      </c>
      <c r="AM18" s="123" t="n">
        <v>453</v>
      </c>
      <c r="AN18" s="121" t="n">
        <v>453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21" t="n">
        <v>49</v>
      </c>
      <c r="AJ19" s="122" t="n">
        <v>49</v>
      </c>
      <c r="AK19" s="122" t="n">
        <v>49</v>
      </c>
      <c r="AL19" s="122" t="n">
        <v>49</v>
      </c>
      <c r="AM19" s="123" t="n">
        <v>49</v>
      </c>
      <c r="AN19" s="121" t="n">
        <v>49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21" t="n">
        <v>100</v>
      </c>
      <c r="AJ21" s="122" t="n">
        <v>100</v>
      </c>
      <c r="AK21" s="122" t="n">
        <v>100</v>
      </c>
      <c r="AL21" s="122" t="n">
        <v>100</v>
      </c>
      <c r="AM21" s="123" t="n">
        <v>100</v>
      </c>
      <c r="AN21" s="121" t="n">
        <v>100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I37" s="121" t="n">
        <v>567</v>
      </c>
      <c r="AJ37" s="122" t="n">
        <v>567</v>
      </c>
      <c r="AK37" s="122" t="n">
        <v>567</v>
      </c>
      <c r="AL37" s="122" t="n">
        <v>567</v>
      </c>
      <c r="AM37" s="123" t="n">
        <v>567</v>
      </c>
      <c r="AN37" s="121" t="n">
        <v>567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I38" s="121" t="n">
        <v>370</v>
      </c>
      <c r="AJ38" s="122" t="n">
        <v>370</v>
      </c>
      <c r="AK38" s="122" t="n">
        <v>370</v>
      </c>
      <c r="AL38" s="122" t="n">
        <v>370</v>
      </c>
      <c r="AM38" s="123" t="n">
        <v>370</v>
      </c>
      <c r="AN38" s="121" t="n">
        <v>370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I40" s="121" t="n">
        <v>240</v>
      </c>
      <c r="AJ40" s="122" t="n">
        <v>240</v>
      </c>
      <c r="AK40" s="122" t="n">
        <v>240</v>
      </c>
      <c r="AL40" s="122" t="n">
        <v>240</v>
      </c>
      <c r="AM40" s="123" t="n">
        <v>240</v>
      </c>
      <c r="AN40" s="121" t="n">
        <v>240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I41" s="121" t="n">
        <v>395</v>
      </c>
      <c r="AJ41" s="122" t="n">
        <v>395</v>
      </c>
      <c r="AK41" s="122" t="n">
        <v>395</v>
      </c>
      <c r="AL41" s="122" t="n">
        <v>395</v>
      </c>
      <c r="AM41" s="123" t="n">
        <v>395</v>
      </c>
      <c r="AN41" s="121" t="n">
        <v>395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45</v>
      </c>
      <c r="V58" s="37" t="n"/>
      <c r="W58" s="37" t="n"/>
      <c r="X58" s="37" t="n"/>
      <c r="Y58" s="37" t="n"/>
      <c r="Z58" s="37" t="n"/>
      <c r="AA58" s="35" t="n">
        <v>45</v>
      </c>
      <c r="AB58" s="35" t="n">
        <v>45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>
        <v>83.40000000000001</v>
      </c>
      <c r="P60" s="36" t="n">
        <v>2.4</v>
      </c>
      <c r="Q60" s="36" t="n">
        <v>222.4</v>
      </c>
      <c r="R60" s="36" t="n">
        <v>91.8</v>
      </c>
      <c r="S60" s="36" t="n">
        <v>1.799999999999997</v>
      </c>
      <c r="T60" s="36" t="n">
        <v>107.39</v>
      </c>
      <c r="U60" s="36" t="n">
        <v>1.2</v>
      </c>
      <c r="V60" s="37" t="n"/>
      <c r="W60" s="37" t="n"/>
      <c r="X60" s="37" t="n"/>
      <c r="Y60" s="37" t="n"/>
      <c r="Z60" s="37" t="n"/>
      <c r="AA60" s="35" t="n">
        <v>510.39</v>
      </c>
      <c r="AB60" s="35" t="n">
        <v>510.39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42.75</v>
      </c>
      <c r="P65" s="36" t="n">
        <v>42.75</v>
      </c>
      <c r="Q65" s="36" t="n">
        <v>1582.75</v>
      </c>
      <c r="R65" s="36" t="n">
        <v>42.75</v>
      </c>
      <c r="S65" s="36" t="n">
        <v>42.75</v>
      </c>
      <c r="T65" s="36" t="n">
        <v>42.75</v>
      </c>
      <c r="U65" s="36" t="n">
        <v>510</v>
      </c>
      <c r="V65" s="37" t="n"/>
      <c r="W65" s="37" t="n"/>
      <c r="X65" s="37" t="n"/>
      <c r="Y65" s="37" t="n"/>
      <c r="Z65" s="37" t="n"/>
      <c r="AA65" s="35" t="n">
        <v>2306.5</v>
      </c>
      <c r="AB65" s="35" t="n">
        <v>2306.5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1695</v>
      </c>
      <c r="P66" s="36" t="n">
        <v>1682</v>
      </c>
      <c r="Q66" s="36" t="n">
        <v>1669</v>
      </c>
      <c r="R66" s="36" t="n">
        <v>1657</v>
      </c>
      <c r="S66" s="36" t="n">
        <v>1644</v>
      </c>
      <c r="T66" s="36" t="n">
        <v>1631</v>
      </c>
      <c r="U66" s="36" t="n">
        <v>1619</v>
      </c>
      <c r="V66" s="37" t="n"/>
      <c r="W66" s="37" t="n"/>
      <c r="X66" s="37" t="n"/>
      <c r="Y66" s="37" t="n"/>
      <c r="Z66" s="37" t="n"/>
      <c r="AA66" s="35" t="n">
        <v>11597</v>
      </c>
      <c r="AB66" s="35" t="n">
        <v>11597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>
        <v>8.5</v>
      </c>
      <c r="P67" s="36" t="n">
        <v>68.5</v>
      </c>
      <c r="Q67" s="36" t="n">
        <v>8.5</v>
      </c>
      <c r="R67" s="36" t="n">
        <v>8.5</v>
      </c>
      <c r="S67" s="36" t="n">
        <v>16</v>
      </c>
      <c r="T67" s="36" t="n">
        <v>8.5</v>
      </c>
      <c r="U67" s="36" t="n">
        <v>8.5</v>
      </c>
      <c r="V67" s="37" t="n"/>
      <c r="W67" s="37" t="n"/>
      <c r="X67" s="37" t="n"/>
      <c r="Y67" s="37" t="n"/>
      <c r="Z67" s="37" t="n"/>
      <c r="AA67" s="35" t="n">
        <v>127</v>
      </c>
      <c r="AB67" s="35" t="n">
        <v>127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>
        <v>-11.07</v>
      </c>
      <c r="P68" s="36" t="n">
        <v>-9.82</v>
      </c>
      <c r="Q68" s="36" t="n">
        <v>-8.34</v>
      </c>
      <c r="R68" s="36" t="n">
        <v>0</v>
      </c>
      <c r="S68" s="36" t="n">
        <v>-9.539999999999999</v>
      </c>
      <c r="T68" s="36" t="n">
        <v>-8.65</v>
      </c>
      <c r="U68" s="36" t="n">
        <v>0</v>
      </c>
      <c r="V68" s="37" t="n"/>
      <c r="W68" s="37" t="n"/>
      <c r="X68" s="37" t="n"/>
      <c r="Y68" s="37" t="n"/>
      <c r="Z68" s="37" t="n"/>
      <c r="AA68" s="35" t="n">
        <v>-47.42</v>
      </c>
      <c r="AB68" s="35" t="n">
        <v>-47.42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2033.38</v>
      </c>
      <c r="P69" s="43" t="n">
        <v>2000.63</v>
      </c>
      <c r="Q69" s="43" t="n">
        <v>3689.11</v>
      </c>
      <c r="R69" s="43" t="n">
        <v>2014.85</v>
      </c>
      <c r="S69" s="43" t="n">
        <v>1909.81</v>
      </c>
      <c r="T69" s="43" t="n">
        <v>1995.79</v>
      </c>
      <c r="U69" s="43" t="n">
        <v>2398.5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16042.07</v>
      </c>
      <c r="AB69" s="42" t="n">
        <v>17117.07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169041.1</v>
      </c>
      <c r="O70" s="54" t="n">
        <v>10699.80000000001</v>
      </c>
      <c r="P70" s="54" t="n">
        <v>22545.13</v>
      </c>
      <c r="Q70" s="54" t="n">
        <v>28850.7</v>
      </c>
      <c r="R70" s="54" t="n">
        <v>28283.66</v>
      </c>
      <c r="S70" s="54" t="n">
        <v>19782.69000000001</v>
      </c>
      <c r="T70" s="54" t="n">
        <v>19100.75</v>
      </c>
      <c r="U70" s="54" t="n">
        <v>27738.04000000001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157000.77</v>
      </c>
      <c r="AB70" s="54" t="n">
        <v>190595.06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I80" s="126" t="n">
        <v>0</v>
      </c>
      <c r="AJ80" s="126" t="n">
        <v>0</v>
      </c>
      <c r="AK80" s="126" t="n">
        <v>0</v>
      </c>
      <c r="AL80" s="126" t="n">
        <v>0</v>
      </c>
      <c r="AM80" s="126" t="n">
        <v>0</v>
      </c>
      <c r="AN80" s="126" t="n">
        <v>0</v>
      </c>
      <c r="AO80" s="144">
        <f>SUM(AC80:AH80)+SUM(AI80:AN80)</f>
        <v/>
      </c>
      <c r="AP80" s="139">
        <f>IF(AB80&lt;&gt;0,(AO80-AB80)/ABS(AB80),0)</f>
        <v/>
      </c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44">
        <f>SUM(AC81:AH81)+SUM(AI81:AN81)</f>
        <v/>
      </c>
      <c r="AP81" s="139">
        <f>IF(AB81&lt;&gt;0,(AO81-AB81)/ABS(AB81),0)</f>
        <v/>
      </c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  <c r="AI82" s="126" t="n">
        <v>0</v>
      </c>
      <c r="AJ82" s="126" t="n">
        <v>0</v>
      </c>
      <c r="AK82" s="126" t="n">
        <v>0</v>
      </c>
      <c r="AL82" s="126" t="n">
        <v>0</v>
      </c>
      <c r="AM82" s="126" t="n">
        <v>0</v>
      </c>
      <c r="AN82" s="126" t="n">
        <v>0</v>
      </c>
      <c r="AO82" s="144">
        <f>SUM(AC82:AH82)+SUM(AI82:AN82)</f>
        <v/>
      </c>
      <c r="AP82" s="139">
        <f>IF(AB82&lt;&gt;0,(AO82-AB82)/ABS(AB82),0)</f>
        <v/>
      </c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  <c r="AI83" s="126" t="n">
        <v>0</v>
      </c>
      <c r="AJ83" s="126" t="n">
        <v>0</v>
      </c>
      <c r="AK83" s="126" t="n">
        <v>0</v>
      </c>
      <c r="AL83" s="126" t="n">
        <v>0</v>
      </c>
      <c r="AM83" s="126" t="n">
        <v>0</v>
      </c>
      <c r="AN83" s="126" t="n">
        <v>0</v>
      </c>
      <c r="AO83" s="144">
        <f>SUM(AC83:AH83)+SUM(AI83:AN83)</f>
        <v/>
      </c>
      <c r="AP83" s="139">
        <f>IF(AB83&lt;&gt;0,(AO83-AB83)/ABS(AB83),0)</f>
        <v/>
      </c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  <c r="AI84" s="126" t="n">
        <v>0</v>
      </c>
      <c r="AJ84" s="126" t="n">
        <v>0</v>
      </c>
      <c r="AK84" s="126" t="n">
        <v>0</v>
      </c>
      <c r="AL84" s="126" t="n">
        <v>0</v>
      </c>
      <c r="AM84" s="126" t="n">
        <v>0</v>
      </c>
      <c r="AN84" s="126" t="n">
        <v>0</v>
      </c>
      <c r="AO84" s="144">
        <f>SUM(AC84:AH84)+SUM(AI84:AN84)</f>
        <v/>
      </c>
      <c r="AP84" s="139">
        <f>IF(AB84&lt;&gt;0,(AO84-AB84)/ABS(AB84),0)</f>
        <v/>
      </c>
    </row>
    <row r="85">
      <c r="A85" s="59" t="inlineStr">
        <is>
          <t>Memo</t>
        </is>
      </c>
      <c r="AA85" s="59" t="n">
        <v>0</v>
      </c>
      <c r="AB85" s="5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  <c r="AI92" s="121" t="n">
        <v>0</v>
      </c>
      <c r="AJ92" s="121" t="n">
        <v>0</v>
      </c>
      <c r="AK92" s="121" t="n">
        <v>0</v>
      </c>
      <c r="AL92" s="121" t="n">
        <v>0</v>
      </c>
      <c r="AM92" s="121" t="n">
        <v>0</v>
      </c>
      <c r="AN92" s="121" t="n">
        <v>0</v>
      </c>
      <c r="AO92" s="144">
        <f>SUM(AC92:AH92)+SUM(AI92:AN92)</f>
        <v/>
      </c>
      <c r="AP92" s="139">
        <f>IF(AB92&lt;&gt;0,(AO92-AB92)/ABS(AB92),0)</f>
        <v/>
      </c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I8" s="121" t="n">
        <v>47158.84</v>
      </c>
      <c r="AJ8" s="122" t="n">
        <v>47158.84</v>
      </c>
      <c r="AK8" s="122" t="n">
        <v>47158.84</v>
      </c>
      <c r="AL8" s="122" t="n">
        <v>47158.84</v>
      </c>
      <c r="AM8" s="123" t="n">
        <v>47158.84</v>
      </c>
      <c r="AN8" s="121" t="n">
        <v>47158.84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I16" s="121" t="n">
        <v>25386.13</v>
      </c>
      <c r="AJ16" s="122" t="n">
        <v>25386.13</v>
      </c>
      <c r="AK16" s="122" t="n">
        <v>25386.13</v>
      </c>
      <c r="AL16" s="122" t="n">
        <v>25386.13</v>
      </c>
      <c r="AM16" s="123" t="n">
        <v>25386.13</v>
      </c>
      <c r="AN16" s="121" t="n">
        <v>25386.13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I17" s="121" t="n">
        <v>2708.66</v>
      </c>
      <c r="AJ17" s="122" t="n">
        <v>2708.66</v>
      </c>
      <c r="AK17" s="122" t="n">
        <v>2708.66</v>
      </c>
      <c r="AL17" s="122" t="n">
        <v>2708.66</v>
      </c>
      <c r="AM17" s="123" t="n">
        <v>2708.66</v>
      </c>
      <c r="AN17" s="121" t="n">
        <v>2708.66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I18" s="121" t="n">
        <v>513.88</v>
      </c>
      <c r="AJ18" s="122" t="n">
        <v>513.88</v>
      </c>
      <c r="AK18" s="122" t="n">
        <v>513.88</v>
      </c>
      <c r="AL18" s="122" t="n">
        <v>513.88</v>
      </c>
      <c r="AM18" s="123" t="n">
        <v>513.88</v>
      </c>
      <c r="AN18" s="121" t="n">
        <v>513.88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I21" s="121" t="n">
        <v>132.69</v>
      </c>
      <c r="AJ21" s="122" t="n">
        <v>132.69</v>
      </c>
      <c r="AK21" s="122" t="n">
        <v>132.69</v>
      </c>
      <c r="AL21" s="122" t="n">
        <v>132.69</v>
      </c>
      <c r="AM21" s="123" t="n">
        <v>132.69</v>
      </c>
      <c r="AN21" s="121" t="n">
        <v>132.69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I28" s="121" t="n">
        <v>53</v>
      </c>
      <c r="AJ28" s="122" t="n">
        <v>53</v>
      </c>
      <c r="AK28" s="122" t="n">
        <v>53</v>
      </c>
      <c r="AL28" s="122" t="n">
        <v>53</v>
      </c>
      <c r="AM28" s="123" t="n">
        <v>53</v>
      </c>
      <c r="AN28" s="121" t="n">
        <v>53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I30" s="121" t="n">
        <v>98</v>
      </c>
      <c r="AJ30" s="122" t="n">
        <v>98</v>
      </c>
      <c r="AK30" s="122" t="n">
        <v>98</v>
      </c>
      <c r="AL30" s="122" t="n">
        <v>98</v>
      </c>
      <c r="AM30" s="123" t="n">
        <v>98</v>
      </c>
      <c r="AN30" s="121" t="n">
        <v>98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I31" s="121" t="n">
        <v>53</v>
      </c>
      <c r="AJ31" s="122" t="n">
        <v>53</v>
      </c>
      <c r="AK31" s="122" t="n">
        <v>53</v>
      </c>
      <c r="AL31" s="122" t="n">
        <v>53</v>
      </c>
      <c r="AM31" s="123" t="n">
        <v>53</v>
      </c>
      <c r="AN31" s="121" t="n">
        <v>53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I37" s="121" t="n">
        <v>3082.92</v>
      </c>
      <c r="AJ37" s="122" t="n">
        <v>3082.92</v>
      </c>
      <c r="AK37" s="122" t="n">
        <v>3082.92</v>
      </c>
      <c r="AL37" s="122" t="n">
        <v>3082.92</v>
      </c>
      <c r="AM37" s="123" t="n">
        <v>3082.92</v>
      </c>
      <c r="AN37" s="121" t="n">
        <v>3082.92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I38" s="121" t="n">
        <v>300</v>
      </c>
      <c r="AJ38" s="122" t="n">
        <v>300</v>
      </c>
      <c r="AK38" s="122" t="n">
        <v>300</v>
      </c>
      <c r="AL38" s="122" t="n">
        <v>300</v>
      </c>
      <c r="AM38" s="123" t="n">
        <v>300</v>
      </c>
      <c r="AN38" s="121" t="n">
        <v>300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I40" s="121" t="n">
        <v>1107</v>
      </c>
      <c r="AJ40" s="122" t="n">
        <v>1107</v>
      </c>
      <c r="AK40" s="122" t="n">
        <v>1107</v>
      </c>
      <c r="AL40" s="122" t="n">
        <v>1107</v>
      </c>
      <c r="AM40" s="123" t="n">
        <v>1107</v>
      </c>
      <c r="AN40" s="121" t="n">
        <v>1107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I41" s="121" t="n">
        <v>423</v>
      </c>
      <c r="AJ41" s="122" t="n">
        <v>423</v>
      </c>
      <c r="AK41" s="122" t="n">
        <v>423</v>
      </c>
      <c r="AL41" s="122" t="n">
        <v>423</v>
      </c>
      <c r="AM41" s="123" t="n">
        <v>423</v>
      </c>
      <c r="AN41" s="121" t="n">
        <v>423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>
        <v>1.2</v>
      </c>
      <c r="P60" s="36" t="n">
        <v>2.4</v>
      </c>
      <c r="Q60" s="36" t="n">
        <v>2.4</v>
      </c>
      <c r="R60" s="36" t="n">
        <v>3</v>
      </c>
      <c r="S60" s="36" t="n">
        <v>2.4</v>
      </c>
      <c r="T60" s="36" t="n">
        <v>2.4</v>
      </c>
      <c r="U60" s="36" t="n">
        <v>2.4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16.2</v>
      </c>
      <c r="AB60" s="35" t="n">
        <v>41.2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21" t="n">
        <v>5</v>
      </c>
      <c r="AJ60" s="122" t="n">
        <v>5</v>
      </c>
      <c r="AK60" s="122" t="n">
        <v>5</v>
      </c>
      <c r="AL60" s="122" t="n">
        <v>5</v>
      </c>
      <c r="AM60" s="123" t="n">
        <v>5</v>
      </c>
      <c r="AN60" s="121" t="n">
        <v>5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>
        <v>105</v>
      </c>
      <c r="P62" s="36" t="n">
        <v>0</v>
      </c>
      <c r="Q62" s="36" t="n">
        <v>125</v>
      </c>
      <c r="R62" s="36" t="n">
        <v>60</v>
      </c>
      <c r="S62" s="36" t="n">
        <v>0</v>
      </c>
      <c r="T62" s="36" t="n">
        <v>0</v>
      </c>
      <c r="U62" s="36" t="n">
        <v>0</v>
      </c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290</v>
      </c>
      <c r="AB62" s="35" t="n">
        <v>790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I62" s="121" t="n">
        <v>100</v>
      </c>
      <c r="AJ62" s="122" t="n">
        <v>100</v>
      </c>
      <c r="AK62" s="122" t="n">
        <v>100</v>
      </c>
      <c r="AL62" s="122" t="n">
        <v>100</v>
      </c>
      <c r="AM62" s="123" t="n">
        <v>100</v>
      </c>
      <c r="AN62" s="121" t="n">
        <v>100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321</v>
      </c>
      <c r="P69" s="43" t="n">
        <v>217.2</v>
      </c>
      <c r="Q69" s="43" t="n">
        <v>342.2</v>
      </c>
      <c r="R69" s="43" t="n">
        <v>277.8</v>
      </c>
      <c r="S69" s="43" t="n">
        <v>217.2</v>
      </c>
      <c r="T69" s="43" t="n">
        <v>217.2</v>
      </c>
      <c r="U69" s="43" t="n">
        <v>217.2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1809.8</v>
      </c>
      <c r="AB69" s="42" t="n">
        <v>3409.8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19280.52</v>
      </c>
      <c r="P70" s="54" t="n">
        <v>16539.10999999999</v>
      </c>
      <c r="Q70" s="54" t="n">
        <v>28913.76999999999</v>
      </c>
      <c r="R70" s="54" t="n">
        <v>25615.40999999999</v>
      </c>
      <c r="S70" s="54" t="n">
        <v>17513.30999999999</v>
      </c>
      <c r="T70" s="54" t="n">
        <v>23250.61</v>
      </c>
      <c r="U70" s="54" t="n">
        <v>24757.42999999999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155870.1599999999</v>
      </c>
      <c r="AB70" s="54" t="n">
        <v>218476.84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2046.3</v>
      </c>
      <c r="P8" s="36" t="n">
        <v>1629.21</v>
      </c>
      <c r="Q8" s="36" t="n">
        <v>3226.52</v>
      </c>
      <c r="R8" s="36" t="n">
        <v>2461.4</v>
      </c>
      <c r="S8" s="36" t="n">
        <v>3080.89</v>
      </c>
      <c r="T8" s="36" t="n">
        <v>4473.620000000001</v>
      </c>
      <c r="U8" s="36" t="n">
        <v>2195.93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19113.87</v>
      </c>
      <c r="AB8" s="35" t="n">
        <v>32214.87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I8" s="121" t="n">
        <v>27182.25</v>
      </c>
      <c r="AJ8" s="122" t="n">
        <v>27182.25</v>
      </c>
      <c r="AK8" s="122" t="n">
        <v>27182.25</v>
      </c>
      <c r="AL8" s="122" t="n">
        <v>27182.25</v>
      </c>
      <c r="AM8" s="123" t="n">
        <v>27182.25</v>
      </c>
      <c r="AN8" s="121" t="n">
        <v>27182.25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4002.88</v>
      </c>
      <c r="P9" s="36" t="n">
        <v>4002.88</v>
      </c>
      <c r="Q9" s="36" t="n">
        <v>3850.42</v>
      </c>
      <c r="R9" s="36" t="n">
        <v>14524.92</v>
      </c>
      <c r="S9" s="36" t="n">
        <v>14524.92</v>
      </c>
      <c r="T9" s="36" t="n">
        <v>26395.81</v>
      </c>
      <c r="U9" s="36" t="n">
        <v>18481.88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85783.71000000001</v>
      </c>
      <c r="AB9" s="35" t="n">
        <v>170679.71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6049.18</v>
      </c>
      <c r="P11" s="43" t="n">
        <v>5632.09</v>
      </c>
      <c r="Q11" s="43" t="n">
        <v>7076.940000000001</v>
      </c>
      <c r="R11" s="43" t="n">
        <v>16986.32</v>
      </c>
      <c r="S11" s="43" t="n">
        <v>17605.81</v>
      </c>
      <c r="T11" s="43" t="n">
        <v>30869.43</v>
      </c>
      <c r="U11" s="43" t="n">
        <v>20677.81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104897.58</v>
      </c>
      <c r="AB11" s="42" t="n">
        <v>202894.58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6880.48</v>
      </c>
      <c r="P16" s="36" t="n">
        <v>6311.75</v>
      </c>
      <c r="Q16" s="36" t="n">
        <v>6248.47</v>
      </c>
      <c r="R16" s="36" t="n">
        <v>7380.8</v>
      </c>
      <c r="S16" s="36" t="n">
        <v>10697.44</v>
      </c>
      <c r="T16" s="36" t="n">
        <v>9263.35</v>
      </c>
      <c r="U16" s="36" t="n">
        <v>10329.69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57111.98</v>
      </c>
      <c r="AB16" s="35" t="n">
        <v>102681.98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I16" s="121" t="n">
        <v>9114</v>
      </c>
      <c r="AJ16" s="122" t="n">
        <v>9114</v>
      </c>
      <c r="AK16" s="122" t="n">
        <v>9114</v>
      </c>
      <c r="AL16" s="122" t="n">
        <v>9114</v>
      </c>
      <c r="AM16" s="123" t="n">
        <v>9114</v>
      </c>
      <c r="AN16" s="121" t="n">
        <v>9114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781.87</v>
      </c>
      <c r="P17" s="36" t="n">
        <v>696.5599999999999</v>
      </c>
      <c r="Q17" s="36" t="n">
        <v>687.0700000000001</v>
      </c>
      <c r="R17" s="36" t="n">
        <v>742.29</v>
      </c>
      <c r="S17" s="36" t="n">
        <v>1023.34</v>
      </c>
      <c r="T17" s="36" t="n">
        <v>848.35</v>
      </c>
      <c r="U17" s="36" t="n">
        <v>1212.71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5992.190000000001</v>
      </c>
      <c r="AB17" s="35" t="n">
        <v>10347.19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I17" s="121" t="n">
        <v>871</v>
      </c>
      <c r="AJ17" s="122" t="n">
        <v>871</v>
      </c>
      <c r="AK17" s="122" t="n">
        <v>871</v>
      </c>
      <c r="AL17" s="122" t="n">
        <v>871</v>
      </c>
      <c r="AM17" s="123" t="n">
        <v>871</v>
      </c>
      <c r="AN17" s="121" t="n">
        <v>871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143.99</v>
      </c>
      <c r="P18" s="36" t="n">
        <v>126.92</v>
      </c>
      <c r="Q18" s="36" t="n">
        <v>125.02</v>
      </c>
      <c r="R18" s="36" t="n">
        <v>128.71</v>
      </c>
      <c r="S18" s="36" t="n">
        <v>166.88</v>
      </c>
      <c r="T18" s="36" t="n">
        <v>116.2</v>
      </c>
      <c r="U18" s="36" t="n">
        <v>154.18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961.9</v>
      </c>
      <c r="AB18" s="35" t="n">
        <v>1681.85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I18" s="121" t="n">
        <v>143.99</v>
      </c>
      <c r="AJ18" s="122" t="n">
        <v>143.99</v>
      </c>
      <c r="AK18" s="122" t="n">
        <v>143.99</v>
      </c>
      <c r="AL18" s="122" t="n">
        <v>143.99</v>
      </c>
      <c r="AM18" s="123" t="n">
        <v>143.99</v>
      </c>
      <c r="AN18" s="121" t="n">
        <v>143.99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33.1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33.1</v>
      </c>
      <c r="AB19" s="35" t="n">
        <v>133.1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I19" s="121" t="n">
        <v>20</v>
      </c>
      <c r="AJ19" s="122" t="n">
        <v>20</v>
      </c>
      <c r="AK19" s="122" t="n">
        <v>20</v>
      </c>
      <c r="AL19" s="122" t="n">
        <v>20</v>
      </c>
      <c r="AM19" s="123" t="n">
        <v>20</v>
      </c>
      <c r="AN19" s="121" t="n">
        <v>20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25.27</v>
      </c>
      <c r="P21" s="36" t="n">
        <v>0</v>
      </c>
      <c r="Q21" s="36" t="n">
        <v>25.27</v>
      </c>
      <c r="R21" s="36" t="n">
        <v>0</v>
      </c>
      <c r="S21" s="36" t="n">
        <v>46.84</v>
      </c>
      <c r="T21" s="36" t="n">
        <v>21.69</v>
      </c>
      <c r="U21" s="36" t="n">
        <v>28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147.07</v>
      </c>
      <c r="AB21" s="35" t="n">
        <v>347.07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I21" s="121" t="n">
        <v>40</v>
      </c>
      <c r="AJ21" s="122" t="n">
        <v>40</v>
      </c>
      <c r="AK21" s="122" t="n">
        <v>40</v>
      </c>
      <c r="AL21" s="122" t="n">
        <v>40</v>
      </c>
      <c r="AM21" s="123" t="n">
        <v>40</v>
      </c>
      <c r="AN21" s="121" t="n">
        <v>40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I23" s="121" t="n">
        <v>17</v>
      </c>
      <c r="AJ23" s="122" t="n">
        <v>17</v>
      </c>
      <c r="AK23" s="122" t="n">
        <v>17</v>
      </c>
      <c r="AL23" s="122" t="n">
        <v>17</v>
      </c>
      <c r="AM23" s="123" t="n">
        <v>17</v>
      </c>
      <c r="AN23" s="121" t="n">
        <v>17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7831.61</v>
      </c>
      <c r="P25" s="43" t="n">
        <v>7135.23</v>
      </c>
      <c r="Q25" s="43" t="n">
        <v>7085.83</v>
      </c>
      <c r="R25" s="43" t="n">
        <v>8251.799999999999</v>
      </c>
      <c r="S25" s="43" t="n">
        <v>11967.6</v>
      </c>
      <c r="T25" s="43" t="n">
        <v>10249.59</v>
      </c>
      <c r="U25" s="43" t="n">
        <v>11724.58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64246.24</v>
      </c>
      <c r="AB25" s="42" t="n">
        <v>115776.19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38.53</v>
      </c>
      <c r="T27" s="36" t="n">
        <v>37.88</v>
      </c>
      <c r="U27" s="36" t="n">
        <v>37.47</v>
      </c>
      <c r="V27" s="37" t="n"/>
      <c r="W27" s="37" t="n"/>
      <c r="X27" s="37" t="n"/>
      <c r="Y27" s="37" t="n"/>
      <c r="Z27" s="37" t="n"/>
      <c r="AA27" s="35" t="n">
        <v>113.88</v>
      </c>
      <c r="AB27" s="35" t="n">
        <v>113.88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17.99</v>
      </c>
      <c r="P28" s="36" t="n">
        <v>27.42</v>
      </c>
      <c r="Q28" s="36" t="n">
        <v>0</v>
      </c>
      <c r="R28" s="36" t="n">
        <v>63.38</v>
      </c>
      <c r="S28" s="36" t="n">
        <v>62.07</v>
      </c>
      <c r="T28" s="36" t="n">
        <v>27.56000000000001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198.42</v>
      </c>
      <c r="AB28" s="35" t="n">
        <v>478.42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11.99</v>
      </c>
      <c r="S29" s="36" t="n">
        <v>74.04000000000001</v>
      </c>
      <c r="T29" s="36" t="n">
        <v>128.3</v>
      </c>
      <c r="U29" s="36" t="n">
        <v>96.41</v>
      </c>
      <c r="V29" s="37" t="n"/>
      <c r="W29" s="37" t="n"/>
      <c r="X29" s="37" t="n"/>
      <c r="Y29" s="37" t="n"/>
      <c r="Z29" s="37" t="n"/>
      <c r="AA29" s="35" t="n">
        <v>310.74</v>
      </c>
      <c r="AB29" s="35" t="n">
        <v>310.74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255.55</v>
      </c>
      <c r="P31" s="36" t="n">
        <v>0</v>
      </c>
      <c r="Q31" s="36" t="n">
        <v>44.79</v>
      </c>
      <c r="R31" s="36" t="n">
        <v>120.51</v>
      </c>
      <c r="S31" s="36" t="n">
        <v>0</v>
      </c>
      <c r="T31" s="36" t="n">
        <v>0</v>
      </c>
      <c r="U31" s="36" t="n">
        <v>79.77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500.62</v>
      </c>
      <c r="AB31" s="35" t="n">
        <v>750.62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14.52</v>
      </c>
      <c r="Q32" s="36" t="n">
        <v>0</v>
      </c>
      <c r="R32" s="36" t="n">
        <v>49.29</v>
      </c>
      <c r="S32" s="36" t="n">
        <v>22.47</v>
      </c>
      <c r="T32" s="36" t="n">
        <v>0</v>
      </c>
      <c r="U32" s="36" t="n">
        <v>50.5</v>
      </c>
      <c r="V32" s="37" t="n"/>
      <c r="W32" s="37" t="n"/>
      <c r="X32" s="37" t="n"/>
      <c r="Y32" s="37" t="n"/>
      <c r="Z32" s="37" t="n"/>
      <c r="AA32" s="35" t="n">
        <v>136.78</v>
      </c>
      <c r="AB32" s="35" t="n">
        <v>136.78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273.54</v>
      </c>
      <c r="P34" s="43" t="n">
        <v>41.94</v>
      </c>
      <c r="Q34" s="43" t="n">
        <v>44.79</v>
      </c>
      <c r="R34" s="43" t="n">
        <v>245.17</v>
      </c>
      <c r="S34" s="43" t="n">
        <v>197.11</v>
      </c>
      <c r="T34" s="43" t="n">
        <v>193.74</v>
      </c>
      <c r="U34" s="43" t="n">
        <v>264.15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1260.44</v>
      </c>
      <c r="AB34" s="42" t="n">
        <v>2070.44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336.81</v>
      </c>
      <c r="P37" s="36" t="n">
        <v>336.81</v>
      </c>
      <c r="Q37" s="36" t="n">
        <v>336.81</v>
      </c>
      <c r="R37" s="36" t="n">
        <v>353.67</v>
      </c>
      <c r="S37" s="36" t="n">
        <v>353.67</v>
      </c>
      <c r="T37" s="36" t="n">
        <v>353.67</v>
      </c>
      <c r="U37" s="36" t="n">
        <v>353.67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2425.11</v>
      </c>
      <c r="AB37" s="35" t="n">
        <v>4720.110000000001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I37" s="121" t="n">
        <v>459</v>
      </c>
      <c r="AJ37" s="122" t="n">
        <v>459</v>
      </c>
      <c r="AK37" s="122" t="n">
        <v>459</v>
      </c>
      <c r="AL37" s="122" t="n">
        <v>459</v>
      </c>
      <c r="AM37" s="123" t="n">
        <v>459</v>
      </c>
      <c r="AN37" s="121" t="n">
        <v>459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98.63</v>
      </c>
      <c r="P38" s="36" t="n">
        <v>138.37</v>
      </c>
      <c r="Q38" s="36" t="n">
        <v>99.57999999999998</v>
      </c>
      <c r="R38" s="36" t="n">
        <v>180.32</v>
      </c>
      <c r="S38" s="36" t="n">
        <v>172.86</v>
      </c>
      <c r="T38" s="36" t="n">
        <v>111.99</v>
      </c>
      <c r="U38" s="36" t="n">
        <v>78.16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879.91</v>
      </c>
      <c r="AB38" s="35" t="n">
        <v>2179.91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I38" s="121" t="n">
        <v>260</v>
      </c>
      <c r="AJ38" s="122" t="n">
        <v>260</v>
      </c>
      <c r="AK38" s="122" t="n">
        <v>260</v>
      </c>
      <c r="AL38" s="122" t="n">
        <v>260</v>
      </c>
      <c r="AM38" s="123" t="n">
        <v>260</v>
      </c>
      <c r="AN38" s="121" t="n">
        <v>260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15.19000000000001</v>
      </c>
      <c r="P39" s="36" t="n">
        <v>0</v>
      </c>
      <c r="Q39" s="36" t="n">
        <v>0</v>
      </c>
      <c r="R39" s="36" t="n">
        <v>0</v>
      </c>
      <c r="S39" s="36" t="n">
        <v>122.85</v>
      </c>
      <c r="T39" s="36" t="n">
        <v>0</v>
      </c>
      <c r="U39" s="36" t="n">
        <v>129.6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267.64</v>
      </c>
      <c r="AB39" s="35" t="n">
        <v>2767.64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23.7</v>
      </c>
      <c r="S40" s="36" t="n">
        <v>4.88</v>
      </c>
      <c r="T40" s="36" t="n">
        <v>11.99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40.57</v>
      </c>
      <c r="AB40" s="35" t="n">
        <v>840.5699999999999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I40" s="121" t="n">
        <v>160</v>
      </c>
      <c r="AJ40" s="122" t="n">
        <v>160</v>
      </c>
      <c r="AK40" s="122" t="n">
        <v>160</v>
      </c>
      <c r="AL40" s="122" t="n">
        <v>160</v>
      </c>
      <c r="AM40" s="123" t="n">
        <v>160</v>
      </c>
      <c r="AN40" s="121" t="n">
        <v>160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323.76</v>
      </c>
      <c r="P41" s="36" t="n">
        <v>323.75</v>
      </c>
      <c r="Q41" s="36" t="n">
        <v>431.19</v>
      </c>
      <c r="R41" s="36" t="n">
        <v>512.8499999999999</v>
      </c>
      <c r="S41" s="36" t="n">
        <v>180.02</v>
      </c>
      <c r="T41" s="36" t="n">
        <v>75.59999999999999</v>
      </c>
      <c r="U41" s="36" t="n">
        <v>310.88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2158.05</v>
      </c>
      <c r="AB41" s="35" t="n">
        <v>3158.05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I41" s="121" t="n">
        <v>200</v>
      </c>
      <c r="AJ41" s="122" t="n">
        <v>200</v>
      </c>
      <c r="AK41" s="122" t="n">
        <v>200</v>
      </c>
      <c r="AL41" s="122" t="n">
        <v>200</v>
      </c>
      <c r="AM41" s="123" t="n">
        <v>200</v>
      </c>
      <c r="AN41" s="121" t="n">
        <v>200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10</v>
      </c>
      <c r="P42" s="36" t="n">
        <v>10</v>
      </c>
      <c r="Q42" s="36" t="n">
        <v>10</v>
      </c>
      <c r="R42" s="36" t="n">
        <v>10</v>
      </c>
      <c r="S42" s="36" t="n">
        <v>25.98</v>
      </c>
      <c r="T42" s="36" t="n">
        <v>10</v>
      </c>
      <c r="U42" s="36" t="n">
        <v>36.76000000000001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112.74</v>
      </c>
      <c r="AB42" s="35" t="n">
        <v>112.74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1.99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1.99</v>
      </c>
      <c r="AB43" s="35" t="n">
        <v>51.99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I43" s="121" t="n">
        <v>10</v>
      </c>
      <c r="AJ43" s="122" t="n">
        <v>10</v>
      </c>
      <c r="AK43" s="122" t="n">
        <v>10</v>
      </c>
      <c r="AL43" s="122" t="n">
        <v>10</v>
      </c>
      <c r="AM43" s="123" t="n">
        <v>10</v>
      </c>
      <c r="AN43" s="121" t="n">
        <v>10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784.39</v>
      </c>
      <c r="P47" s="43" t="n">
        <v>808.9300000000001</v>
      </c>
      <c r="Q47" s="43" t="n">
        <v>877.5799999999999</v>
      </c>
      <c r="R47" s="43" t="n">
        <v>1080.54</v>
      </c>
      <c r="S47" s="43" t="n">
        <v>860.26</v>
      </c>
      <c r="T47" s="43" t="n">
        <v>563.25</v>
      </c>
      <c r="U47" s="43" t="n">
        <v>911.0600000000001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5886.01</v>
      </c>
      <c r="AB47" s="51" t="n">
        <v>14331.01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8889.539999999999</v>
      </c>
      <c r="P48" s="24" t="n">
        <v>7986.099999999999</v>
      </c>
      <c r="Q48" s="24" t="n">
        <v>8008.2</v>
      </c>
      <c r="R48" s="24" t="n">
        <v>9577.509999999998</v>
      </c>
      <c r="S48" s="24" t="n">
        <v>13024.97</v>
      </c>
      <c r="T48" s="24" t="n">
        <v>11006.58</v>
      </c>
      <c r="U48" s="24" t="n">
        <v>12899.79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71392.69</v>
      </c>
      <c r="AB48" s="35" t="n">
        <v>132177.64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-2840.359999999999</v>
      </c>
      <c r="P50" s="54" t="n">
        <v>-2354.009999999999</v>
      </c>
      <c r="Q50" s="54" t="n">
        <v>-931.2599999999993</v>
      </c>
      <c r="R50" s="54" t="n">
        <v>7408.810000000001</v>
      </c>
      <c r="S50" s="54" t="n">
        <v>4580.84</v>
      </c>
      <c r="T50" s="54" t="n">
        <v>19862.85</v>
      </c>
      <c r="U50" s="54" t="n">
        <v>7778.02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33504.89</v>
      </c>
      <c r="AB50" s="54" t="n">
        <v>70716.94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>
        <v>14.4</v>
      </c>
      <c r="P60" s="36" t="n">
        <v>3.6</v>
      </c>
      <c r="Q60" s="36" t="n">
        <v>3.6</v>
      </c>
      <c r="R60" s="36" t="n">
        <v>257.8</v>
      </c>
      <c r="S60" s="36" t="n">
        <v>5.4</v>
      </c>
      <c r="T60" s="36" t="n">
        <v>6</v>
      </c>
      <c r="U60" s="36" t="n">
        <v>6</v>
      </c>
      <c r="V60" s="37" t="n"/>
      <c r="W60" s="37" t="n"/>
      <c r="X60" s="37" t="n"/>
      <c r="Y60" s="37" t="n"/>
      <c r="Z60" s="37" t="n"/>
      <c r="AA60" s="35" t="n">
        <v>296.8</v>
      </c>
      <c r="AB60" s="35" t="n">
        <v>296.8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79</v>
      </c>
      <c r="P66" s="36" t="n">
        <v>78</v>
      </c>
      <c r="Q66" s="36" t="n">
        <v>76</v>
      </c>
      <c r="R66" s="36" t="n">
        <v>75</v>
      </c>
      <c r="S66" s="36" t="n">
        <v>73</v>
      </c>
      <c r="T66" s="36" t="n">
        <v>72</v>
      </c>
      <c r="U66" s="36" t="n">
        <v>70</v>
      </c>
      <c r="V66" s="37" t="n"/>
      <c r="W66" s="37" t="n"/>
      <c r="X66" s="37" t="n"/>
      <c r="Y66" s="37" t="n"/>
      <c r="Z66" s="37" t="n"/>
      <c r="AA66" s="35" t="n">
        <v>523</v>
      </c>
      <c r="AB66" s="35" t="n">
        <v>523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308.2</v>
      </c>
      <c r="P69" s="43" t="n">
        <v>296.4</v>
      </c>
      <c r="Q69" s="43" t="n">
        <v>294.4</v>
      </c>
      <c r="R69" s="43" t="n">
        <v>547.6</v>
      </c>
      <c r="S69" s="43" t="n">
        <v>293.2</v>
      </c>
      <c r="T69" s="43" t="n">
        <v>292.8</v>
      </c>
      <c r="U69" s="43" t="n">
        <v>290.8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2323.4</v>
      </c>
      <c r="AB69" s="42" t="n">
        <v>3398.4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-3148.559999999999</v>
      </c>
      <c r="P70" s="54" t="n">
        <v>-2650.409999999999</v>
      </c>
      <c r="Q70" s="54" t="n">
        <v>-1225.659999999999</v>
      </c>
      <c r="R70" s="54" t="n">
        <v>6861.210000000001</v>
      </c>
      <c r="S70" s="54" t="n">
        <v>4287.64</v>
      </c>
      <c r="T70" s="54" t="n">
        <v>19570.05</v>
      </c>
      <c r="U70" s="54" t="n">
        <v>7487.22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31181.49000000001</v>
      </c>
      <c r="AB70" s="54" t="n">
        <v>67318.54000000001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I8" s="121" t="n">
        <v>75234.78999999999</v>
      </c>
      <c r="AJ8" s="122" t="n">
        <v>75234.78999999999</v>
      </c>
      <c r="AK8" s="122" t="n">
        <v>75234.78999999999</v>
      </c>
      <c r="AL8" s="122" t="n">
        <v>75234.78999999999</v>
      </c>
      <c r="AM8" s="123" t="n">
        <v>75234.78999999999</v>
      </c>
      <c r="AN8" s="121" t="n">
        <v>75234.78999999999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I16" s="121" t="n">
        <v>33483.36</v>
      </c>
      <c r="AJ16" s="122" t="n">
        <v>33483.36</v>
      </c>
      <c r="AK16" s="122" t="n">
        <v>33483.36</v>
      </c>
      <c r="AL16" s="122" t="n">
        <v>33483.36</v>
      </c>
      <c r="AM16" s="123" t="n">
        <v>33483.36</v>
      </c>
      <c r="AN16" s="121" t="n">
        <v>33483.36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I17" s="121" t="n">
        <v>3939.99</v>
      </c>
      <c r="AJ17" s="122" t="n">
        <v>3939.99</v>
      </c>
      <c r="AK17" s="122" t="n">
        <v>3939.99</v>
      </c>
      <c r="AL17" s="122" t="n">
        <v>3939.99</v>
      </c>
      <c r="AM17" s="123" t="n">
        <v>3939.99</v>
      </c>
      <c r="AN17" s="121" t="n">
        <v>3939.99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I18" s="121" t="n">
        <v>747.79</v>
      </c>
      <c r="AJ18" s="122" t="n">
        <v>747.79</v>
      </c>
      <c r="AK18" s="122" t="n">
        <v>747.79</v>
      </c>
      <c r="AL18" s="122" t="n">
        <v>747.79</v>
      </c>
      <c r="AM18" s="123" t="n">
        <v>747.79</v>
      </c>
      <c r="AN18" s="121" t="n">
        <v>747.79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I19" s="121" t="n">
        <v>83</v>
      </c>
      <c r="AJ19" s="122" t="n">
        <v>83</v>
      </c>
      <c r="AK19" s="122" t="n">
        <v>83</v>
      </c>
      <c r="AL19" s="122" t="n">
        <v>83</v>
      </c>
      <c r="AM19" s="123" t="n">
        <v>83</v>
      </c>
      <c r="AN19" s="121" t="n">
        <v>83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I21" s="121" t="n">
        <v>170</v>
      </c>
      <c r="AJ21" s="122" t="n">
        <v>170</v>
      </c>
      <c r="AK21" s="122" t="n">
        <v>170</v>
      </c>
      <c r="AL21" s="122" t="n">
        <v>170</v>
      </c>
      <c r="AM21" s="123" t="n">
        <v>170</v>
      </c>
      <c r="AN21" s="121" t="n">
        <v>170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I23" s="121" t="n">
        <v>71</v>
      </c>
      <c r="AJ23" s="122" t="n">
        <v>71</v>
      </c>
      <c r="AK23" s="122" t="n">
        <v>71</v>
      </c>
      <c r="AL23" s="122" t="n">
        <v>71</v>
      </c>
      <c r="AM23" s="123" t="n">
        <v>71</v>
      </c>
      <c r="AN23" s="121" t="n">
        <v>71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I37" s="121" t="n">
        <v>2128.03</v>
      </c>
      <c r="AJ37" s="122" t="n">
        <v>2128.03</v>
      </c>
      <c r="AK37" s="122" t="n">
        <v>2128.03</v>
      </c>
      <c r="AL37" s="122" t="n">
        <v>2128.03</v>
      </c>
      <c r="AM37" s="123" t="n">
        <v>2128.03</v>
      </c>
      <c r="AN37" s="121" t="n">
        <v>2128.03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I38" s="121" t="n">
        <v>1625</v>
      </c>
      <c r="AJ38" s="122" t="n">
        <v>1625</v>
      </c>
      <c r="AK38" s="122" t="n">
        <v>1625</v>
      </c>
      <c r="AL38" s="122" t="n">
        <v>1625</v>
      </c>
      <c r="AM38" s="123" t="n">
        <v>1625</v>
      </c>
      <c r="AN38" s="121" t="n">
        <v>1625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I40" s="121" t="n">
        <v>221</v>
      </c>
      <c r="AJ40" s="122" t="n">
        <v>221</v>
      </c>
      <c r="AK40" s="122" t="n">
        <v>221</v>
      </c>
      <c r="AL40" s="122" t="n">
        <v>221</v>
      </c>
      <c r="AM40" s="123" t="n">
        <v>221</v>
      </c>
      <c r="AN40" s="121" t="n">
        <v>221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I41" s="121" t="n">
        <v>389</v>
      </c>
      <c r="AJ41" s="122" t="n">
        <v>389</v>
      </c>
      <c r="AK41" s="122" t="n">
        <v>389</v>
      </c>
      <c r="AL41" s="122" t="n">
        <v>389</v>
      </c>
      <c r="AM41" s="123" t="n">
        <v>389</v>
      </c>
      <c r="AN41" s="121" t="n">
        <v>389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4828.200000000001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>
        <v>106.79</v>
      </c>
      <c r="P60" s="36" t="n">
        <v>8.99</v>
      </c>
      <c r="Q60" s="36" t="n">
        <v>13.19</v>
      </c>
      <c r="R60" s="36" t="n">
        <v>100.2</v>
      </c>
      <c r="S60" s="36" t="n">
        <v>4.2</v>
      </c>
      <c r="T60" s="36" t="n">
        <v>-11.23</v>
      </c>
      <c r="U60" s="36" t="n">
        <v>4.199999999999999</v>
      </c>
      <c r="V60" s="37" t="n"/>
      <c r="W60" s="37" t="n"/>
      <c r="X60" s="37" t="n"/>
      <c r="Y60" s="37" t="n"/>
      <c r="Z60" s="37" t="n"/>
      <c r="AA60" s="35" t="n">
        <v>226.34</v>
      </c>
      <c r="AB60" s="35" t="n">
        <v>226.34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321.59</v>
      </c>
      <c r="P69" s="43" t="n">
        <v>223.79</v>
      </c>
      <c r="Q69" s="43" t="n">
        <v>227.99</v>
      </c>
      <c r="R69" s="43" t="n">
        <v>315</v>
      </c>
      <c r="S69" s="43" t="n">
        <v>219</v>
      </c>
      <c r="T69" s="43" t="n">
        <v>203.57</v>
      </c>
      <c r="U69" s="43" t="n">
        <v>219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1729.94</v>
      </c>
      <c r="AB69" s="42" t="n">
        <v>2804.94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</v>
      </c>
      <c r="O70" s="54" t="n">
        <v>-1328.030000000002</v>
      </c>
      <c r="P70" s="54" t="n">
        <v>7143.870000000004</v>
      </c>
      <c r="Q70" s="54" t="n">
        <v>12977.78</v>
      </c>
      <c r="R70" s="54" t="n">
        <v>18797.11</v>
      </c>
      <c r="S70" s="54" t="n">
        <v>17966.52</v>
      </c>
      <c r="T70" s="54" t="n">
        <v>22819.50000000001</v>
      </c>
      <c r="U70" s="55" t="n">
        <v>33931.20000000002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112307.95</v>
      </c>
      <c r="AB70" s="54" t="n">
        <v>168897.6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I8" s="121" t="n">
        <v>43952.64</v>
      </c>
      <c r="AJ8" s="122" t="n">
        <v>43952.64</v>
      </c>
      <c r="AK8" s="122" t="n">
        <v>43952.64</v>
      </c>
      <c r="AL8" s="122" t="n">
        <v>43952.64</v>
      </c>
      <c r="AM8" s="123" t="n">
        <v>43952.64</v>
      </c>
      <c r="AN8" s="121" t="n">
        <v>43952.64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I16" s="121" t="n">
        <v>16231.3</v>
      </c>
      <c r="AJ16" s="122" t="n">
        <v>16231.3</v>
      </c>
      <c r="AK16" s="122" t="n">
        <v>16231.3</v>
      </c>
      <c r="AL16" s="122" t="n">
        <v>16231.3</v>
      </c>
      <c r="AM16" s="123" t="n">
        <v>16231.3</v>
      </c>
      <c r="AN16" s="121" t="n">
        <v>16231.3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I17" s="121" t="n">
        <v>1608.31</v>
      </c>
      <c r="AJ17" s="122" t="n">
        <v>1608.31</v>
      </c>
      <c r="AK17" s="122" t="n">
        <v>1608.31</v>
      </c>
      <c r="AL17" s="122" t="n">
        <v>1608.31</v>
      </c>
      <c r="AM17" s="123" t="n">
        <v>1608.31</v>
      </c>
      <c r="AN17" s="121" t="n">
        <v>1608.31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I18" s="121" t="n">
        <v>303.09</v>
      </c>
      <c r="AJ18" s="122" t="n">
        <v>303.09</v>
      </c>
      <c r="AK18" s="122" t="n">
        <v>303.09</v>
      </c>
      <c r="AL18" s="122" t="n">
        <v>303.09</v>
      </c>
      <c r="AM18" s="123" t="n">
        <v>303.09</v>
      </c>
      <c r="AN18" s="121" t="n">
        <v>303.09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I30" s="121" t="n">
        <v>75</v>
      </c>
      <c r="AJ30" s="122" t="n">
        <v>75</v>
      </c>
      <c r="AK30" s="122" t="n">
        <v>75</v>
      </c>
      <c r="AL30" s="122" t="n">
        <v>75</v>
      </c>
      <c r="AM30" s="123" t="n">
        <v>75</v>
      </c>
      <c r="AN30" s="121" t="n">
        <v>75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I37" s="121" t="n">
        <v>682</v>
      </c>
      <c r="AJ37" s="122" t="n">
        <v>682</v>
      </c>
      <c r="AK37" s="122" t="n">
        <v>682</v>
      </c>
      <c r="AL37" s="122" t="n">
        <v>682</v>
      </c>
      <c r="AM37" s="123" t="n">
        <v>682</v>
      </c>
      <c r="AN37" s="121" t="n">
        <v>682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I38" s="121" t="n">
        <v>755</v>
      </c>
      <c r="AJ38" s="122" t="n">
        <v>755</v>
      </c>
      <c r="AK38" s="122" t="n">
        <v>755</v>
      </c>
      <c r="AL38" s="122" t="n">
        <v>755</v>
      </c>
      <c r="AM38" s="123" t="n">
        <v>755</v>
      </c>
      <c r="AN38" s="121" t="n">
        <v>755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I40" s="121" t="n">
        <v>185</v>
      </c>
      <c r="AJ40" s="122" t="n">
        <v>185</v>
      </c>
      <c r="AK40" s="122" t="n">
        <v>185</v>
      </c>
      <c r="AL40" s="122" t="n">
        <v>185</v>
      </c>
      <c r="AM40" s="123" t="n">
        <v>185</v>
      </c>
      <c r="AN40" s="121" t="n">
        <v>185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I41" s="121" t="n">
        <v>422</v>
      </c>
      <c r="AJ41" s="122" t="n">
        <v>422</v>
      </c>
      <c r="AK41" s="122" t="n">
        <v>422</v>
      </c>
      <c r="AL41" s="122" t="n">
        <v>422</v>
      </c>
      <c r="AM41" s="123" t="n">
        <v>422</v>
      </c>
      <c r="AN41" s="121" t="n">
        <v>422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136157.38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890.4000000000001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2179.2</v>
      </c>
      <c r="AB59" s="35" t="n">
        <v>3254.2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>
        <v>2.4</v>
      </c>
      <c r="P60" s="36" t="n">
        <v>9.390000000000001</v>
      </c>
      <c r="Q60" s="36" t="n">
        <v>20.38</v>
      </c>
      <c r="R60" s="36" t="n">
        <v>2.4</v>
      </c>
      <c r="S60" s="36" t="n">
        <v>4.2</v>
      </c>
      <c r="T60" s="36" t="n">
        <v>5.4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49.57</v>
      </c>
      <c r="AB60" s="35" t="n">
        <v>49.57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>
        <v>0</v>
      </c>
      <c r="P62" s="36" t="n">
        <v>25</v>
      </c>
      <c r="Q62" s="36" t="n">
        <v>0</v>
      </c>
      <c r="R62" s="36" t="n">
        <v>60</v>
      </c>
      <c r="S62" s="36" t="n">
        <v>25</v>
      </c>
      <c r="T62" s="36" t="n">
        <v>70</v>
      </c>
      <c r="U62" s="36" t="n">
        <v>144</v>
      </c>
      <c r="V62" s="37" t="n"/>
      <c r="W62" s="37" t="n"/>
      <c r="X62" s="37" t="n"/>
      <c r="Y62" s="37" t="n"/>
      <c r="Z62" s="37" t="n"/>
      <c r="AA62" s="35" t="n">
        <v>324</v>
      </c>
      <c r="AB62" s="35" t="n">
        <v>324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217.2</v>
      </c>
      <c r="P69" s="43" t="n">
        <v>249.19</v>
      </c>
      <c r="Q69" s="43" t="n">
        <v>235.18</v>
      </c>
      <c r="R69" s="43" t="n">
        <v>277.2</v>
      </c>
      <c r="S69" s="43" t="n">
        <v>244</v>
      </c>
      <c r="T69" s="43" t="n">
        <v>290.2</v>
      </c>
      <c r="U69" s="43" t="n">
        <v>1039.8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2552.77</v>
      </c>
      <c r="AB69" s="42" t="n">
        <v>3627.77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132595</v>
      </c>
      <c r="O70" s="54" t="n">
        <v>843.6700000000026</v>
      </c>
      <c r="P70" s="54" t="n">
        <v>2667.420000000004</v>
      </c>
      <c r="Q70" s="54" t="n">
        <v>13204.72999999999</v>
      </c>
      <c r="R70" s="54" t="n">
        <v>13979.06</v>
      </c>
      <c r="S70" s="54" t="n">
        <v>11515.78</v>
      </c>
      <c r="T70" s="54" t="n">
        <v>13022.68</v>
      </c>
      <c r="U70" s="54" t="n">
        <v>22962.28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78195.62</v>
      </c>
      <c r="AB70" s="54" t="n">
        <v>161467.12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I8" s="121" t="n">
        <v>36606.08</v>
      </c>
      <c r="AJ8" s="122" t="n">
        <v>36606.08</v>
      </c>
      <c r="AK8" s="122" t="n">
        <v>36606.08</v>
      </c>
      <c r="AL8" s="122" t="n">
        <v>36606.08</v>
      </c>
      <c r="AM8" s="123" t="n">
        <v>36606.08</v>
      </c>
      <c r="AN8" s="121" t="n">
        <v>36606.08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I16" s="121" t="n">
        <v>24326</v>
      </c>
      <c r="AJ16" s="122" t="n">
        <v>24326</v>
      </c>
      <c r="AK16" s="122" t="n">
        <v>24326</v>
      </c>
      <c r="AL16" s="122" t="n">
        <v>24326</v>
      </c>
      <c r="AM16" s="123" t="n">
        <v>24326</v>
      </c>
      <c r="AN16" s="121" t="n">
        <v>24326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I17" s="121" t="n">
        <v>2730</v>
      </c>
      <c r="AJ17" s="122" t="n">
        <v>2730</v>
      </c>
      <c r="AK17" s="122" t="n">
        <v>2730</v>
      </c>
      <c r="AL17" s="122" t="n">
        <v>2730</v>
      </c>
      <c r="AM17" s="123" t="n">
        <v>2730</v>
      </c>
      <c r="AN17" s="121" t="n">
        <v>2730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I18" s="121" t="n">
        <v>478.5</v>
      </c>
      <c r="AJ18" s="122" t="n">
        <v>478.5</v>
      </c>
      <c r="AK18" s="122" t="n">
        <v>478.5</v>
      </c>
      <c r="AL18" s="122" t="n">
        <v>478.5</v>
      </c>
      <c r="AM18" s="123" t="n">
        <v>478.5</v>
      </c>
      <c r="AN18" s="121" t="n">
        <v>478.5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I19" s="121" t="n">
        <v>39</v>
      </c>
      <c r="AJ19" s="122" t="n">
        <v>39</v>
      </c>
      <c r="AK19" s="122" t="n">
        <v>39</v>
      </c>
      <c r="AL19" s="122" t="n">
        <v>39</v>
      </c>
      <c r="AM19" s="123" t="n">
        <v>39</v>
      </c>
      <c r="AN19" s="121" t="n">
        <v>39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I40" s="121" t="n">
        <v>200</v>
      </c>
      <c r="AJ40" s="122" t="n">
        <v>200</v>
      </c>
      <c r="AK40" s="122" t="n">
        <v>200</v>
      </c>
      <c r="AL40" s="122" t="n">
        <v>200</v>
      </c>
      <c r="AM40" s="123" t="n">
        <v>200</v>
      </c>
      <c r="AN40" s="121" t="n">
        <v>200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I41" s="121" t="n">
        <v>426</v>
      </c>
      <c r="AJ41" s="122" t="n">
        <v>426</v>
      </c>
      <c r="AK41" s="122" t="n">
        <v>426</v>
      </c>
      <c r="AL41" s="122" t="n">
        <v>426</v>
      </c>
      <c r="AM41" s="123" t="n">
        <v>426</v>
      </c>
      <c r="AN41" s="121" t="n">
        <v>426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>
        <v>70.2</v>
      </c>
      <c r="P60" s="36" t="n">
        <v>8.59</v>
      </c>
      <c r="Q60" s="36" t="n">
        <v>27.2</v>
      </c>
      <c r="R60" s="36" t="n">
        <v>630.5</v>
      </c>
      <c r="S60" s="36" t="n">
        <v>13.2</v>
      </c>
      <c r="T60" s="36" t="n">
        <v>13.2</v>
      </c>
      <c r="U60" s="36" t="n">
        <v>13.2</v>
      </c>
      <c r="V60" s="37" t="n"/>
      <c r="W60" s="37" t="n"/>
      <c r="X60" s="37" t="n"/>
      <c r="Y60" s="37" t="n"/>
      <c r="Z60" s="37" t="n"/>
      <c r="AA60" s="35" t="n">
        <v>776.09</v>
      </c>
      <c r="AB60" s="35" t="n">
        <v>776.09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255</v>
      </c>
      <c r="P66" s="36" t="n">
        <v>254</v>
      </c>
      <c r="Q66" s="36" t="n">
        <v>252</v>
      </c>
      <c r="R66" s="36" t="n">
        <v>251</v>
      </c>
      <c r="S66" s="36" t="n">
        <v>249</v>
      </c>
      <c r="T66" s="36" t="n">
        <v>248</v>
      </c>
      <c r="U66" s="36" t="n">
        <v>246</v>
      </c>
      <c r="V66" s="37" t="n"/>
      <c r="W66" s="37" t="n"/>
      <c r="X66" s="37" t="n"/>
      <c r="Y66" s="37" t="n"/>
      <c r="Z66" s="37" t="n"/>
      <c r="AA66" s="35" t="n">
        <v>1755</v>
      </c>
      <c r="AB66" s="35" t="n">
        <v>1755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540</v>
      </c>
      <c r="P69" s="43" t="n">
        <v>477.39</v>
      </c>
      <c r="Q69" s="43" t="n">
        <v>494</v>
      </c>
      <c r="R69" s="43" t="n">
        <v>1096.3</v>
      </c>
      <c r="S69" s="43" t="n">
        <v>477</v>
      </c>
      <c r="T69" s="43" t="n">
        <v>476</v>
      </c>
      <c r="U69" s="43" t="n">
        <v>474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4034.69</v>
      </c>
      <c r="AB69" s="42" t="n">
        <v>5109.69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3575.060000000001</v>
      </c>
      <c r="P70" s="54" t="n">
        <v>3927.090000000007</v>
      </c>
      <c r="Q70" s="54" t="n">
        <v>13207.82</v>
      </c>
      <c r="R70" s="54" t="n">
        <v>1741.299999999999</v>
      </c>
      <c r="S70" s="54" t="n">
        <v>3591.530000000002</v>
      </c>
      <c r="T70" s="54" t="n">
        <v>823.8199999999997</v>
      </c>
      <c r="U70" s="54" t="n">
        <v>2658.330000000002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29524.95000000002</v>
      </c>
      <c r="AB70" s="54" t="n">
        <v>3970.450000000014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I8" s="121" t="n">
        <v>91076.72</v>
      </c>
      <c r="AJ8" s="122" t="n">
        <v>91076.72</v>
      </c>
      <c r="AK8" s="122" t="n">
        <v>91076.72</v>
      </c>
      <c r="AL8" s="122" t="n">
        <v>91076.72</v>
      </c>
      <c r="AM8" s="123" t="n">
        <v>91076.72</v>
      </c>
      <c r="AN8" s="121" t="n">
        <v>91076.72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I16" s="121" t="n">
        <v>38831.14</v>
      </c>
      <c r="AJ16" s="122" t="n">
        <v>38831.14</v>
      </c>
      <c r="AK16" s="122" t="n">
        <v>38831.14</v>
      </c>
      <c r="AL16" s="122" t="n">
        <v>38831.14</v>
      </c>
      <c r="AM16" s="123" t="n">
        <v>38831.14</v>
      </c>
      <c r="AN16" s="121" t="n">
        <v>38831.14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I17" s="121" t="n">
        <v>3476.28</v>
      </c>
      <c r="AJ17" s="122" t="n">
        <v>3476.28</v>
      </c>
      <c r="AK17" s="122" t="n">
        <v>3476.28</v>
      </c>
      <c r="AL17" s="122" t="n">
        <v>3476.28</v>
      </c>
      <c r="AM17" s="123" t="n">
        <v>3476.28</v>
      </c>
      <c r="AN17" s="121" t="n">
        <v>3476.28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I18" s="121" t="n">
        <v>523.85</v>
      </c>
      <c r="AJ18" s="122" t="n">
        <v>523.85</v>
      </c>
      <c r="AK18" s="122" t="n">
        <v>523.85</v>
      </c>
      <c r="AL18" s="122" t="n">
        <v>523.85</v>
      </c>
      <c r="AM18" s="123" t="n">
        <v>523.85</v>
      </c>
      <c r="AN18" s="121" t="n">
        <v>523.85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I19" s="121" t="n">
        <v>88</v>
      </c>
      <c r="AJ19" s="122" t="n">
        <v>88</v>
      </c>
      <c r="AK19" s="122" t="n">
        <v>88</v>
      </c>
      <c r="AL19" s="122" t="n">
        <v>88</v>
      </c>
      <c r="AM19" s="123" t="n">
        <v>88</v>
      </c>
      <c r="AN19" s="121" t="n">
        <v>88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I21" s="121" t="n">
        <v>180</v>
      </c>
      <c r="AJ21" s="122" t="n">
        <v>180</v>
      </c>
      <c r="AK21" s="122" t="n">
        <v>180</v>
      </c>
      <c r="AL21" s="122" t="n">
        <v>180</v>
      </c>
      <c r="AM21" s="123" t="n">
        <v>180</v>
      </c>
      <c r="AN21" s="121" t="n">
        <v>180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I23" s="121" t="n">
        <v>75</v>
      </c>
      <c r="AJ23" s="122" t="n">
        <v>75</v>
      </c>
      <c r="AK23" s="122" t="n">
        <v>75</v>
      </c>
      <c r="AL23" s="122" t="n">
        <v>75</v>
      </c>
      <c r="AM23" s="123" t="n">
        <v>75</v>
      </c>
      <c r="AN23" s="121" t="n">
        <v>75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I30" s="121" t="n">
        <v>90</v>
      </c>
      <c r="AJ30" s="122" t="n">
        <v>90</v>
      </c>
      <c r="AK30" s="122" t="n">
        <v>90</v>
      </c>
      <c r="AL30" s="122" t="n">
        <v>90</v>
      </c>
      <c r="AM30" s="123" t="n">
        <v>90</v>
      </c>
      <c r="AN30" s="121" t="n">
        <v>90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I37" s="121" t="n">
        <v>3022</v>
      </c>
      <c r="AJ37" s="122" t="n">
        <v>3022</v>
      </c>
      <c r="AK37" s="122" t="n">
        <v>3022</v>
      </c>
      <c r="AL37" s="122" t="n">
        <v>3022</v>
      </c>
      <c r="AM37" s="123" t="n">
        <v>3022</v>
      </c>
      <c r="AN37" s="121" t="n">
        <v>3022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I38" s="121" t="n">
        <v>996</v>
      </c>
      <c r="AJ38" s="122" t="n">
        <v>996</v>
      </c>
      <c r="AK38" s="122" t="n">
        <v>996</v>
      </c>
      <c r="AL38" s="122" t="n">
        <v>996</v>
      </c>
      <c r="AM38" s="123" t="n">
        <v>996</v>
      </c>
      <c r="AN38" s="121" t="n">
        <v>996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I40" s="121" t="n">
        <v>333</v>
      </c>
      <c r="AJ40" s="122" t="n">
        <v>333</v>
      </c>
      <c r="AK40" s="122" t="n">
        <v>333</v>
      </c>
      <c r="AL40" s="122" t="n">
        <v>333</v>
      </c>
      <c r="AM40" s="123" t="n">
        <v>333</v>
      </c>
      <c r="AN40" s="121" t="n">
        <v>333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I41" s="121" t="n">
        <v>474</v>
      </c>
      <c r="AJ41" s="122" t="n">
        <v>474</v>
      </c>
      <c r="AK41" s="122" t="n">
        <v>474</v>
      </c>
      <c r="AL41" s="122" t="n">
        <v>474</v>
      </c>
      <c r="AM41" s="123" t="n">
        <v>474</v>
      </c>
      <c r="AN41" s="121" t="n">
        <v>474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>
        <v>7.199999999999999</v>
      </c>
      <c r="P60" s="36" t="n">
        <v>6.600000000000001</v>
      </c>
      <c r="Q60" s="36" t="n">
        <v>7.8</v>
      </c>
      <c r="R60" s="36" t="n">
        <v>6</v>
      </c>
      <c r="S60" s="36" t="n">
        <v>7.199999999999999</v>
      </c>
      <c r="T60" s="36" t="n">
        <v>8.399999999999999</v>
      </c>
      <c r="U60" s="36" t="n">
        <v>7.199999999999999</v>
      </c>
      <c r="V60" s="37" t="n"/>
      <c r="W60" s="37" t="n"/>
      <c r="X60" s="37" t="n"/>
      <c r="Y60" s="37" t="n"/>
      <c r="Z60" s="37" t="n"/>
      <c r="AA60" s="35" t="n">
        <v>50.4</v>
      </c>
      <c r="AB60" s="35" t="n">
        <v>50.4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>
        <v>556</v>
      </c>
      <c r="P62" s="36" t="n">
        <v>566</v>
      </c>
      <c r="Q62" s="36" t="n">
        <v>60</v>
      </c>
      <c r="R62" s="36" t="n">
        <v>164</v>
      </c>
      <c r="S62" s="36" t="n">
        <v>195</v>
      </c>
      <c r="T62" s="36" t="n">
        <v>135</v>
      </c>
      <c r="U62" s="36" t="n">
        <v>337</v>
      </c>
      <c r="V62" s="37" t="n"/>
      <c r="W62" s="37" t="n"/>
      <c r="X62" s="37" t="n"/>
      <c r="Y62" s="37" t="n"/>
      <c r="Z62" s="37" t="n"/>
      <c r="AA62" s="35" t="n">
        <v>2013</v>
      </c>
      <c r="AB62" s="35" t="n">
        <v>2013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778</v>
      </c>
      <c r="P69" s="43" t="n">
        <v>787.4</v>
      </c>
      <c r="Q69" s="43" t="n">
        <v>282.6</v>
      </c>
      <c r="R69" s="43" t="n">
        <v>384.8</v>
      </c>
      <c r="S69" s="43" t="n">
        <v>417</v>
      </c>
      <c r="T69" s="43" t="n">
        <v>358.2</v>
      </c>
      <c r="U69" s="43" t="n">
        <v>559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3567</v>
      </c>
      <c r="AB69" s="42" t="n">
        <v>4642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51867.28</v>
      </c>
      <c r="P70" s="54" t="n">
        <v>38028.28</v>
      </c>
      <c r="Q70" s="54" t="n">
        <v>50917.76000000001</v>
      </c>
      <c r="R70" s="54" t="n">
        <v>47387.42999999998</v>
      </c>
      <c r="S70" s="54" t="n">
        <v>34505.20000000002</v>
      </c>
      <c r="T70" s="54" t="n">
        <v>40191.86</v>
      </c>
      <c r="U70" s="54" t="n">
        <v>55722.37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318620.18</v>
      </c>
      <c r="AB70" s="54" t="n">
        <v>449787.83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I8" s="121" t="n">
        <v>38834.29</v>
      </c>
      <c r="AJ8" s="122" t="n">
        <v>38834.29</v>
      </c>
      <c r="AK8" s="122" t="n">
        <v>38834.29</v>
      </c>
      <c r="AL8" s="122" t="n">
        <v>38834.29</v>
      </c>
      <c r="AM8" s="123" t="n">
        <v>38834.29</v>
      </c>
      <c r="AN8" s="121" t="n">
        <v>38834.29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I16" s="121" t="n">
        <v>20507.25</v>
      </c>
      <c r="AJ16" s="122" t="n">
        <v>20507.25</v>
      </c>
      <c r="AK16" s="122" t="n">
        <v>20507.25</v>
      </c>
      <c r="AL16" s="122" t="n">
        <v>20507.25</v>
      </c>
      <c r="AM16" s="123" t="n">
        <v>20507.25</v>
      </c>
      <c r="AN16" s="121" t="n">
        <v>20507.25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I17" s="121" t="n">
        <v>2095.05</v>
      </c>
      <c r="AJ17" s="122" t="n">
        <v>2095.05</v>
      </c>
      <c r="AK17" s="122" t="n">
        <v>2095.05</v>
      </c>
      <c r="AL17" s="122" t="n">
        <v>2095.05</v>
      </c>
      <c r="AM17" s="123" t="n">
        <v>2095.05</v>
      </c>
      <c r="AN17" s="121" t="n">
        <v>2095.05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I18" s="121" t="n">
        <v>345.35</v>
      </c>
      <c r="AJ18" s="122" t="n">
        <v>345.35</v>
      </c>
      <c r="AK18" s="122" t="n">
        <v>345.35</v>
      </c>
      <c r="AL18" s="122" t="n">
        <v>345.35</v>
      </c>
      <c r="AM18" s="123" t="n">
        <v>345.35</v>
      </c>
      <c r="AN18" s="121" t="n">
        <v>345.35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21" t="n">
        <v>34</v>
      </c>
      <c r="AJ19" s="122" t="n">
        <v>34</v>
      </c>
      <c r="AK19" s="122" t="n">
        <v>34</v>
      </c>
      <c r="AL19" s="122" t="n">
        <v>34</v>
      </c>
      <c r="AM19" s="123" t="n">
        <v>34</v>
      </c>
      <c r="AN19" s="121" t="n">
        <v>34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21" t="n">
        <v>70</v>
      </c>
      <c r="AJ21" s="122" t="n">
        <v>70</v>
      </c>
      <c r="AK21" s="122" t="n">
        <v>70</v>
      </c>
      <c r="AL21" s="122" t="n">
        <v>70</v>
      </c>
      <c r="AM21" s="123" t="n">
        <v>70</v>
      </c>
      <c r="AN21" s="121" t="n">
        <v>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21" t="n">
        <v>29</v>
      </c>
      <c r="AJ23" s="122" t="n">
        <v>29</v>
      </c>
      <c r="AK23" s="122" t="n">
        <v>29</v>
      </c>
      <c r="AL23" s="122" t="n">
        <v>29</v>
      </c>
      <c r="AM23" s="123" t="n">
        <v>29</v>
      </c>
      <c r="AN23" s="121" t="n">
        <v>29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I37" s="121" t="n">
        <v>1267</v>
      </c>
      <c r="AJ37" s="122" t="n">
        <v>1267</v>
      </c>
      <c r="AK37" s="122" t="n">
        <v>1267</v>
      </c>
      <c r="AL37" s="122" t="n">
        <v>1267</v>
      </c>
      <c r="AM37" s="123" t="n">
        <v>1267</v>
      </c>
      <c r="AN37" s="121" t="n">
        <v>1267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I38" s="121" t="n">
        <v>2300</v>
      </c>
      <c r="AJ38" s="122" t="n">
        <v>2300</v>
      </c>
      <c r="AK38" s="122" t="n">
        <v>2300</v>
      </c>
      <c r="AL38" s="122" t="n">
        <v>2300</v>
      </c>
      <c r="AM38" s="123" t="n">
        <v>2300</v>
      </c>
      <c r="AN38" s="121" t="n">
        <v>2300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I40" s="121" t="n">
        <v>165</v>
      </c>
      <c r="AJ40" s="122" t="n">
        <v>165</v>
      </c>
      <c r="AK40" s="122" t="n">
        <v>165</v>
      </c>
      <c r="AL40" s="122" t="n">
        <v>165</v>
      </c>
      <c r="AM40" s="123" t="n">
        <v>165</v>
      </c>
      <c r="AN40" s="121" t="n">
        <v>165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I41" s="121" t="n">
        <v>370</v>
      </c>
      <c r="AJ41" s="122" t="n">
        <v>370</v>
      </c>
      <c r="AK41" s="122" t="n">
        <v>370</v>
      </c>
      <c r="AL41" s="122" t="n">
        <v>370</v>
      </c>
      <c r="AM41" s="123" t="n">
        <v>370</v>
      </c>
      <c r="AN41" s="121" t="n">
        <v>370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35677.81999999999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>
        <v>45</v>
      </c>
      <c r="P60" s="36" t="n">
        <v>0</v>
      </c>
      <c r="Q60" s="36" t="n">
        <v>3</v>
      </c>
      <c r="R60" s="36" t="n">
        <v>50.4</v>
      </c>
      <c r="S60" s="36" t="n">
        <v>2.4</v>
      </c>
      <c r="T60" s="36" t="n">
        <v>-12.43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90.77000000000001</v>
      </c>
      <c r="AB60" s="35" t="n">
        <v>90.77000000000001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35</v>
      </c>
      <c r="V62" s="37" t="n"/>
      <c r="W62" s="37" t="n"/>
      <c r="X62" s="37" t="n"/>
      <c r="Y62" s="37" t="n"/>
      <c r="Z62" s="37" t="n"/>
      <c r="AA62" s="35" t="n">
        <v>35</v>
      </c>
      <c r="AB62" s="35" t="n">
        <v>35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259.8</v>
      </c>
      <c r="P69" s="43" t="n">
        <v>214.8</v>
      </c>
      <c r="Q69" s="43" t="n">
        <v>217.8</v>
      </c>
      <c r="R69" s="43" t="n">
        <v>265.2</v>
      </c>
      <c r="S69" s="43" t="n">
        <v>217.2</v>
      </c>
      <c r="T69" s="43" t="n">
        <v>202.37</v>
      </c>
      <c r="U69" s="43" t="n">
        <v>252.2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1629.37</v>
      </c>
      <c r="AB69" s="42" t="n">
        <v>2704.37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31277.12999999999</v>
      </c>
      <c r="O70" s="54" t="n">
        <v>-1855.130000000002</v>
      </c>
      <c r="P70" s="54" t="n">
        <v>-2717.999999999997</v>
      </c>
      <c r="Q70" s="54" t="n">
        <v>-768.8699999999997</v>
      </c>
      <c r="R70" s="54" t="n">
        <v>-5142.979999999999</v>
      </c>
      <c r="S70" s="54" t="n">
        <v>-8888.419999999998</v>
      </c>
      <c r="T70" s="54" t="n">
        <v>-3515.62</v>
      </c>
      <c r="U70" s="55" t="n">
        <v>784.570000000004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-22104.44999999999</v>
      </c>
      <c r="AB70" s="54" t="n">
        <v>-16684.83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46" t="n">
        <v>0</v>
      </c>
      <c r="AK93" s="146" t="n">
        <v>0</v>
      </c>
      <c r="AL93" s="146" t="n">
        <v>0</v>
      </c>
      <c r="AM93" s="146" t="n">
        <v>0</v>
      </c>
      <c r="AN93" s="146" t="n">
        <v>0</v>
      </c>
      <c r="AO93" s="147">
        <f>SUM(AC93:AH93)+SUM(AI93:AN93)</f>
        <v/>
      </c>
      <c r="AP93" s="148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I8" s="121" t="n">
        <v>83711.62</v>
      </c>
      <c r="AJ8" s="122" t="n">
        <v>83711.62</v>
      </c>
      <c r="AK8" s="122" t="n">
        <v>83711.62</v>
      </c>
      <c r="AL8" s="122" t="n">
        <v>83711.62</v>
      </c>
      <c r="AM8" s="123" t="n">
        <v>83711.62</v>
      </c>
      <c r="AN8" s="121" t="n">
        <v>83711.62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822585.03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I16" s="121" t="n">
        <v>47153.07</v>
      </c>
      <c r="AJ16" s="122" t="n">
        <v>47153.07</v>
      </c>
      <c r="AK16" s="122" t="n">
        <v>47153.07</v>
      </c>
      <c r="AL16" s="122" t="n">
        <v>47153.07</v>
      </c>
      <c r="AM16" s="123" t="n">
        <v>47153.07</v>
      </c>
      <c r="AN16" s="121" t="n">
        <v>47153.07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I17" s="121" t="n">
        <v>4813.83</v>
      </c>
      <c r="AJ17" s="122" t="n">
        <v>4813.83</v>
      </c>
      <c r="AK17" s="122" t="n">
        <v>4813.83</v>
      </c>
      <c r="AL17" s="122" t="n">
        <v>4813.83</v>
      </c>
      <c r="AM17" s="123" t="n">
        <v>4813.83</v>
      </c>
      <c r="AN17" s="121" t="n">
        <v>4813.83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I18" s="121" t="n">
        <v>843.4</v>
      </c>
      <c r="AJ18" s="122" t="n">
        <v>843.4</v>
      </c>
      <c r="AK18" s="122" t="n">
        <v>843.4</v>
      </c>
      <c r="AL18" s="122" t="n">
        <v>843.4</v>
      </c>
      <c r="AM18" s="123" t="n">
        <v>843.4</v>
      </c>
      <c r="AN18" s="121" t="n">
        <v>843.4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21" t="n">
        <v>49</v>
      </c>
      <c r="AJ19" s="122" t="n">
        <v>49</v>
      </c>
      <c r="AK19" s="122" t="n">
        <v>49</v>
      </c>
      <c r="AL19" s="122" t="n">
        <v>49</v>
      </c>
      <c r="AM19" s="123" t="n">
        <v>49</v>
      </c>
      <c r="AN19" s="121" t="n">
        <v>49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21" t="n">
        <v>100</v>
      </c>
      <c r="AJ21" s="122" t="n">
        <v>100</v>
      </c>
      <c r="AK21" s="122" t="n">
        <v>100</v>
      </c>
      <c r="AL21" s="122" t="n">
        <v>100</v>
      </c>
      <c r="AM21" s="123" t="n">
        <v>100</v>
      </c>
      <c r="AN21" s="121" t="n">
        <v>100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I37" s="121" t="n">
        <v>873</v>
      </c>
      <c r="AJ37" s="122" t="n">
        <v>873</v>
      </c>
      <c r="AK37" s="122" t="n">
        <v>873</v>
      </c>
      <c r="AL37" s="122" t="n">
        <v>873</v>
      </c>
      <c r="AM37" s="123" t="n">
        <v>873</v>
      </c>
      <c r="AN37" s="121" t="n">
        <v>873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I38" s="121" t="n">
        <v>950</v>
      </c>
      <c r="AJ38" s="122" t="n">
        <v>950</v>
      </c>
      <c r="AK38" s="122" t="n">
        <v>950</v>
      </c>
      <c r="AL38" s="122" t="n">
        <v>950</v>
      </c>
      <c r="AM38" s="123" t="n">
        <v>950</v>
      </c>
      <c r="AN38" s="121" t="n">
        <v>950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I40" s="121" t="n">
        <v>1232</v>
      </c>
      <c r="AJ40" s="122" t="n">
        <v>1232</v>
      </c>
      <c r="AK40" s="122" t="n">
        <v>1232</v>
      </c>
      <c r="AL40" s="122" t="n">
        <v>1232</v>
      </c>
      <c r="AM40" s="123" t="n">
        <v>1232</v>
      </c>
      <c r="AN40" s="121" t="n">
        <v>1232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I41" s="121" t="n">
        <v>413</v>
      </c>
      <c r="AJ41" s="122" t="n">
        <v>413</v>
      </c>
      <c r="AK41" s="122" t="n">
        <v>413</v>
      </c>
      <c r="AL41" s="122" t="n">
        <v>413</v>
      </c>
      <c r="AM41" s="123" t="n">
        <v>413</v>
      </c>
      <c r="AN41" s="121" t="n">
        <v>413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I43" s="121" t="n">
        <v>153</v>
      </c>
      <c r="AJ43" s="122" t="n">
        <v>153</v>
      </c>
      <c r="AK43" s="122" t="n">
        <v>153</v>
      </c>
      <c r="AL43" s="122" t="n">
        <v>153</v>
      </c>
      <c r="AM43" s="123" t="n">
        <v>153</v>
      </c>
      <c r="AN43" s="121" t="n">
        <v>153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0</v>
      </c>
      <c r="V58" s="37" t="n"/>
      <c r="W58" s="37" t="n"/>
      <c r="X58" s="37" t="n"/>
      <c r="Y58" s="37" t="n"/>
      <c r="Z58" s="37" t="n"/>
      <c r="AA58" s="35" t="n">
        <v>256.5</v>
      </c>
      <c r="AB58" s="35" t="n">
        <v>256.5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>
        <v>244.7</v>
      </c>
      <c r="P59" s="36" t="n">
        <v>244.7</v>
      </c>
      <c r="Q59" s="36" t="n">
        <v>244.7</v>
      </c>
      <c r="R59" s="36" t="n">
        <v>244.7</v>
      </c>
      <c r="S59" s="36" t="n">
        <v>244.7</v>
      </c>
      <c r="T59" s="36" t="n">
        <v>244.7</v>
      </c>
      <c r="U59" s="36" t="n">
        <v>244.7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1712.9</v>
      </c>
      <c r="AB59" s="35" t="n">
        <v>2787.9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>
        <v>151.8</v>
      </c>
      <c r="P60" s="36" t="n">
        <v>8.790000000000001</v>
      </c>
      <c r="Q60" s="36" t="n">
        <v>43.65</v>
      </c>
      <c r="R60" s="36" t="n">
        <v>175.8</v>
      </c>
      <c r="S60" s="36" t="n">
        <v>1.8</v>
      </c>
      <c r="T60" s="36" t="n">
        <v>59.3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443.54</v>
      </c>
      <c r="AB60" s="35" t="n">
        <v>443.54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58.25</v>
      </c>
      <c r="P64" s="36" t="n">
        <v>58.25</v>
      </c>
      <c r="Q64" s="36" t="n">
        <v>58.25</v>
      </c>
      <c r="R64" s="36" t="n">
        <v>58.25</v>
      </c>
      <c r="S64" s="36" t="n">
        <v>58.25</v>
      </c>
      <c r="T64" s="36" t="n">
        <v>58.25</v>
      </c>
      <c r="U64" s="36" t="n">
        <v>0</v>
      </c>
      <c r="V64" s="37" t="n"/>
      <c r="W64" s="37" t="n"/>
      <c r="X64" s="37" t="n"/>
      <c r="Y64" s="37" t="n"/>
      <c r="Z64" s="37" t="n"/>
      <c r="AA64" s="35" t="n">
        <v>349.5</v>
      </c>
      <c r="AB64" s="35" t="n">
        <v>349.5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1200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1200</v>
      </c>
      <c r="AB65" s="35" t="n">
        <v>1200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>
        <v>9.99</v>
      </c>
      <c r="P67" s="36" t="n">
        <v>9.99</v>
      </c>
      <c r="Q67" s="36" t="n">
        <v>9.99</v>
      </c>
      <c r="R67" s="36" t="n">
        <v>9.99</v>
      </c>
      <c r="S67" s="36" t="n">
        <v>9.99</v>
      </c>
      <c r="T67" s="36" t="n">
        <v>19.98</v>
      </c>
      <c r="U67" s="36" t="n">
        <v>0</v>
      </c>
      <c r="V67" s="37" t="n"/>
      <c r="W67" s="37" t="n"/>
      <c r="X67" s="37" t="n"/>
      <c r="Y67" s="37" t="n"/>
      <c r="Z67" s="37" t="n"/>
      <c r="AA67" s="35" t="n">
        <v>69.93000000000001</v>
      </c>
      <c r="AB67" s="35" t="n">
        <v>69.93000000000001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</v>
      </c>
      <c r="O69" s="43" t="n">
        <v>507.49</v>
      </c>
      <c r="P69" s="43" t="n">
        <v>364.48</v>
      </c>
      <c r="Q69" s="43" t="n">
        <v>1599.34</v>
      </c>
      <c r="R69" s="43" t="n">
        <v>531.49</v>
      </c>
      <c r="S69" s="43" t="n">
        <v>357.49</v>
      </c>
      <c r="T69" s="43" t="n">
        <v>424.98</v>
      </c>
      <c r="U69" s="43" t="n">
        <v>247.1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4032.37</v>
      </c>
      <c r="AB69" s="42" t="n">
        <v>5107.37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257628.99</v>
      </c>
      <c r="O70" s="54" t="n">
        <v>17202.18</v>
      </c>
      <c r="P70" s="54" t="n">
        <v>38585.12</v>
      </c>
      <c r="Q70" s="54" t="n">
        <v>34988.98</v>
      </c>
      <c r="R70" s="54" t="n">
        <v>37137.91000000001</v>
      </c>
      <c r="S70" s="54" t="n">
        <v>30100.40000000001</v>
      </c>
      <c r="T70" s="54" t="n">
        <v>33046.95</v>
      </c>
      <c r="U70" s="55" t="n">
        <v>44991.89000000001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236053.4300000001</v>
      </c>
      <c r="AB70" s="54" t="n">
        <v>345408.9300000001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A78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A7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Memo</t>
        </is>
      </c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I8" s="121" t="n">
        <v>51026.35</v>
      </c>
      <c r="AJ8" s="122" t="n">
        <v>51026.35</v>
      </c>
      <c r="AK8" s="122" t="n">
        <v>51026.35</v>
      </c>
      <c r="AL8" s="122" t="n">
        <v>51026.35</v>
      </c>
      <c r="AM8" s="123" t="n">
        <v>51026.35</v>
      </c>
      <c r="AN8" s="121" t="n">
        <v>51026.35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I16" s="121" t="n">
        <v>36454.3</v>
      </c>
      <c r="AJ16" s="122" t="n">
        <v>36454.3</v>
      </c>
      <c r="AK16" s="122" t="n">
        <v>36454.3</v>
      </c>
      <c r="AL16" s="122" t="n">
        <v>36454.3</v>
      </c>
      <c r="AM16" s="123" t="n">
        <v>36454.3</v>
      </c>
      <c r="AN16" s="121" t="n">
        <v>36454.3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I17" s="121" t="n">
        <v>4331.47</v>
      </c>
      <c r="AJ17" s="122" t="n">
        <v>4331.47</v>
      </c>
      <c r="AK17" s="122" t="n">
        <v>4331.47</v>
      </c>
      <c r="AL17" s="122" t="n">
        <v>4331.47</v>
      </c>
      <c r="AM17" s="123" t="n">
        <v>4331.47</v>
      </c>
      <c r="AN17" s="121" t="n">
        <v>4331.47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I18" s="121" t="n">
        <v>650.65</v>
      </c>
      <c r="AJ18" s="122" t="n">
        <v>650.65</v>
      </c>
      <c r="AK18" s="122" t="n">
        <v>650.65</v>
      </c>
      <c r="AL18" s="122" t="n">
        <v>650.65</v>
      </c>
      <c r="AM18" s="123" t="n">
        <v>650.65</v>
      </c>
      <c r="AN18" s="121" t="n">
        <v>650.65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I19" s="121" t="n">
        <v>73.35000000000001</v>
      </c>
      <c r="AJ19" s="122" t="n">
        <v>73.35000000000001</v>
      </c>
      <c r="AK19" s="122" t="n">
        <v>73.35000000000001</v>
      </c>
      <c r="AL19" s="122" t="n">
        <v>73.35000000000001</v>
      </c>
      <c r="AM19" s="123" t="n">
        <v>73.35000000000001</v>
      </c>
      <c r="AN19" s="121" t="n">
        <v>73.35000000000001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21" t="n">
        <v>150</v>
      </c>
      <c r="AJ21" s="122" t="n">
        <v>150</v>
      </c>
      <c r="AK21" s="122" t="n">
        <v>150</v>
      </c>
      <c r="AL21" s="122" t="n">
        <v>150</v>
      </c>
      <c r="AM21" s="123" t="n">
        <v>150</v>
      </c>
      <c r="AN21" s="121" t="n">
        <v>150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I23" s="121" t="n">
        <v>63</v>
      </c>
      <c r="AJ23" s="122" t="n">
        <v>63</v>
      </c>
      <c r="AK23" s="122" t="n">
        <v>63</v>
      </c>
      <c r="AL23" s="122" t="n">
        <v>63</v>
      </c>
      <c r="AM23" s="123" t="n">
        <v>63</v>
      </c>
      <c r="AN23" s="121" t="n">
        <v>63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I37" s="121" t="n">
        <v>1503</v>
      </c>
      <c r="AJ37" s="122" t="n">
        <v>1503</v>
      </c>
      <c r="AK37" s="122" t="n">
        <v>1503</v>
      </c>
      <c r="AL37" s="122" t="n">
        <v>1503</v>
      </c>
      <c r="AM37" s="123" t="n">
        <v>1503</v>
      </c>
      <c r="AN37" s="121" t="n">
        <v>1503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</v>
      </c>
      <c r="Q38" s="36" t="n">
        <v>662.26</v>
      </c>
      <c r="R38" s="36" t="n">
        <v>865.9299999999999</v>
      </c>
      <c r="S38" s="36" t="n">
        <v>733.6799999999999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I38" s="121" t="n">
        <v>840</v>
      </c>
      <c r="AJ38" s="122" t="n">
        <v>840</v>
      </c>
      <c r="AK38" s="122" t="n">
        <v>840</v>
      </c>
      <c r="AL38" s="122" t="n">
        <v>840</v>
      </c>
      <c r="AM38" s="123" t="n">
        <v>840</v>
      </c>
      <c r="AN38" s="121" t="n">
        <v>840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I40" s="121" t="n">
        <v>242</v>
      </c>
      <c r="AJ40" s="122" t="n">
        <v>242</v>
      </c>
      <c r="AK40" s="122" t="n">
        <v>242</v>
      </c>
      <c r="AL40" s="122" t="n">
        <v>242</v>
      </c>
      <c r="AM40" s="123" t="n">
        <v>242</v>
      </c>
      <c r="AN40" s="121" t="n">
        <v>242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I41" s="121" t="n">
        <v>298</v>
      </c>
      <c r="AJ41" s="122" t="n">
        <v>298</v>
      </c>
      <c r="AK41" s="122" t="n">
        <v>298</v>
      </c>
      <c r="AL41" s="122" t="n">
        <v>298</v>
      </c>
      <c r="AM41" s="123" t="n">
        <v>298</v>
      </c>
      <c r="AN41" s="121" t="n">
        <v>298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42930.08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>
        <v>79.8</v>
      </c>
      <c r="P60" s="36" t="n">
        <v>15.98</v>
      </c>
      <c r="Q60" s="36" t="n">
        <v>9.59</v>
      </c>
      <c r="R60" s="36" t="n">
        <v>-124.6</v>
      </c>
      <c r="S60" s="36" t="n">
        <v>2.4</v>
      </c>
      <c r="T60" s="36" t="n">
        <v>-20.26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-34.69</v>
      </c>
      <c r="AB60" s="35" t="n">
        <v>-34.69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220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294.6</v>
      </c>
      <c r="P69" s="43" t="n">
        <v>230.78</v>
      </c>
      <c r="Q69" s="43" t="n">
        <v>444.39</v>
      </c>
      <c r="R69" s="43" t="n">
        <v>90.20000000000002</v>
      </c>
      <c r="S69" s="43" t="n">
        <v>217.2</v>
      </c>
      <c r="T69" s="43" t="n">
        <v>319.14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1813.51</v>
      </c>
      <c r="AB69" s="42" t="n">
        <v>2888.51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164055.69</v>
      </c>
      <c r="O70" s="54" t="n">
        <v>397.970000000007</v>
      </c>
      <c r="P70" s="54" t="n">
        <v>19974.57</v>
      </c>
      <c r="Q70" s="54" t="n">
        <v>23334.38999999999</v>
      </c>
      <c r="R70" s="54" t="n">
        <v>21539.00999999999</v>
      </c>
      <c r="S70" s="54" t="n">
        <v>13831.96</v>
      </c>
      <c r="T70" s="54" t="n">
        <v>11909.56</v>
      </c>
      <c r="U70" s="55" t="n">
        <v>27556.5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118543.96</v>
      </c>
      <c r="AB70" s="54" t="n">
        <v>138983.1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4">
        <f>SUM(AC80:AH80)+SUM(AI80:AN80)</f>
        <v/>
      </c>
      <c r="AP80" s="139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I8" s="121" t="n">
        <v>39588.43</v>
      </c>
      <c r="AJ8" s="122" t="n">
        <v>39588.43</v>
      </c>
      <c r="AK8" s="122" t="n">
        <v>39588.43</v>
      </c>
      <c r="AL8" s="122" t="n">
        <v>39588.43</v>
      </c>
      <c r="AM8" s="123" t="n">
        <v>39588.43</v>
      </c>
      <c r="AN8" s="121" t="n">
        <v>39588.43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I16" s="121" t="n">
        <v>23764.36</v>
      </c>
      <c r="AJ16" s="122" t="n">
        <v>23764.36</v>
      </c>
      <c r="AK16" s="122" t="n">
        <v>23764.36</v>
      </c>
      <c r="AL16" s="122" t="n">
        <v>23764.36</v>
      </c>
      <c r="AM16" s="123" t="n">
        <v>23764.36</v>
      </c>
      <c r="AN16" s="121" t="n">
        <v>23764.36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I17" s="121" t="n">
        <v>2504.85</v>
      </c>
      <c r="AJ17" s="122" t="n">
        <v>2504.85</v>
      </c>
      <c r="AK17" s="122" t="n">
        <v>2504.85</v>
      </c>
      <c r="AL17" s="122" t="n">
        <v>2504.85</v>
      </c>
      <c r="AM17" s="123" t="n">
        <v>2504.85</v>
      </c>
      <c r="AN17" s="121" t="n">
        <v>2504.85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I18" s="121" t="n">
        <v>417</v>
      </c>
      <c r="AJ18" s="122" t="n">
        <v>417</v>
      </c>
      <c r="AK18" s="122" t="n">
        <v>417</v>
      </c>
      <c r="AL18" s="122" t="n">
        <v>417</v>
      </c>
      <c r="AM18" s="123" t="n">
        <v>417</v>
      </c>
      <c r="AN18" s="121" t="n">
        <v>417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I19" s="121" t="n">
        <v>60</v>
      </c>
      <c r="AJ19" s="122" t="n">
        <v>60</v>
      </c>
      <c r="AK19" s="122" t="n">
        <v>60</v>
      </c>
      <c r="AL19" s="122" t="n">
        <v>60</v>
      </c>
      <c r="AM19" s="123" t="n">
        <v>60</v>
      </c>
      <c r="AN19" s="121" t="n">
        <v>60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21" t="n">
        <v>120</v>
      </c>
      <c r="AJ21" s="122" t="n">
        <v>120</v>
      </c>
      <c r="AK21" s="122" t="n">
        <v>120</v>
      </c>
      <c r="AL21" s="122" t="n">
        <v>120</v>
      </c>
      <c r="AM21" s="123" t="n">
        <v>120</v>
      </c>
      <c r="AN21" s="121" t="n">
        <v>120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21" t="n">
        <v>50</v>
      </c>
      <c r="AJ23" s="122" t="n">
        <v>50</v>
      </c>
      <c r="AK23" s="122" t="n">
        <v>50</v>
      </c>
      <c r="AL23" s="122" t="n">
        <v>50</v>
      </c>
      <c r="AM23" s="123" t="n">
        <v>50</v>
      </c>
      <c r="AN23" s="121" t="n">
        <v>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I37" s="121" t="n">
        <v>1500.96</v>
      </c>
      <c r="AJ37" s="122" t="n">
        <v>1500.96</v>
      </c>
      <c r="AK37" s="122" t="n">
        <v>1500.96</v>
      </c>
      <c r="AL37" s="122" t="n">
        <v>1500.96</v>
      </c>
      <c r="AM37" s="123" t="n">
        <v>1500.96</v>
      </c>
      <c r="AN37" s="121" t="n">
        <v>1500.96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I38" s="121" t="n">
        <v>1038</v>
      </c>
      <c r="AJ38" s="122" t="n">
        <v>1038</v>
      </c>
      <c r="AK38" s="122" t="n">
        <v>1038</v>
      </c>
      <c r="AL38" s="122" t="n">
        <v>1038</v>
      </c>
      <c r="AM38" s="123" t="n">
        <v>1038</v>
      </c>
      <c r="AN38" s="121" t="n">
        <v>1038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I40" s="121" t="n">
        <v>257</v>
      </c>
      <c r="AJ40" s="122" t="n">
        <v>257</v>
      </c>
      <c r="AK40" s="122" t="n">
        <v>257</v>
      </c>
      <c r="AL40" s="122" t="n">
        <v>257</v>
      </c>
      <c r="AM40" s="123" t="n">
        <v>257</v>
      </c>
      <c r="AN40" s="121" t="n">
        <v>257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I41" s="121" t="n">
        <v>330</v>
      </c>
      <c r="AJ41" s="122" t="n">
        <v>330</v>
      </c>
      <c r="AK41" s="122" t="n">
        <v>330</v>
      </c>
      <c r="AL41" s="122" t="n">
        <v>330</v>
      </c>
      <c r="AM41" s="123" t="n">
        <v>330</v>
      </c>
      <c r="AN41" s="121" t="n">
        <v>330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>
        <v>6.6</v>
      </c>
      <c r="P60" s="36" t="n">
        <v>7.199999999999999</v>
      </c>
      <c r="Q60" s="36" t="n">
        <v>42.96</v>
      </c>
      <c r="R60" s="36" t="n">
        <v>4.8</v>
      </c>
      <c r="S60" s="36" t="n">
        <v>5.399999999999999</v>
      </c>
      <c r="T60" s="36" t="n">
        <v>6.6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78.95999999999999</v>
      </c>
      <c r="AB60" s="35" t="n">
        <v>78.95999999999999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>
        <v>65</v>
      </c>
      <c r="P62" s="36" t="n">
        <v>25</v>
      </c>
      <c r="Q62" s="36" t="n">
        <v>0</v>
      </c>
      <c r="R62" s="36" t="n">
        <v>62.34</v>
      </c>
      <c r="S62" s="36" t="n">
        <v>0</v>
      </c>
      <c r="T62" s="36" t="n">
        <v>0</v>
      </c>
      <c r="U62" s="36" t="n">
        <v>20.66</v>
      </c>
      <c r="V62" s="37" t="n"/>
      <c r="W62" s="37" t="n"/>
      <c r="X62" s="37" t="n"/>
      <c r="Y62" s="37" t="n"/>
      <c r="Z62" s="37" t="n"/>
      <c r="AA62" s="35" t="n">
        <v>173</v>
      </c>
      <c r="AB62" s="35" t="n">
        <v>173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220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286.4</v>
      </c>
      <c r="P69" s="43" t="n">
        <v>247</v>
      </c>
      <c r="Q69" s="43" t="n">
        <v>257.76</v>
      </c>
      <c r="R69" s="43" t="n">
        <v>281.94</v>
      </c>
      <c r="S69" s="43" t="n">
        <v>440.2</v>
      </c>
      <c r="T69" s="43" t="n">
        <v>221.4</v>
      </c>
      <c r="U69" s="43" t="n">
        <v>240.86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1975.56</v>
      </c>
      <c r="AB69" s="42" t="n">
        <v>3050.56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24612.42</v>
      </c>
      <c r="P70" s="54" t="n">
        <v>20049.3</v>
      </c>
      <c r="Q70" s="54" t="n">
        <v>37130.77999999999</v>
      </c>
      <c r="R70" s="54" t="n">
        <v>26418.21999999998</v>
      </c>
      <c r="S70" s="54" t="n">
        <v>20133.75999999999</v>
      </c>
      <c r="T70" s="54" t="n">
        <v>40250.37</v>
      </c>
      <c r="U70" s="54" t="n">
        <v>38703.16000000002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207298.01</v>
      </c>
      <c r="AB70" s="54" t="n">
        <v>273293.82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I8" s="121" t="n">
        <v>46211.46</v>
      </c>
      <c r="AJ8" s="122" t="n">
        <v>46211.46</v>
      </c>
      <c r="AK8" s="122" t="n">
        <v>46211.46</v>
      </c>
      <c r="AL8" s="122" t="n">
        <v>46211.46</v>
      </c>
      <c r="AM8" s="123" t="n">
        <v>46211.46</v>
      </c>
      <c r="AN8" s="121" t="n">
        <v>46211.46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I16" s="121" t="n">
        <v>23746</v>
      </c>
      <c r="AJ16" s="122" t="n">
        <v>23746</v>
      </c>
      <c r="AK16" s="122" t="n">
        <v>23746</v>
      </c>
      <c r="AL16" s="122" t="n">
        <v>23746</v>
      </c>
      <c r="AM16" s="123" t="n">
        <v>23746</v>
      </c>
      <c r="AN16" s="121" t="n">
        <v>23746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I17" s="121" t="n">
        <v>2720</v>
      </c>
      <c r="AJ17" s="122" t="n">
        <v>2720</v>
      </c>
      <c r="AK17" s="122" t="n">
        <v>2720</v>
      </c>
      <c r="AL17" s="122" t="n">
        <v>2720</v>
      </c>
      <c r="AM17" s="123" t="n">
        <v>2720</v>
      </c>
      <c r="AN17" s="121" t="n">
        <v>2720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I18" s="121" t="n">
        <v>398</v>
      </c>
      <c r="AJ18" s="122" t="n">
        <v>398</v>
      </c>
      <c r="AK18" s="122" t="n">
        <v>398</v>
      </c>
      <c r="AL18" s="122" t="n">
        <v>398</v>
      </c>
      <c r="AM18" s="123" t="n">
        <v>398</v>
      </c>
      <c r="AN18" s="121" t="n">
        <v>398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I19" s="121" t="n">
        <v>59</v>
      </c>
      <c r="AJ19" s="122" t="n">
        <v>59</v>
      </c>
      <c r="AK19" s="122" t="n">
        <v>59</v>
      </c>
      <c r="AL19" s="122" t="n">
        <v>59</v>
      </c>
      <c r="AM19" s="123" t="n">
        <v>59</v>
      </c>
      <c r="AN19" s="121" t="n">
        <v>59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21" t="n">
        <v>120</v>
      </c>
      <c r="AJ21" s="122" t="n">
        <v>120</v>
      </c>
      <c r="AK21" s="122" t="n">
        <v>120</v>
      </c>
      <c r="AL21" s="122" t="n">
        <v>120</v>
      </c>
      <c r="AM21" s="123" t="n">
        <v>120</v>
      </c>
      <c r="AN21" s="121" t="n">
        <v>120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21" t="n">
        <v>50</v>
      </c>
      <c r="AJ23" s="122" t="n">
        <v>50</v>
      </c>
      <c r="AK23" s="122" t="n">
        <v>50</v>
      </c>
      <c r="AL23" s="122" t="n">
        <v>50</v>
      </c>
      <c r="AM23" s="123" t="n">
        <v>50</v>
      </c>
      <c r="AN23" s="121" t="n">
        <v>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I37" s="121" t="n">
        <v>2199.758333333333</v>
      </c>
      <c r="AJ37" s="122" t="n">
        <v>2199.758333333333</v>
      </c>
      <c r="AK37" s="122" t="n">
        <v>2199.758333333333</v>
      </c>
      <c r="AL37" s="122" t="n">
        <v>2199.758333333333</v>
      </c>
      <c r="AM37" s="123" t="n">
        <v>2199.758333333333</v>
      </c>
      <c r="AN37" s="121" t="n">
        <v>2199.758333333333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I38" s="121" t="n">
        <v>1655</v>
      </c>
      <c r="AJ38" s="122" t="n">
        <v>1655</v>
      </c>
      <c r="AK38" s="122" t="n">
        <v>1655</v>
      </c>
      <c r="AL38" s="122" t="n">
        <v>1655</v>
      </c>
      <c r="AM38" s="123" t="n">
        <v>1655</v>
      </c>
      <c r="AN38" s="121" t="n">
        <v>1655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I40" s="121" t="n">
        <v>287</v>
      </c>
      <c r="AJ40" s="122" t="n">
        <v>287</v>
      </c>
      <c r="AK40" s="122" t="n">
        <v>287</v>
      </c>
      <c r="AL40" s="122" t="n">
        <v>287</v>
      </c>
      <c r="AM40" s="123" t="n">
        <v>287</v>
      </c>
      <c r="AN40" s="121" t="n">
        <v>287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I41" s="121" t="n">
        <v>313</v>
      </c>
      <c r="AJ41" s="122" t="n">
        <v>313</v>
      </c>
      <c r="AK41" s="122" t="n">
        <v>313</v>
      </c>
      <c r="AL41" s="122" t="n">
        <v>313</v>
      </c>
      <c r="AM41" s="123" t="n">
        <v>313</v>
      </c>
      <c r="AN41" s="121" t="n">
        <v>313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>
        <v>61.8</v>
      </c>
      <c r="P60" s="36" t="n">
        <v>1.2</v>
      </c>
      <c r="Q60" s="36" t="n">
        <v>1.2</v>
      </c>
      <c r="R60" s="36" t="n">
        <v>380.88</v>
      </c>
      <c r="S60" s="36" t="n">
        <v>14.4</v>
      </c>
      <c r="T60" s="36" t="n">
        <v>14.4</v>
      </c>
      <c r="U60" s="36" t="n">
        <v>14.4</v>
      </c>
      <c r="V60" s="37" t="n"/>
      <c r="W60" s="37" t="n"/>
      <c r="X60" s="37" t="n"/>
      <c r="Y60" s="37" t="n"/>
      <c r="Z60" s="37" t="n"/>
      <c r="AA60" s="35" t="n">
        <v>488.28</v>
      </c>
      <c r="AB60" s="35" t="n">
        <v>488.28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178</v>
      </c>
      <c r="P66" s="36" t="n">
        <v>176</v>
      </c>
      <c r="Q66" s="36" t="n">
        <v>175</v>
      </c>
      <c r="R66" s="36" t="n">
        <v>173</v>
      </c>
      <c r="S66" s="36" t="n">
        <v>172</v>
      </c>
      <c r="T66" s="36" t="n">
        <v>170</v>
      </c>
      <c r="U66" s="36" t="n">
        <v>169</v>
      </c>
      <c r="V66" s="37" t="n"/>
      <c r="W66" s="37" t="n"/>
      <c r="X66" s="37" t="n"/>
      <c r="Y66" s="37" t="n"/>
      <c r="Z66" s="37" t="n"/>
      <c r="AA66" s="35" t="n">
        <v>1213</v>
      </c>
      <c r="AB66" s="35" t="n">
        <v>1213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454.6</v>
      </c>
      <c r="P69" s="43" t="n">
        <v>392</v>
      </c>
      <c r="Q69" s="43" t="n">
        <v>391</v>
      </c>
      <c r="R69" s="43" t="n">
        <v>768.6800000000001</v>
      </c>
      <c r="S69" s="43" t="n">
        <v>401.2</v>
      </c>
      <c r="T69" s="43" t="n">
        <v>399.2</v>
      </c>
      <c r="U69" s="43" t="n">
        <v>398.2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3204.88</v>
      </c>
      <c r="AB69" s="42" t="n">
        <v>4279.88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2831.15</v>
      </c>
      <c r="P70" s="54" t="n">
        <v>5822.190000000002</v>
      </c>
      <c r="Q70" s="54" t="n">
        <v>5663.730000000003</v>
      </c>
      <c r="R70" s="54" t="n">
        <v>12371.96</v>
      </c>
      <c r="S70" s="54" t="n">
        <v>12995.6</v>
      </c>
      <c r="T70" s="54" t="n">
        <v>10813.93999999999</v>
      </c>
      <c r="U70" s="54" t="n">
        <v>16165.92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66664.49000000001</v>
      </c>
      <c r="AB70" s="54" t="n">
        <v>105289.1083333334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I8" s="121" t="n">
        <v>16601.21</v>
      </c>
      <c r="AJ8" s="122" t="n">
        <v>16601.21</v>
      </c>
      <c r="AK8" s="122" t="n">
        <v>16601.21</v>
      </c>
      <c r="AL8" s="122" t="n">
        <v>16601.21</v>
      </c>
      <c r="AM8" s="123" t="n">
        <v>16601.21</v>
      </c>
      <c r="AN8" s="121" t="n">
        <v>16601.21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I16" s="121" t="n">
        <v>17344.06</v>
      </c>
      <c r="AJ16" s="122" t="n">
        <v>17344.06</v>
      </c>
      <c r="AK16" s="122" t="n">
        <v>17344.06</v>
      </c>
      <c r="AL16" s="122" t="n">
        <v>17344.06</v>
      </c>
      <c r="AM16" s="123" t="n">
        <v>17344.06</v>
      </c>
      <c r="AN16" s="121" t="n">
        <v>17344.06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I17" s="121" t="n">
        <v>1940.36</v>
      </c>
      <c r="AJ17" s="122" t="n">
        <v>1940.36</v>
      </c>
      <c r="AK17" s="122" t="n">
        <v>1940.36</v>
      </c>
      <c r="AL17" s="122" t="n">
        <v>1940.36</v>
      </c>
      <c r="AM17" s="123" t="n">
        <v>1940.36</v>
      </c>
      <c r="AN17" s="121" t="n">
        <v>1940.36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I18" s="121" t="n">
        <v>282.56</v>
      </c>
      <c r="AJ18" s="122" t="n">
        <v>282.56</v>
      </c>
      <c r="AK18" s="122" t="n">
        <v>282.56</v>
      </c>
      <c r="AL18" s="122" t="n">
        <v>282.56</v>
      </c>
      <c r="AM18" s="123" t="n">
        <v>282.56</v>
      </c>
      <c r="AN18" s="121" t="n">
        <v>282.56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21" t="n">
        <v>34</v>
      </c>
      <c r="AJ19" s="122" t="n">
        <v>34</v>
      </c>
      <c r="AK19" s="122" t="n">
        <v>34</v>
      </c>
      <c r="AL19" s="122" t="n">
        <v>34</v>
      </c>
      <c r="AM19" s="123" t="n">
        <v>34</v>
      </c>
      <c r="AN19" s="121" t="n">
        <v>34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21" t="n">
        <v>70</v>
      </c>
      <c r="AJ21" s="122" t="n">
        <v>70</v>
      </c>
      <c r="AK21" s="122" t="n">
        <v>70</v>
      </c>
      <c r="AL21" s="122" t="n">
        <v>70</v>
      </c>
      <c r="AM21" s="123" t="n">
        <v>70</v>
      </c>
      <c r="AN21" s="121" t="n">
        <v>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21" t="n">
        <v>29</v>
      </c>
      <c r="AJ23" s="122" t="n">
        <v>29</v>
      </c>
      <c r="AK23" s="122" t="n">
        <v>29</v>
      </c>
      <c r="AL23" s="122" t="n">
        <v>29</v>
      </c>
      <c r="AM23" s="123" t="n">
        <v>29</v>
      </c>
      <c r="AN23" s="121" t="n">
        <v>29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I30" s="121" t="n">
        <v>70</v>
      </c>
      <c r="AJ30" s="122" t="n">
        <v>70</v>
      </c>
      <c r="AK30" s="122" t="n">
        <v>70</v>
      </c>
      <c r="AL30" s="122" t="n">
        <v>70</v>
      </c>
      <c r="AM30" s="123" t="n">
        <v>70</v>
      </c>
      <c r="AN30" s="121" t="n">
        <v>70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I37" s="121" t="n">
        <v>765</v>
      </c>
      <c r="AJ37" s="122" t="n">
        <v>765</v>
      </c>
      <c r="AK37" s="122" t="n">
        <v>765</v>
      </c>
      <c r="AL37" s="122" t="n">
        <v>765</v>
      </c>
      <c r="AM37" s="123" t="n">
        <v>765</v>
      </c>
      <c r="AN37" s="121" t="n">
        <v>765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I38" s="121" t="n">
        <v>1340</v>
      </c>
      <c r="AJ38" s="122" t="n">
        <v>1340</v>
      </c>
      <c r="AK38" s="122" t="n">
        <v>1340</v>
      </c>
      <c r="AL38" s="122" t="n">
        <v>1340</v>
      </c>
      <c r="AM38" s="123" t="n">
        <v>1340</v>
      </c>
      <c r="AN38" s="121" t="n">
        <v>1340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I40" s="121" t="n">
        <v>128</v>
      </c>
      <c r="AJ40" s="122" t="n">
        <v>128</v>
      </c>
      <c r="AK40" s="122" t="n">
        <v>128</v>
      </c>
      <c r="AL40" s="122" t="n">
        <v>128</v>
      </c>
      <c r="AM40" s="123" t="n">
        <v>128</v>
      </c>
      <c r="AN40" s="121" t="n">
        <v>128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I41" s="121" t="n">
        <v>414</v>
      </c>
      <c r="AJ41" s="122" t="n">
        <v>414</v>
      </c>
      <c r="AK41" s="122" t="n">
        <v>414</v>
      </c>
      <c r="AL41" s="122" t="n">
        <v>414</v>
      </c>
      <c r="AM41" s="123" t="n">
        <v>414</v>
      </c>
      <c r="AN41" s="121" t="n">
        <v>414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I45" s="121" t="n">
        <v>138</v>
      </c>
      <c r="AJ45" s="122" t="n">
        <v>138</v>
      </c>
      <c r="AK45" s="122" t="n">
        <v>138</v>
      </c>
      <c r="AL45" s="122" t="n">
        <v>138</v>
      </c>
      <c r="AM45" s="123" t="n">
        <v>138</v>
      </c>
      <c r="AN45" s="121" t="n">
        <v>138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6575.920000000004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45</v>
      </c>
      <c r="V58" s="37" t="n"/>
      <c r="W58" s="37" t="n"/>
      <c r="X58" s="37" t="n"/>
      <c r="Y58" s="37" t="n"/>
      <c r="Z58" s="37" t="n"/>
      <c r="AA58" s="35" t="n">
        <v>301.5</v>
      </c>
      <c r="AB58" s="35" t="n">
        <v>301.5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29.4</v>
      </c>
      <c r="P60" s="36" t="n">
        <v>2.4</v>
      </c>
      <c r="Q60" s="36" t="n">
        <v>1.8</v>
      </c>
      <c r="R60" s="36" t="n">
        <v>30</v>
      </c>
      <c r="S60" s="36" t="n">
        <v>3</v>
      </c>
      <c r="T60" s="36" t="n">
        <v>1.8</v>
      </c>
      <c r="U60" s="36" t="n">
        <v>3.6</v>
      </c>
      <c r="V60" s="37" t="n"/>
      <c r="W60" s="37" t="n"/>
      <c r="X60" s="37" t="n"/>
      <c r="Y60" s="37" t="n"/>
      <c r="Z60" s="37" t="n"/>
      <c r="AA60" s="35" t="n">
        <v>72</v>
      </c>
      <c r="AB60" s="35" t="n">
        <v>72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190</v>
      </c>
      <c r="P66" s="36" t="n">
        <v>187</v>
      </c>
      <c r="Q66" s="36" t="n">
        <v>183</v>
      </c>
      <c r="R66" s="36" t="n">
        <v>179</v>
      </c>
      <c r="S66" s="36" t="n">
        <v>175</v>
      </c>
      <c r="T66" s="36" t="n">
        <v>171</v>
      </c>
      <c r="U66" s="36" t="n">
        <v>167</v>
      </c>
      <c r="V66" s="37" t="n"/>
      <c r="W66" s="37" t="n"/>
      <c r="X66" s="37" t="n"/>
      <c r="Y66" s="37" t="n"/>
      <c r="Z66" s="37" t="n"/>
      <c r="AA66" s="35" t="n">
        <v>1252</v>
      </c>
      <c r="AB66" s="35" t="n">
        <v>1252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476.95</v>
      </c>
      <c r="P69" s="43" t="n">
        <v>446.95</v>
      </c>
      <c r="Q69" s="43" t="n">
        <v>442.35</v>
      </c>
      <c r="R69" s="43" t="n">
        <v>466.55</v>
      </c>
      <c r="S69" s="43" t="n">
        <v>435.55</v>
      </c>
      <c r="T69" s="43" t="n">
        <v>430.35</v>
      </c>
      <c r="U69" s="43" t="n">
        <v>430.4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3129.1</v>
      </c>
      <c r="AB69" s="42" t="n">
        <v>4204.1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2418.700000000003</v>
      </c>
      <c r="O70" s="54" t="n">
        <v>-7569.639999999997</v>
      </c>
      <c r="P70" s="54" t="n">
        <v>-7156.48</v>
      </c>
      <c r="Q70" s="54" t="n">
        <v>-27111.45</v>
      </c>
      <c r="R70" s="54" t="n">
        <v>-10066.73</v>
      </c>
      <c r="S70" s="54" t="n">
        <v>-9105.749999999996</v>
      </c>
      <c r="T70" s="54" t="n">
        <v>-4977.610000000002</v>
      </c>
      <c r="U70" s="54" t="n">
        <v>-6575.679999999998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-72563.34</v>
      </c>
      <c r="AB70" s="54" t="n">
        <v>-116121.24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>
        <v>0</v>
      </c>
      <c r="P10" s="36" t="n">
        <v>0</v>
      </c>
      <c r="Q10" s="36" t="n">
        <v>0</v>
      </c>
      <c r="R10" s="36" t="n">
        <v>172.14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172.14</v>
      </c>
      <c r="AB10" s="35" t="n">
        <v>172.14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172.14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172.14</v>
      </c>
      <c r="AB11" s="42" t="n">
        <v>172.14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387.07</v>
      </c>
      <c r="U19" s="36" t="n">
        <v>0</v>
      </c>
      <c r="V19" s="37" t="n"/>
      <c r="W19" s="37" t="n"/>
      <c r="X19" s="37" t="n"/>
      <c r="Y19" s="37" t="n"/>
      <c r="Z19" s="37" t="n"/>
      <c r="AA19" s="35" t="n">
        <v>387.07</v>
      </c>
      <c r="AB19" s="35" t="n">
        <v>387.07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>
        <v>493.2</v>
      </c>
      <c r="P20" s="36" t="n">
        <v>2522.46</v>
      </c>
      <c r="Q20" s="36" t="n">
        <v>2024.48</v>
      </c>
      <c r="R20" s="36" t="n">
        <v>4208.4</v>
      </c>
      <c r="S20" s="36" t="n">
        <v>596</v>
      </c>
      <c r="T20" s="36" t="n">
        <v>1334</v>
      </c>
      <c r="U20" s="36" t="n">
        <v>1782</v>
      </c>
      <c r="V20" s="37" t="n"/>
      <c r="W20" s="37" t="n"/>
      <c r="X20" s="37" t="n"/>
      <c r="Y20" s="37" t="n"/>
      <c r="Z20" s="37" t="n"/>
      <c r="AA20" s="35" t="n">
        <v>12960.54</v>
      </c>
      <c r="AB20" s="35" t="n">
        <v>12960.54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>
        <v>265.89</v>
      </c>
      <c r="P21" s="36" t="n">
        <v>485.88</v>
      </c>
      <c r="Q21" s="36" t="n">
        <v>738.96</v>
      </c>
      <c r="R21" s="36" t="n">
        <v>565.87</v>
      </c>
      <c r="S21" s="36" t="n">
        <v>319.87</v>
      </c>
      <c r="T21" s="36" t="n">
        <v>617.22</v>
      </c>
      <c r="U21" s="36" t="n">
        <v>207.09</v>
      </c>
      <c r="V21" s="37" t="n"/>
      <c r="W21" s="37" t="n"/>
      <c r="X21" s="37" t="n"/>
      <c r="Y21" s="37" t="n"/>
      <c r="Z21" s="37" t="n"/>
      <c r="AA21" s="35" t="n">
        <v>3200.78</v>
      </c>
      <c r="AB21" s="35" t="n">
        <v>3200.78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>
        <v>1338.5</v>
      </c>
      <c r="P22" s="36" t="n">
        <v>80.67</v>
      </c>
      <c r="Q22" s="36" t="n">
        <v>33.64</v>
      </c>
      <c r="R22" s="36" t="n">
        <v>321.2</v>
      </c>
      <c r="S22" s="36" t="n">
        <v>139.75</v>
      </c>
      <c r="T22" s="36" t="n">
        <v>52.01</v>
      </c>
      <c r="U22" s="36" t="n">
        <v>0</v>
      </c>
      <c r="V22" s="37" t="n"/>
      <c r="W22" s="37" t="n"/>
      <c r="X22" s="37" t="n"/>
      <c r="Y22" s="37" t="n"/>
      <c r="Z22" s="37" t="n"/>
      <c r="AA22" s="35" t="n">
        <v>1965.77</v>
      </c>
      <c r="AB22" s="35" t="n">
        <v>1965.77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>
        <v>450</v>
      </c>
      <c r="P23" s="36" t="n">
        <v>450</v>
      </c>
      <c r="Q23" s="36" t="n">
        <v>130</v>
      </c>
      <c r="R23" s="36" t="n">
        <v>200</v>
      </c>
      <c r="S23" s="36" t="n">
        <v>780</v>
      </c>
      <c r="T23" s="36" t="n">
        <v>340</v>
      </c>
      <c r="U23" s="36" t="n">
        <v>450</v>
      </c>
      <c r="V23" s="37" t="n"/>
      <c r="W23" s="37" t="n"/>
      <c r="X23" s="37" t="n"/>
      <c r="Y23" s="37" t="n"/>
      <c r="Z23" s="37" t="n"/>
      <c r="AA23" s="35" t="n">
        <v>2800</v>
      </c>
      <c r="AB23" s="35" t="n">
        <v>2800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2547.59</v>
      </c>
      <c r="P25" s="43" t="n">
        <v>3539.01</v>
      </c>
      <c r="Q25" s="43" t="n">
        <v>2927.08</v>
      </c>
      <c r="R25" s="43" t="n">
        <v>5295.469999999999</v>
      </c>
      <c r="S25" s="43" t="n">
        <v>1835.62</v>
      </c>
      <c r="T25" s="43" t="n">
        <v>2730.3</v>
      </c>
      <c r="U25" s="43" t="n">
        <v>2439.09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21314.16</v>
      </c>
      <c r="AB25" s="42" t="n">
        <v>21314.16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360</v>
      </c>
      <c r="U28" s="36" t="n">
        <v>-4779.11</v>
      </c>
      <c r="V28" s="37" t="n"/>
      <c r="W28" s="37" t="n"/>
      <c r="X28" s="37" t="n"/>
      <c r="Y28" s="37" t="n"/>
      <c r="Z28" s="37" t="n"/>
      <c r="AA28" s="35" t="n">
        <v>-4419.11</v>
      </c>
      <c r="AB28" s="35" t="n">
        <v>-4419.11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>
        <v>44.4</v>
      </c>
      <c r="P30" s="36" t="n">
        <v>110.32</v>
      </c>
      <c r="Q30" s="36" t="n">
        <v>39.33</v>
      </c>
      <c r="R30" s="36" t="n">
        <v>470.57</v>
      </c>
      <c r="S30" s="36" t="n">
        <v>27.42</v>
      </c>
      <c r="T30" s="36" t="n">
        <v>261.1</v>
      </c>
      <c r="U30" s="36" t="n">
        <v>15.18</v>
      </c>
      <c r="V30" s="37" t="n"/>
      <c r="W30" s="37" t="n"/>
      <c r="X30" s="37" t="n"/>
      <c r="Y30" s="37" t="n"/>
      <c r="Z30" s="37" t="n"/>
      <c r="AA30" s="35" t="n">
        <v>968.3200000000001</v>
      </c>
      <c r="AB30" s="35" t="n">
        <v>968.3200000000001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44.4</v>
      </c>
      <c r="P34" s="43" t="n">
        <v>110.32</v>
      </c>
      <c r="Q34" s="43" t="n">
        <v>39.33</v>
      </c>
      <c r="R34" s="43" t="n">
        <v>470.57</v>
      </c>
      <c r="S34" s="43" t="n">
        <v>27.42</v>
      </c>
      <c r="T34" s="43" t="n">
        <v>621.1</v>
      </c>
      <c r="U34" s="43" t="n">
        <v>-4763.929999999999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-3450.79</v>
      </c>
      <c r="AB34" s="42" t="n">
        <v>-3450.79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>
        <v>0</v>
      </c>
      <c r="P38" s="36" t="n">
        <v>546.61</v>
      </c>
      <c r="Q38" s="36" t="n">
        <v>128.64</v>
      </c>
      <c r="R38" s="36" t="n">
        <v>261.15</v>
      </c>
      <c r="S38" s="36" t="n">
        <v>176.45</v>
      </c>
      <c r="T38" s="36" t="n">
        <v>0</v>
      </c>
      <c r="U38" s="36" t="n">
        <v>234.2399999999999</v>
      </c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1347.09</v>
      </c>
      <c r="AB38" s="35" t="n">
        <v>2347.09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>
        <v>1988.86</v>
      </c>
      <c r="P39" s="36" t="n">
        <v>894.7099999999999</v>
      </c>
      <c r="Q39" s="36" t="n">
        <v>-519.6300000000001</v>
      </c>
      <c r="R39" s="36" t="n">
        <v>938.48</v>
      </c>
      <c r="S39" s="36" t="n">
        <v>3752.310000000001</v>
      </c>
      <c r="T39" s="36" t="n">
        <v>3402.76</v>
      </c>
      <c r="U39" s="36" t="n">
        <v>1658.59</v>
      </c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12116.08</v>
      </c>
      <c r="AB39" s="35" t="n">
        <v>29616.08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>
        <v>118.88</v>
      </c>
      <c r="P41" s="36" t="n">
        <v>118.37</v>
      </c>
      <c r="Q41" s="36" t="n">
        <v>361.96</v>
      </c>
      <c r="R41" s="36" t="n">
        <v>238.78</v>
      </c>
      <c r="S41" s="36" t="n">
        <v>252.04</v>
      </c>
      <c r="T41" s="36" t="n">
        <v>294.94</v>
      </c>
      <c r="U41" s="36" t="n">
        <v>638.2</v>
      </c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2023.17</v>
      </c>
      <c r="AB41" s="35" t="n">
        <v>3223.17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>
        <v>4262.16</v>
      </c>
      <c r="P42" s="36" t="n">
        <v>2309.75</v>
      </c>
      <c r="Q42" s="36" t="n">
        <v>3540.42</v>
      </c>
      <c r="R42" s="36" t="n">
        <v>4491.27</v>
      </c>
      <c r="S42" s="36" t="n">
        <v>7338.630000000001</v>
      </c>
      <c r="T42" s="36" t="n">
        <v>4444.89</v>
      </c>
      <c r="U42" s="36" t="n">
        <v>9123.990000000002</v>
      </c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35511.11</v>
      </c>
      <c r="AB42" s="35" t="n">
        <v>36511.11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-1000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-1000</v>
      </c>
      <c r="AB44" s="35" t="n">
        <v>-1000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>
        <v>1602.52</v>
      </c>
      <c r="P45" s="36" t="n">
        <v>2509.44</v>
      </c>
      <c r="Q45" s="36" t="n">
        <v>2832.78</v>
      </c>
      <c r="R45" s="36" t="n">
        <v>2530.82</v>
      </c>
      <c r="S45" s="36" t="n">
        <v>2190.35</v>
      </c>
      <c r="T45" s="36" t="n">
        <v>8570.280000000001</v>
      </c>
      <c r="U45" s="36" t="n">
        <v>2452.03</v>
      </c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22688.22</v>
      </c>
      <c r="AB45" s="35" t="n">
        <v>35188.22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98.28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146.25</v>
      </c>
      <c r="AB46" s="35" t="n">
        <v>146.25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8840</v>
      </c>
      <c r="P47" s="43" t="n">
        <v>7160.17</v>
      </c>
      <c r="Q47" s="43" t="n">
        <v>6113.46</v>
      </c>
      <c r="R47" s="43" t="n">
        <v>9197.17</v>
      </c>
      <c r="S47" s="43" t="n">
        <v>14482.43</v>
      </c>
      <c r="T47" s="43" t="n">
        <v>17449.54</v>
      </c>
      <c r="U47" s="43" t="n">
        <v>14843.72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78086.49000000001</v>
      </c>
      <c r="AB47" s="51" t="n">
        <v>137469.84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11431.99</v>
      </c>
      <c r="P48" s="24" t="n">
        <v>10809.5</v>
      </c>
      <c r="Q48" s="24" t="n">
        <v>9079.870000000001</v>
      </c>
      <c r="R48" s="24" t="n">
        <v>14963.21</v>
      </c>
      <c r="S48" s="24" t="n">
        <v>16345.47</v>
      </c>
      <c r="T48" s="24" t="n">
        <v>20800.94</v>
      </c>
      <c r="U48" s="24" t="n">
        <v>12518.88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95949.86</v>
      </c>
      <c r="AB48" s="35" t="n">
        <v>155333.21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-11431.99</v>
      </c>
      <c r="P50" s="54" t="n">
        <v>-10809.5</v>
      </c>
      <c r="Q50" s="54" t="n">
        <v>-9079.870000000001</v>
      </c>
      <c r="R50" s="54" t="n">
        <v>-14791.07</v>
      </c>
      <c r="S50" s="54" t="n">
        <v>-16345.47</v>
      </c>
      <c r="T50" s="54" t="n">
        <v>-20800.94</v>
      </c>
      <c r="U50" s="54" t="n">
        <v>-12518.88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-95777.72</v>
      </c>
      <c r="AB50" s="54" t="n">
        <v>-155161.07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>
        <v>398439</v>
      </c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I53" s="121" t="n">
        <v>117439</v>
      </c>
      <c r="AJ53" s="122" t="n">
        <v>117439</v>
      </c>
      <c r="AK53" s="122" t="n">
        <v>117439</v>
      </c>
      <c r="AL53" s="122" t="n">
        <v>117439</v>
      </c>
      <c r="AM53" s="123" t="n">
        <v>117439</v>
      </c>
      <c r="AN53" s="121" t="n">
        <v>117439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I54" s="121" t="n">
        <v>16773</v>
      </c>
      <c r="AJ54" s="122" t="n">
        <v>16773</v>
      </c>
      <c r="AK54" s="122" t="n">
        <v>16773</v>
      </c>
      <c r="AL54" s="122" t="n">
        <v>16773</v>
      </c>
      <c r="AM54" s="123" t="n">
        <v>16773</v>
      </c>
      <c r="AN54" s="121" t="n">
        <v>16773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I55" s="121" t="n">
        <v>695</v>
      </c>
      <c r="AJ55" s="122" t="n">
        <v>695</v>
      </c>
      <c r="AK55" s="122" t="n">
        <v>695</v>
      </c>
      <c r="AL55" s="122" t="n">
        <v>695</v>
      </c>
      <c r="AM55" s="123" t="n">
        <v>695</v>
      </c>
      <c r="AN55" s="121" t="n">
        <v>695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I56" s="121" t="n">
        <v>1897.62</v>
      </c>
      <c r="AJ56" s="122" t="n">
        <v>1897.62</v>
      </c>
      <c r="AK56" s="122" t="n">
        <v>1897.62</v>
      </c>
      <c r="AL56" s="122" t="n">
        <v>1897.62</v>
      </c>
      <c r="AM56" s="123" t="n">
        <v>1897.62</v>
      </c>
      <c r="AN56" s="121" t="n">
        <v>1897.62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>
        <v>51</v>
      </c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I59" s="121" t="n">
        <v>2856</v>
      </c>
      <c r="AJ59" s="122" t="n">
        <v>2856</v>
      </c>
      <c r="AK59" s="122" t="n">
        <v>2856</v>
      </c>
      <c r="AL59" s="122" t="n">
        <v>2856</v>
      </c>
      <c r="AM59" s="123" t="n">
        <v>2856</v>
      </c>
      <c r="AN59" s="121" t="n">
        <v>2856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I60" s="121" t="n">
        <v>2466</v>
      </c>
      <c r="AJ60" s="122" t="n">
        <v>2466</v>
      </c>
      <c r="AK60" s="122" t="n">
        <v>2466</v>
      </c>
      <c r="AL60" s="122" t="n">
        <v>2466</v>
      </c>
      <c r="AM60" s="123" t="n">
        <v>2466</v>
      </c>
      <c r="AN60" s="121" t="n">
        <v>2466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I62" s="121" t="n">
        <v>1000</v>
      </c>
      <c r="AJ62" s="122" t="n">
        <v>1000</v>
      </c>
      <c r="AK62" s="122" t="n">
        <v>1000</v>
      </c>
      <c r="AL62" s="122" t="n">
        <v>1000</v>
      </c>
      <c r="AM62" s="123" t="n">
        <v>1000</v>
      </c>
      <c r="AN62" s="121" t="n">
        <v>1000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I63" s="121" t="n">
        <v>1041</v>
      </c>
      <c r="AJ63" s="122" t="n">
        <v>1041</v>
      </c>
      <c r="AK63" s="122" t="n">
        <v>1041</v>
      </c>
      <c r="AL63" s="122" t="n">
        <v>1041</v>
      </c>
      <c r="AM63" s="123" t="n">
        <v>1041</v>
      </c>
      <c r="AN63" s="121" t="n">
        <v>1041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I67" s="121" t="n">
        <v>6000</v>
      </c>
      <c r="AJ67" s="122" t="n">
        <v>6000</v>
      </c>
      <c r="AK67" s="122" t="n">
        <v>6000</v>
      </c>
      <c r="AL67" s="122" t="n">
        <v>6000</v>
      </c>
      <c r="AM67" s="123" t="n">
        <v>6000</v>
      </c>
      <c r="AN67" s="121" t="n">
        <v>6000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I68" s="121" t="n">
        <v>2600</v>
      </c>
      <c r="AJ68" s="122" t="n">
        <v>2600</v>
      </c>
      <c r="AK68" s="122" t="n">
        <v>2600</v>
      </c>
      <c r="AL68" s="122" t="n">
        <v>2600</v>
      </c>
      <c r="AM68" s="123" t="n">
        <v>2600</v>
      </c>
      <c r="AN68" s="121" t="n">
        <v>2600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433818.62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-175570.14</v>
      </c>
      <c r="P70" s="54" t="n">
        <v>-149819.61</v>
      </c>
      <c r="Q70" s="54" t="n">
        <v>-183453.44</v>
      </c>
      <c r="R70" s="54" t="n">
        <v>-235005.19</v>
      </c>
      <c r="S70" s="54" t="n">
        <v>-169394.48</v>
      </c>
      <c r="T70" s="54" t="n">
        <v>-186256.48</v>
      </c>
      <c r="U70" s="54" t="n">
        <v>-188873.95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-444695.29</v>
      </c>
      <c r="AA70" s="54" t="n">
        <v>-1288373.29</v>
      </c>
      <c r="AB70" s="54" t="n">
        <v>-1994155.74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C86" s="58" t="n"/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E87" s="60" t="n"/>
      <c r="AF87" s="61" t="n"/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14.5</v>
      </c>
      <c r="U20" s="37" t="n">
        <v>0</v>
      </c>
      <c r="V20" s="37" t="n"/>
      <c r="W20" s="37" t="n"/>
      <c r="X20" s="37" t="n"/>
      <c r="Y20" s="37" t="n"/>
      <c r="Z20" s="37" t="n"/>
      <c r="AA20" s="35" t="n">
        <v>14.5</v>
      </c>
      <c r="AB20" s="35" t="n">
        <v>14.5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7.4</v>
      </c>
      <c r="P21" s="36" t="n">
        <v>188.09</v>
      </c>
      <c r="Q21" s="36" t="n">
        <v>0</v>
      </c>
      <c r="R21" s="36" t="n">
        <v>0</v>
      </c>
      <c r="S21" s="36" t="n">
        <v>0</v>
      </c>
      <c r="T21" s="36" t="n">
        <v>112.22</v>
      </c>
      <c r="U21" s="37" t="n">
        <v>0</v>
      </c>
      <c r="V21" s="37" t="n"/>
      <c r="W21" s="37" t="n"/>
      <c r="X21" s="37" t="n"/>
      <c r="Y21" s="37" t="n"/>
      <c r="Z21" s="37" t="n"/>
      <c r="AA21" s="35" t="n">
        <v>307.71</v>
      </c>
      <c r="AB21" s="35" t="n">
        <v>307.71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7.4</v>
      </c>
      <c r="P25" s="43" t="n">
        <v>188.09</v>
      </c>
      <c r="Q25" s="43" t="n">
        <v>0</v>
      </c>
      <c r="R25" s="43" t="n">
        <v>0</v>
      </c>
      <c r="S25" s="43" t="n">
        <v>0</v>
      </c>
      <c r="T25" s="43" t="n">
        <v>126.72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322.21</v>
      </c>
      <c r="AB25" s="42" t="n">
        <v>322.21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31.9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31.9</v>
      </c>
      <c r="AB31" s="35" t="n">
        <v>31.9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31.9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31.9</v>
      </c>
      <c r="AB34" s="42" t="n">
        <v>31.9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-2703.44</v>
      </c>
      <c r="AB38" s="35" t="n">
        <v>-2703.44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26.98</v>
      </c>
      <c r="Q39" s="36" t="n">
        <v>0</v>
      </c>
      <c r="R39" s="36" t="n">
        <v>102.67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129.65</v>
      </c>
      <c r="AB39" s="35" t="n">
        <v>129.65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4675.31</v>
      </c>
      <c r="P42" s="36" t="n">
        <v>311.08</v>
      </c>
      <c r="Q42" s="36" t="n">
        <v>265.36</v>
      </c>
      <c r="R42" s="36" t="n">
        <v>1698.31</v>
      </c>
      <c r="S42" s="36" t="n">
        <v>1697.58</v>
      </c>
      <c r="T42" s="36" t="n">
        <v>1542.19</v>
      </c>
      <c r="U42" s="37" t="n">
        <v>0</v>
      </c>
      <c r="V42" s="37" t="n"/>
      <c r="W42" s="37" t="n"/>
      <c r="X42" s="37" t="n"/>
      <c r="Y42" s="37" t="n"/>
      <c r="Z42" s="37" t="n"/>
      <c r="AA42" s="35" t="n">
        <v>10189.83</v>
      </c>
      <c r="AB42" s="35" t="n">
        <v>10189.83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-1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-1</v>
      </c>
      <c r="AB43" s="35" t="n">
        <v>-1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4674.31</v>
      </c>
      <c r="P47" s="43" t="n">
        <v>338.06</v>
      </c>
      <c r="Q47" s="43" t="n">
        <v>265.36</v>
      </c>
      <c r="R47" s="43" t="n">
        <v>1800.98</v>
      </c>
      <c r="S47" s="43" t="n">
        <v>1697.58</v>
      </c>
      <c r="T47" s="43" t="n">
        <v>1542.19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7615.040000000001</v>
      </c>
      <c r="AB47" s="51" t="n">
        <v>7615.040000000001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4681.71</v>
      </c>
      <c r="P48" s="24" t="n">
        <v>526.15</v>
      </c>
      <c r="Q48" s="24" t="n">
        <v>297.26</v>
      </c>
      <c r="R48" s="24" t="n">
        <v>1800.98</v>
      </c>
      <c r="S48" s="24" t="n">
        <v>1697.58</v>
      </c>
      <c r="T48" s="24" t="n">
        <v>1668.91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7969.150000000001</v>
      </c>
      <c r="AB48" s="35" t="n">
        <v>7969.150000000001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-4681.71</v>
      </c>
      <c r="P50" s="54" t="n">
        <v>-526.15</v>
      </c>
      <c r="Q50" s="54" t="n">
        <v>-297.26</v>
      </c>
      <c r="R50" s="54" t="n">
        <v>-1800.98</v>
      </c>
      <c r="S50" s="54" t="n">
        <v>-1697.58</v>
      </c>
      <c r="T50" s="54" t="n">
        <v>-1668.91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-7969.150000000001</v>
      </c>
      <c r="AB50" s="54" t="n">
        <v>-7969.150000000001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10744.8</v>
      </c>
      <c r="R58" s="36" t="n">
        <v>2425.2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13170</v>
      </c>
      <c r="AB58" s="35" t="n">
        <v>13170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7.2</v>
      </c>
      <c r="Q60" s="36" t="n">
        <v>0</v>
      </c>
      <c r="R60" s="36" t="n">
        <v>0</v>
      </c>
      <c r="S60" s="36" t="n">
        <v>54</v>
      </c>
      <c r="T60" s="36" t="n">
        <v>184.95</v>
      </c>
      <c r="U60" s="37" t="n">
        <v>0</v>
      </c>
      <c r="V60" s="37" t="n"/>
      <c r="W60" s="37" t="n"/>
      <c r="X60" s="37" t="n"/>
      <c r="Y60" s="37" t="n"/>
      <c r="Z60" s="37" t="n"/>
      <c r="AA60" s="35" t="n">
        <v>246.15</v>
      </c>
      <c r="AB60" s="35" t="n">
        <v>246.15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1716.7</v>
      </c>
      <c r="P64" s="36" t="n">
        <v>2373.35</v>
      </c>
      <c r="Q64" s="36" t="n">
        <v>2373.35</v>
      </c>
      <c r="R64" s="36" t="n">
        <v>2373.35</v>
      </c>
      <c r="S64" s="36" t="n">
        <v>2373.35</v>
      </c>
      <c r="T64" s="36" t="n">
        <v>2373.35</v>
      </c>
      <c r="U64" s="37" t="n">
        <v>0</v>
      </c>
      <c r="V64" s="37" t="n"/>
      <c r="W64" s="37" t="n"/>
      <c r="X64" s="37" t="n"/>
      <c r="Y64" s="37" t="n"/>
      <c r="Z64" s="37" t="n"/>
      <c r="AA64" s="35" t="n">
        <v>13583.45</v>
      </c>
      <c r="AB64" s="35" t="n">
        <v>13583.45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1181.82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2621.82</v>
      </c>
      <c r="AB65" s="35" t="n">
        <v>2621.82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219.8</v>
      </c>
      <c r="P67" s="36" t="n">
        <v>149.1</v>
      </c>
      <c r="Q67" s="36" t="n">
        <v>121.85</v>
      </c>
      <c r="R67" s="36" t="n">
        <v>233.6</v>
      </c>
      <c r="S67" s="36" t="n">
        <v>122.15</v>
      </c>
      <c r="T67" s="36" t="n">
        <v>323</v>
      </c>
      <c r="U67" s="37" t="n">
        <v>27.65</v>
      </c>
      <c r="V67" s="37" t="n"/>
      <c r="W67" s="37" t="n"/>
      <c r="X67" s="37" t="n"/>
      <c r="Y67" s="37" t="n"/>
      <c r="Z67" s="37" t="n"/>
      <c r="AA67" s="35" t="n">
        <v>1197.15</v>
      </c>
      <c r="AB67" s="35" t="n">
        <v>1197.15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3118.32</v>
      </c>
      <c r="P69" s="43" t="n">
        <v>2529.65</v>
      </c>
      <c r="Q69" s="43" t="n">
        <v>14680</v>
      </c>
      <c r="R69" s="43" t="n">
        <v>5032.15</v>
      </c>
      <c r="S69" s="43" t="n">
        <v>2549.5</v>
      </c>
      <c r="T69" s="43" t="n">
        <v>2881.3</v>
      </c>
      <c r="U69" s="44" t="n">
        <v>27.65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30818.57</v>
      </c>
      <c r="AB69" s="42" t="n">
        <v>30818.57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-7800.030000000001</v>
      </c>
      <c r="P70" s="54" t="n">
        <v>-3055.8</v>
      </c>
      <c r="Q70" s="54" t="n">
        <v>-14977.26</v>
      </c>
      <c r="R70" s="54" t="n">
        <v>-6833.129999999999</v>
      </c>
      <c r="S70" s="54" t="n">
        <v>-4247.08</v>
      </c>
      <c r="T70" s="54" t="n">
        <v>-4550.21</v>
      </c>
      <c r="U70" s="54" t="n">
        <v>2675.79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-38787.72</v>
      </c>
      <c r="AB70" s="54" t="n">
        <v>-38787.72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46" t="n">
        <v>0</v>
      </c>
      <c r="AK88" s="146" t="n">
        <v>0</v>
      </c>
      <c r="AL88" s="146" t="n">
        <v>0</v>
      </c>
      <c r="AM88" s="146" t="n">
        <v>0</v>
      </c>
      <c r="AN88" s="146" t="n">
        <v>0</v>
      </c>
      <c r="AO88" s="147">
        <f>SUM(AC88:AH88)+SUM(AI88:AN88)</f>
        <v/>
      </c>
      <c r="AP88" s="148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37.6</v>
      </c>
      <c r="P21" s="36" t="n">
        <v>0</v>
      </c>
      <c r="Q21" s="36" t="n">
        <v>0</v>
      </c>
      <c r="R21" s="36" t="n">
        <v>29.15</v>
      </c>
      <c r="S21" s="36" t="n">
        <v>14.5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81.25</v>
      </c>
      <c r="AB21" s="35" t="n">
        <v>81.25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2780.42</v>
      </c>
      <c r="P22" s="36" t="n">
        <v>1051.68</v>
      </c>
      <c r="Q22" s="36" t="n">
        <v>2650.79</v>
      </c>
      <c r="R22" s="36" t="n">
        <v>4019.62</v>
      </c>
      <c r="S22" s="36" t="n">
        <v>6278.17</v>
      </c>
      <c r="T22" s="36" t="n">
        <v>5222.59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27051.06</v>
      </c>
      <c r="AB22" s="35" t="n">
        <v>45051.06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58.7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58.7</v>
      </c>
      <c r="AB23" s="35" t="n">
        <v>58.7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2876.72</v>
      </c>
      <c r="P25" s="43" t="n">
        <v>1051.68</v>
      </c>
      <c r="Q25" s="43" t="n">
        <v>2650.79</v>
      </c>
      <c r="R25" s="43" t="n">
        <v>4048.77</v>
      </c>
      <c r="S25" s="43" t="n">
        <v>6292.67</v>
      </c>
      <c r="T25" s="43" t="n">
        <v>5222.59</v>
      </c>
      <c r="U25" s="43" t="n">
        <v>5047.79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27191.01</v>
      </c>
      <c r="AB25" s="42" t="n">
        <v>45191.01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37.88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37.88</v>
      </c>
      <c r="AB43" s="35" t="n">
        <v>37.88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37.88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37.88</v>
      </c>
      <c r="AB47" s="51" t="n">
        <v>37.88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66215.46000000001</v>
      </c>
      <c r="O48" s="24" t="n">
        <v>2914.6</v>
      </c>
      <c r="P48" s="24" t="n">
        <v>1051.68</v>
      </c>
      <c r="Q48" s="24" t="n">
        <v>2650.79</v>
      </c>
      <c r="R48" s="24" t="n">
        <v>4048.77</v>
      </c>
      <c r="S48" s="24" t="n">
        <v>6292.67</v>
      </c>
      <c r="T48" s="24" t="n">
        <v>5222.59</v>
      </c>
      <c r="U48" s="24" t="n">
        <v>5047.79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27228.89</v>
      </c>
      <c r="AB48" s="35" t="n">
        <v>45228.89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-66215.46000000001</v>
      </c>
      <c r="O50" s="54" t="n">
        <v>-2914.6</v>
      </c>
      <c r="P50" s="54" t="n">
        <v>-1051.68</v>
      </c>
      <c r="Q50" s="54" t="n">
        <v>-2650.79</v>
      </c>
      <c r="R50" s="54" t="n">
        <v>-4048.77</v>
      </c>
      <c r="S50" s="54" t="n">
        <v>-6292.67</v>
      </c>
      <c r="T50" s="54" t="n">
        <v>-5222.59</v>
      </c>
      <c r="U50" s="54" t="n">
        <v>-5047.79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-27228.89</v>
      </c>
      <c r="AB50" s="54" t="n">
        <v>-45228.89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62.55</v>
      </c>
      <c r="P58" s="36" t="n">
        <v>62.55</v>
      </c>
      <c r="Q58" s="36" t="n">
        <v>62.55</v>
      </c>
      <c r="R58" s="36" t="n">
        <v>62.55</v>
      </c>
      <c r="S58" s="36" t="n">
        <v>62.55</v>
      </c>
      <c r="T58" s="36" t="n">
        <v>62.55</v>
      </c>
      <c r="U58" s="36" t="n">
        <v>67.5</v>
      </c>
      <c r="V58" s="37" t="n"/>
      <c r="W58" s="37" t="n"/>
      <c r="X58" s="37" t="n"/>
      <c r="Y58" s="37" t="n"/>
      <c r="Z58" s="37" t="n"/>
      <c r="AA58" s="35" t="n">
        <v>442.8</v>
      </c>
      <c r="AB58" s="35" t="n">
        <v>442.8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84.74000000000001</v>
      </c>
      <c r="P60" s="36" t="n">
        <v>243.11</v>
      </c>
      <c r="Q60" s="36" t="n">
        <v>208.09</v>
      </c>
      <c r="R60" s="36" t="n">
        <v>69.3</v>
      </c>
      <c r="S60" s="36" t="n">
        <v>163.09</v>
      </c>
      <c r="T60" s="36" t="n">
        <v>53.14</v>
      </c>
      <c r="U60" s="36" t="n">
        <v>113.06</v>
      </c>
      <c r="V60" s="37" t="n"/>
      <c r="W60" s="37" t="n"/>
      <c r="X60" s="37" t="n"/>
      <c r="Y60" s="37" t="n"/>
      <c r="Z60" s="37" t="n"/>
      <c r="AA60" s="35" t="n">
        <v>934.53</v>
      </c>
      <c r="AB60" s="35" t="n">
        <v>934.53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1440</v>
      </c>
      <c r="AB65" s="35" t="n">
        <v>1440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21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28.35</v>
      </c>
      <c r="V67" s="37" t="n"/>
      <c r="W67" s="37" t="n"/>
      <c r="X67" s="37" t="n"/>
      <c r="Y67" s="37" t="n"/>
      <c r="Z67" s="37" t="n"/>
      <c r="AA67" s="35" t="n">
        <v>49.35</v>
      </c>
      <c r="AB67" s="35" t="n">
        <v>49.35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168.29</v>
      </c>
      <c r="P69" s="43" t="n">
        <v>305.66</v>
      </c>
      <c r="Q69" s="43" t="n">
        <v>1710.64</v>
      </c>
      <c r="R69" s="43" t="n">
        <v>131.85</v>
      </c>
      <c r="S69" s="43" t="n">
        <v>225.64</v>
      </c>
      <c r="T69" s="43" t="n">
        <v>115.69</v>
      </c>
      <c r="U69" s="43" t="n">
        <v>208.91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2866.68</v>
      </c>
      <c r="AB69" s="42" t="n">
        <v>2866.68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-74323.47</v>
      </c>
      <c r="O70" s="54" t="n">
        <v>-3082.89</v>
      </c>
      <c r="P70" s="54" t="n">
        <v>-1357.34</v>
      </c>
      <c r="Q70" s="54" t="n">
        <v>-4361.43</v>
      </c>
      <c r="R70" s="54" t="n">
        <v>-4180.62</v>
      </c>
      <c r="S70" s="54" t="n">
        <v>-6518.31</v>
      </c>
      <c r="T70" s="54" t="n">
        <v>-5338.28</v>
      </c>
      <c r="U70" s="54" t="n">
        <v>-5256.7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-30095.57</v>
      </c>
      <c r="AB70" s="54" t="n">
        <v>-48095.57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38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1" t="n"/>
      <c r="N78" s="59" t="n"/>
      <c r="AA78" s="59" t="n">
        <v>0</v>
      </c>
      <c r="AB78" s="55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  <c r="AI85" s="121" t="n">
        <v>0</v>
      </c>
      <c r="AJ85" s="121" t="n">
        <v>0</v>
      </c>
      <c r="AK85" s="121" t="n">
        <v>0</v>
      </c>
      <c r="AL85" s="121" t="n">
        <v>0</v>
      </c>
      <c r="AM85" s="121" t="n">
        <v>0</v>
      </c>
      <c r="AN85" s="121" t="n">
        <v>0</v>
      </c>
      <c r="AO85" s="144">
        <f>SUM(AC85:AH85)+SUM(AI85:AN85)</f>
        <v/>
      </c>
      <c r="AP85" s="139">
        <f>IF(AB85&lt;&gt;0,(AO85-AB85)/ABS(AB85),0)</f>
        <v/>
      </c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1080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1080</v>
      </c>
      <c r="AB65" s="35" t="n">
        <v>1080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1080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1080</v>
      </c>
      <c r="AB69" s="42" t="n">
        <v>1080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-1080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-1080</v>
      </c>
      <c r="AB70" s="54" t="n">
        <v>-1080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Q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Moebius Two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6279.16</v>
      </c>
      <c r="P42" s="36" t="n">
        <v>6279.16</v>
      </c>
      <c r="Q42" s="36" t="n">
        <v>6279.15</v>
      </c>
      <c r="R42" s="36" t="n">
        <v>6279.15</v>
      </c>
      <c r="S42" s="36" t="n">
        <v>6279.14</v>
      </c>
      <c r="T42" s="36" t="n">
        <v>6279.14</v>
      </c>
      <c r="U42" s="36" t="n">
        <v>6279.14</v>
      </c>
      <c r="V42" s="37" t="n"/>
      <c r="W42" s="37" t="n"/>
      <c r="X42" s="37" t="n"/>
      <c r="Y42" s="37" t="n"/>
      <c r="Z42" s="37" t="n"/>
      <c r="AA42" s="35" t="n">
        <v>43954.04</v>
      </c>
      <c r="AB42" s="35" t="n">
        <v>43954.04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0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>
        <v>6279.16</v>
      </c>
      <c r="P47" s="43" t="n">
        <v>6279.16</v>
      </c>
      <c r="Q47" s="43" t="n">
        <v>6279.15</v>
      </c>
      <c r="R47" s="43" t="n">
        <v>6279.15</v>
      </c>
      <c r="S47" s="43" t="n">
        <v>6279.14</v>
      </c>
      <c r="T47" s="43" t="n">
        <v>6279.14</v>
      </c>
      <c r="U47" s="43" t="n">
        <v>6279.14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43954.04</v>
      </c>
      <c r="AB47" s="51" t="n">
        <v>43954.04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35" t="n"/>
      <c r="O48" s="24" t="n">
        <v>6279.16</v>
      </c>
      <c r="P48" s="24" t="n">
        <v>6279.16</v>
      </c>
      <c r="Q48" s="24" t="n">
        <v>6279.15</v>
      </c>
      <c r="R48" s="24" t="n">
        <v>6279.15</v>
      </c>
      <c r="S48" s="24" t="n">
        <v>6279.14</v>
      </c>
      <c r="T48" s="24" t="n">
        <v>6279.14</v>
      </c>
      <c r="U48" s="24" t="n">
        <v>6279.14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43954.04</v>
      </c>
      <c r="AB48" s="35" t="n">
        <v>43954.04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0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0</v>
      </c>
      <c r="M50" s="54" t="n">
        <v>0</v>
      </c>
      <c r="N50" s="54" t="n"/>
      <c r="O50" s="54" t="n">
        <v>-6279.16</v>
      </c>
      <c r="P50" s="54" t="n">
        <v>-6279.16</v>
      </c>
      <c r="Q50" s="54" t="n">
        <v>-6279.15</v>
      </c>
      <c r="R50" s="54" t="n">
        <v>-6279.15</v>
      </c>
      <c r="S50" s="54" t="n">
        <v>-6279.14</v>
      </c>
      <c r="T50" s="54" t="n">
        <v>-6279.14</v>
      </c>
      <c r="U50" s="54" t="n">
        <v>-6279.14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-43954.04</v>
      </c>
      <c r="AB50" s="54" t="n">
        <v>-43954.04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5784.1</v>
      </c>
      <c r="C58" s="34" t="n">
        <v>5784.1</v>
      </c>
      <c r="D58" s="34" t="n">
        <v>5784.1</v>
      </c>
      <c r="E58" s="34" t="n">
        <v>5784.1</v>
      </c>
      <c r="F58" s="34" t="n">
        <v>5784.1</v>
      </c>
      <c r="G58" s="34" t="n">
        <v>5912.61</v>
      </c>
      <c r="H58" s="34" t="n">
        <v>5912.61</v>
      </c>
      <c r="I58" s="34" t="n">
        <v>5975.88</v>
      </c>
      <c r="J58" s="34" t="n">
        <v>5975.88</v>
      </c>
      <c r="K58" s="34" t="n">
        <v>5975.88</v>
      </c>
      <c r="L58" s="34" t="n">
        <v>6279.14</v>
      </c>
      <c r="M58" s="34" t="n">
        <v>6279.14</v>
      </c>
      <c r="N58" s="35" t="n">
        <v>71231.64</v>
      </c>
      <c r="O58" s="36" t="n">
        <v>0</v>
      </c>
      <c r="P58" s="36" t="n">
        <v>0</v>
      </c>
      <c r="Q58" s="36" t="n">
        <v>19942.8</v>
      </c>
      <c r="R58" s="36" t="n">
        <v>4298.4</v>
      </c>
      <c r="S58" s="36" t="n">
        <v>0</v>
      </c>
      <c r="T58" s="36" t="n">
        <v>0</v>
      </c>
      <c r="U58" s="36" t="n">
        <v>45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24286.2</v>
      </c>
      <c r="AB58" s="35" t="n">
        <v>55686.2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846</v>
      </c>
      <c r="P64" s="36" t="n">
        <v>846</v>
      </c>
      <c r="Q64" s="36" t="n">
        <v>846</v>
      </c>
      <c r="R64" s="36" t="n">
        <v>846</v>
      </c>
      <c r="S64" s="36" t="n">
        <v>846</v>
      </c>
      <c r="T64" s="36" t="n">
        <v>846</v>
      </c>
      <c r="U64" s="36" t="n">
        <v>0</v>
      </c>
      <c r="V64" s="37" t="n"/>
      <c r="W64" s="37" t="n"/>
      <c r="X64" s="37" t="n"/>
      <c r="Y64" s="37" t="n"/>
      <c r="Z64" s="37" t="n"/>
      <c r="AA64" s="35" t="n">
        <v>5076</v>
      </c>
      <c r="AB64" s="35" t="n">
        <v>5076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462</v>
      </c>
      <c r="C65" s="34" t="n">
        <v>30</v>
      </c>
      <c r="D65" s="34" t="n">
        <v>9357.6</v>
      </c>
      <c r="E65" s="34" t="n">
        <v>2599.2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3583.2</v>
      </c>
      <c r="N65" s="35" t="n">
        <v>16032</v>
      </c>
      <c r="O65" s="36" t="n">
        <v>42.75</v>
      </c>
      <c r="P65" s="36" t="n">
        <v>42.75</v>
      </c>
      <c r="Q65" s="36" t="n">
        <v>42.75</v>
      </c>
      <c r="R65" s="36" t="n">
        <v>42.75</v>
      </c>
      <c r="S65" s="36" t="n">
        <v>42.75</v>
      </c>
      <c r="T65" s="36" t="n">
        <v>42.75</v>
      </c>
      <c r="U65" s="36" t="n">
        <v>0</v>
      </c>
      <c r="V65" s="37" t="n"/>
      <c r="W65" s="37" t="n"/>
      <c r="X65" s="37" t="n"/>
      <c r="Y65" s="37" t="n"/>
      <c r="Z65" s="37" t="n"/>
      <c r="AA65" s="35" t="n">
        <v>256.5</v>
      </c>
      <c r="AB65" s="35" t="n">
        <v>256.5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42.75</v>
      </c>
      <c r="J67" s="34" t="n">
        <v>42.75</v>
      </c>
      <c r="K67" s="34" t="n">
        <v>1209.15</v>
      </c>
      <c r="L67" s="34" t="n">
        <v>42.75</v>
      </c>
      <c r="M67" s="34" t="n">
        <v>642.75</v>
      </c>
      <c r="N67" s="35" t="n">
        <v>2022.9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3.11</v>
      </c>
      <c r="E68" s="34" t="n">
        <v>21.75</v>
      </c>
      <c r="F68" s="34" t="n">
        <v>0</v>
      </c>
      <c r="G68" s="34" t="n">
        <v>0</v>
      </c>
      <c r="H68" s="34" t="n">
        <v>600</v>
      </c>
      <c r="I68" s="34" t="n">
        <v>0</v>
      </c>
      <c r="J68" s="34" t="n">
        <v>-39.91</v>
      </c>
      <c r="K68" s="34" t="n">
        <v>0.35</v>
      </c>
      <c r="L68" s="34" t="n">
        <v>2.45</v>
      </c>
      <c r="M68" s="34" t="n">
        <v>0</v>
      </c>
      <c r="N68" s="35" t="n">
        <v>587.75</v>
      </c>
      <c r="O68" s="36" t="n">
        <v>0</v>
      </c>
      <c r="P68" s="36" t="n">
        <v>0</v>
      </c>
      <c r="Q68" s="36" t="n">
        <v>33648.45</v>
      </c>
      <c r="R68" s="36" t="n">
        <v>0</v>
      </c>
      <c r="S68" s="36" t="n">
        <v>0</v>
      </c>
      <c r="T68" s="36" t="n">
        <v>33321.22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66969.67</v>
      </c>
      <c r="AB68" s="35" t="n">
        <v>66969.67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6246.1</v>
      </c>
      <c r="C69" s="41" t="n">
        <v>5814.1</v>
      </c>
      <c r="D69" s="41" t="n">
        <v>15144.81</v>
      </c>
      <c r="E69" s="41" t="n">
        <v>8405.049999999999</v>
      </c>
      <c r="F69" s="41" t="n">
        <v>5784.1</v>
      </c>
      <c r="G69" s="41" t="n">
        <v>5912.61</v>
      </c>
      <c r="H69" s="41" t="n">
        <v>6555.36</v>
      </c>
      <c r="I69" s="41" t="n">
        <v>6018.63</v>
      </c>
      <c r="J69" s="41" t="n">
        <v>5978.72</v>
      </c>
      <c r="K69" s="41" t="n">
        <v>7185.38</v>
      </c>
      <c r="L69" s="41" t="n">
        <v>6324.34</v>
      </c>
      <c r="M69" s="41" t="n">
        <v>10505.09</v>
      </c>
      <c r="N69" s="42" t="n">
        <v>89874.28999999999</v>
      </c>
      <c r="O69" s="43" t="n">
        <v>888.75</v>
      </c>
      <c r="P69" s="43" t="n">
        <v>888.75</v>
      </c>
      <c r="Q69" s="43" t="n">
        <v>54480</v>
      </c>
      <c r="R69" s="43" t="n">
        <v>5187.15</v>
      </c>
      <c r="S69" s="43" t="n">
        <v>888.75</v>
      </c>
      <c r="T69" s="43" t="n">
        <v>34209.97</v>
      </c>
      <c r="U69" s="43" t="n">
        <v>45</v>
      </c>
      <c r="V69" s="44" t="n">
        <v>6280</v>
      </c>
      <c r="W69" s="44" t="n">
        <v>6280</v>
      </c>
      <c r="X69" s="44" t="n">
        <v>6280</v>
      </c>
      <c r="Y69" s="44" t="n">
        <v>6280</v>
      </c>
      <c r="Z69" s="44" t="n">
        <v>6280</v>
      </c>
      <c r="AA69" s="42" t="n">
        <v>96588.37</v>
      </c>
      <c r="AB69" s="42" t="n">
        <v>127988.37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-6246.1</v>
      </c>
      <c r="C70" s="54" t="n">
        <v>-5814.1</v>
      </c>
      <c r="D70" s="54" t="n">
        <v>-15144.81</v>
      </c>
      <c r="E70" s="54" t="n">
        <v>-8405.049999999999</v>
      </c>
      <c r="F70" s="54" t="n">
        <v>-5784.1</v>
      </c>
      <c r="G70" s="54" t="n">
        <v>-5912.61</v>
      </c>
      <c r="H70" s="54" t="n">
        <v>-6555.36</v>
      </c>
      <c r="I70" s="54" t="n">
        <v>-6018.63</v>
      </c>
      <c r="J70" s="54" t="n">
        <v>-5978.72</v>
      </c>
      <c r="K70" s="54" t="n">
        <v>-7185.38</v>
      </c>
      <c r="L70" s="54" t="n">
        <v>-6324.34</v>
      </c>
      <c r="M70" s="54" t="n">
        <v>-10505.09</v>
      </c>
      <c r="N70" s="54" t="n">
        <v>-89874.28999999999</v>
      </c>
      <c r="O70" s="54" t="n">
        <v>-7167.91</v>
      </c>
      <c r="P70" s="54" t="n">
        <v>-7167.91</v>
      </c>
      <c r="Q70" s="54" t="n">
        <v>-60759.15</v>
      </c>
      <c r="R70" s="54" t="n">
        <v>-11466.3</v>
      </c>
      <c r="S70" s="54" t="n">
        <v>-7167.89</v>
      </c>
      <c r="T70" s="54" t="n">
        <v>-40489.11</v>
      </c>
      <c r="U70" s="54" t="n">
        <v>-6324.14</v>
      </c>
      <c r="V70" s="54" t="n">
        <v>-6280</v>
      </c>
      <c r="W70" s="54" t="n">
        <v>-6280</v>
      </c>
      <c r="X70" s="54" t="n">
        <v>-6280</v>
      </c>
      <c r="Y70" s="54" t="n">
        <v>-6280</v>
      </c>
      <c r="Z70" s="54" t="n">
        <v>-6280</v>
      </c>
      <c r="AA70" s="54" t="n">
        <v>-140542.41</v>
      </c>
      <c r="AB70" s="54" t="n">
        <v>-171942.41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7" t="n"/>
      <c r="N72" s="84" t="n"/>
      <c r="AA72" s="84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846</v>
      </c>
      <c r="P74" s="59" t="n">
        <v>846</v>
      </c>
      <c r="Q74" s="59" t="n">
        <v>846</v>
      </c>
      <c r="R74" s="59" t="n">
        <v>846</v>
      </c>
      <c r="S74" s="59" t="n">
        <v>846</v>
      </c>
      <c r="T74" s="59" t="n">
        <v>846</v>
      </c>
      <c r="U74" s="59" t="n">
        <v>847</v>
      </c>
      <c r="V74" s="59" t="n">
        <v>846</v>
      </c>
      <c r="W74" s="59" t="n">
        <v>846</v>
      </c>
      <c r="X74" s="59" t="n">
        <v>846</v>
      </c>
      <c r="Y74" s="59" t="n">
        <v>846</v>
      </c>
      <c r="Z74" s="59" t="n">
        <v>846</v>
      </c>
      <c r="AA74" t="n">
        <v>5923</v>
      </c>
      <c r="AB74" s="59" t="n">
        <v>10153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I80" s="126" t="n">
        <v>0</v>
      </c>
      <c r="AJ80" s="126" t="n">
        <v>0</v>
      </c>
      <c r="AK80" s="126" t="n">
        <v>0</v>
      </c>
      <c r="AL80" s="126" t="n">
        <v>0</v>
      </c>
      <c r="AM80" s="126" t="n">
        <v>0</v>
      </c>
      <c r="AN80" s="126" t="n">
        <v>0</v>
      </c>
      <c r="AO80" s="144">
        <f>SUM(AC80:AH80)+SUM(AI80:AN80)</f>
        <v/>
      </c>
      <c r="AP80" s="139">
        <f>IF(AB80&lt;&gt;0,(AO80-AB80)/ABS(AB80),0)</f>
        <v/>
      </c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44">
        <f>SUM(AC81:AH81)+SUM(AI81:AN81)</f>
        <v/>
      </c>
      <c r="AP81" s="139">
        <f>IF(AB81&lt;&gt;0,(AO81-AB81)/ABS(AB81),0)</f>
        <v/>
      </c>
    </row>
    <row r="82">
      <c r="A82" s="59" t="inlineStr">
        <is>
          <t>Memo</t>
        </is>
      </c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Sales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Direct - Staff Cost</t>
        </is>
      </c>
      <c r="B84" s="17" t="n">
        <v>0</v>
      </c>
      <c r="C84" s="17" t="n">
        <v>0</v>
      </c>
      <c r="D84" s="17" t="n">
        <v>0</v>
      </c>
      <c r="E84" s="17" t="n">
        <v>0</v>
      </c>
      <c r="F84" s="17" t="n">
        <v>0</v>
      </c>
      <c r="G84" s="17" t="n">
        <v>0</v>
      </c>
      <c r="H84" s="17" t="n">
        <v>0</v>
      </c>
      <c r="I84" s="17" t="n">
        <v>0</v>
      </c>
      <c r="J84" s="17" t="n">
        <v>0</v>
      </c>
      <c r="K84" s="17" t="n">
        <v>0</v>
      </c>
      <c r="L84" s="17" t="n">
        <v>0</v>
      </c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Childcare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Premises &amp; Admin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In-Direct - Overheads</t>
        </is>
      </c>
      <c r="B88" s="17" t="n">
        <v>-6246.1</v>
      </c>
      <c r="C88" s="17" t="n">
        <v>-5814.1</v>
      </c>
      <c r="D88" s="17" t="n">
        <v>-15144.81</v>
      </c>
      <c r="E88" s="17" t="n">
        <v>-8405.049999999999</v>
      </c>
      <c r="F88" s="17" t="n">
        <v>-5784.1</v>
      </c>
      <c r="G88" s="17" t="n">
        <v>-5912.61</v>
      </c>
      <c r="H88" s="17" t="n">
        <v>-6555.36</v>
      </c>
      <c r="I88" s="17" t="n">
        <v>-6018.63</v>
      </c>
      <c r="J88" s="17" t="n">
        <v>-5978.72</v>
      </c>
      <c r="K88" s="17" t="n">
        <v>-7185.380000000001</v>
      </c>
      <c r="L88" s="17" t="n">
        <v>-6324.34</v>
      </c>
      <c r="M88" s="17" t="n">
        <v>-10505.09</v>
      </c>
      <c r="N88" t="n">
        <v>-89874.29000000001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 ht="15.75" customHeight="1">
      <c r="B89" s="66" t="n">
        <v>-6246.1</v>
      </c>
      <c r="C89" s="66" t="n">
        <v>-5814.1</v>
      </c>
      <c r="D89" s="66" t="n">
        <v>-15144.81</v>
      </c>
      <c r="E89" s="66" t="n">
        <v>-8405.049999999999</v>
      </c>
      <c r="F89" s="66" t="n">
        <v>-5784.1</v>
      </c>
      <c r="G89" s="66" t="n">
        <v>-5912.61</v>
      </c>
      <c r="H89" s="66" t="n">
        <v>-6555.36</v>
      </c>
      <c r="I89" s="66" t="n">
        <v>-6018.63</v>
      </c>
      <c r="J89" s="66" t="n">
        <v>-5978.72</v>
      </c>
      <c r="K89" s="66" t="n">
        <v>-7185.380000000001</v>
      </c>
      <c r="L89" s="66" t="n">
        <v>-6324.34</v>
      </c>
      <c r="M89" s="66" t="n">
        <v>-10505.09</v>
      </c>
      <c r="N89" t="n">
        <v>-89874.29000000001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  <c r="AI89" s="121" t="n">
        <v>0</v>
      </c>
      <c r="AJ89" s="121" t="n">
        <v>0</v>
      </c>
      <c r="AK89" s="121" t="n">
        <v>0</v>
      </c>
      <c r="AL89" s="121" t="n">
        <v>0</v>
      </c>
      <c r="AM89" s="121" t="n">
        <v>0</v>
      </c>
      <c r="AN89" s="121" t="n">
        <v>0</v>
      </c>
      <c r="AO89" s="144">
        <f>SUM(AC89:AH89)+SUM(AI89:AN89)</f>
        <v/>
      </c>
      <c r="AP89" s="139">
        <f>IF(AB89&lt;&gt;0,(AO89-AB89)/ABS(AB89),0)</f>
        <v/>
      </c>
    </row>
    <row r="90" ht="15.75" customHeight="1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0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0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0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>
        <v>6246.1</v>
      </c>
      <c r="C93" s="17" t="n">
        <v>5814.1</v>
      </c>
      <c r="D93" s="17" t="n">
        <v>15144.81</v>
      </c>
      <c r="E93" s="17" t="n">
        <v>8405.049999999999</v>
      </c>
      <c r="F93" s="17" t="n">
        <v>5784.1</v>
      </c>
      <c r="G93" s="17" t="n">
        <v>5912.61</v>
      </c>
      <c r="H93" s="17" t="n">
        <v>6555.36</v>
      </c>
      <c r="I93" s="17" t="n">
        <v>6018.63</v>
      </c>
      <c r="J93" s="17" t="n">
        <v>5978.72</v>
      </c>
      <c r="K93" s="17" t="n">
        <v>7185.380000000001</v>
      </c>
      <c r="L93" s="17" t="n">
        <v>6324.34</v>
      </c>
      <c r="M93" s="17" t="n">
        <v>10505.09</v>
      </c>
      <c r="N93" t="n">
        <v>89874.29000000001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</sheetData>
  <mergeCells count="1">
    <mergeCell ref="AI1:AQ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42578125" customWidth="1" min="22" max="22"/>
    <col width="9.85546875" customWidth="1" min="27" max="27"/>
    <col width="13.425781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406332.84</v>
      </c>
      <c r="C8" s="34" t="n">
        <v>370267.7</v>
      </c>
      <c r="D8" s="34" t="n">
        <v>440583.79</v>
      </c>
      <c r="E8" s="34" t="n">
        <v>480572.6399999998</v>
      </c>
      <c r="F8" s="34" t="n">
        <v>418282.78</v>
      </c>
      <c r="G8" s="34" t="n">
        <v>407160.64</v>
      </c>
      <c r="H8" s="34" t="n">
        <v>519579.89</v>
      </c>
      <c r="I8" s="34" t="n">
        <v>435459.8099999999</v>
      </c>
      <c r="J8" s="34" t="n">
        <v>343561.82</v>
      </c>
      <c r="K8" s="34" t="n">
        <v>339368.39</v>
      </c>
      <c r="L8" s="34" t="n">
        <v>304211.5</v>
      </c>
      <c r="M8" s="34" t="n">
        <v>414127.86</v>
      </c>
      <c r="N8" s="35" t="n">
        <v>4879509.66</v>
      </c>
      <c r="O8" s="36" t="n">
        <v>343795.9599999997</v>
      </c>
      <c r="P8" s="36" t="n">
        <v>310111.2099999997</v>
      </c>
      <c r="Q8" s="36" t="n">
        <v>367029.6399999996</v>
      </c>
      <c r="R8" s="36" t="n">
        <v>398186.9000000002</v>
      </c>
      <c r="S8" s="36" t="n">
        <v>332013.3799999993</v>
      </c>
      <c r="T8" s="36" t="n">
        <v>364326.0200000003</v>
      </c>
      <c r="U8" s="36" t="n">
        <v>651087.2300000008</v>
      </c>
      <c r="V8" s="37" t="n"/>
      <c r="W8" s="37" t="n"/>
      <c r="X8" s="37" t="n"/>
      <c r="Y8" s="37" t="n"/>
      <c r="Z8" s="37" t="n"/>
      <c r="AA8" s="35" t="n">
        <v>2766550.339999999</v>
      </c>
      <c r="AB8" s="35" t="n">
        <v>2766550.339999999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123603.95</v>
      </c>
      <c r="C9" s="34" t="n">
        <v>184132.01</v>
      </c>
      <c r="D9" s="34" t="n">
        <v>215486.69</v>
      </c>
      <c r="E9" s="34" t="n">
        <v>108962.48</v>
      </c>
      <c r="F9" s="34" t="n">
        <v>108962.48</v>
      </c>
      <c r="G9" s="34" t="n">
        <v>201642.53</v>
      </c>
      <c r="H9" s="34" t="n">
        <v>271627.6</v>
      </c>
      <c r="I9" s="34" t="n">
        <v>0</v>
      </c>
      <c r="J9" s="34" t="n">
        <v>126763.32</v>
      </c>
      <c r="K9" s="34" t="n">
        <v>153401.76</v>
      </c>
      <c r="L9" s="34" t="n">
        <v>295000.1900000001</v>
      </c>
      <c r="M9" s="34" t="n">
        <v>308551.5</v>
      </c>
      <c r="N9" s="35" t="n">
        <v>2098134.51</v>
      </c>
      <c r="O9" s="36" t="n">
        <v>181515.33</v>
      </c>
      <c r="P9" s="36" t="n">
        <v>275834.88</v>
      </c>
      <c r="Q9" s="36" t="n">
        <v>307715.42</v>
      </c>
      <c r="R9" s="36" t="n">
        <v>201965.99</v>
      </c>
      <c r="S9" s="36" t="n">
        <v>201966</v>
      </c>
      <c r="T9" s="36" t="n">
        <v>287053.22</v>
      </c>
      <c r="U9" s="36" t="n">
        <v>329207.22</v>
      </c>
      <c r="V9" s="37" t="n"/>
      <c r="W9" s="37" t="n"/>
      <c r="X9" s="37" t="n"/>
      <c r="Y9" s="37" t="n"/>
      <c r="Z9" s="37" t="n"/>
      <c r="AA9" s="35" t="n">
        <v>1785258.06</v>
      </c>
      <c r="AB9" s="35" t="n">
        <v>1785258.06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1850</v>
      </c>
      <c r="C10" s="34" t="n">
        <v>650</v>
      </c>
      <c r="D10" s="34" t="n">
        <v>1200</v>
      </c>
      <c r="E10" s="34" t="n">
        <v>1399.14</v>
      </c>
      <c r="F10" s="34" t="n">
        <v>1050</v>
      </c>
      <c r="G10" s="34" t="n">
        <v>1366.94</v>
      </c>
      <c r="H10" s="34" t="n">
        <v>750</v>
      </c>
      <c r="I10" s="34" t="n">
        <v>28937.56</v>
      </c>
      <c r="J10" s="34" t="n">
        <v>1900.57</v>
      </c>
      <c r="K10" s="34" t="n">
        <v>900</v>
      </c>
      <c r="L10" s="34" t="n">
        <v>1630.24</v>
      </c>
      <c r="M10" s="34" t="n">
        <v>1200</v>
      </c>
      <c r="N10" s="35" t="n">
        <v>42834.45</v>
      </c>
      <c r="O10" s="36" t="n">
        <v>2900</v>
      </c>
      <c r="P10" s="36" t="n">
        <v>750</v>
      </c>
      <c r="Q10" s="36" t="n">
        <v>1200</v>
      </c>
      <c r="R10" s="36" t="n">
        <v>1244.28</v>
      </c>
      <c r="S10" s="36" t="n">
        <v>750</v>
      </c>
      <c r="T10" s="36" t="n">
        <v>1200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9094.280000000001</v>
      </c>
      <c r="AB10" s="35" t="n">
        <v>9094.280000000001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531786.79</v>
      </c>
      <c r="C11" s="41" t="n">
        <v>555049.71</v>
      </c>
      <c r="D11" s="41" t="n">
        <v>657270.48</v>
      </c>
      <c r="E11" s="41" t="n">
        <v>590934.2599999998</v>
      </c>
      <c r="F11" s="41" t="n">
        <v>528295.26</v>
      </c>
      <c r="G11" s="41" t="n">
        <v>610170.11</v>
      </c>
      <c r="H11" s="41" t="n">
        <v>791957.49</v>
      </c>
      <c r="I11" s="41" t="n">
        <v>464397.3699999999</v>
      </c>
      <c r="J11" s="41" t="n">
        <v>472225.71</v>
      </c>
      <c r="K11" s="41" t="n">
        <v>493670.15</v>
      </c>
      <c r="L11" s="41" t="n">
        <v>600841.9300000002</v>
      </c>
      <c r="M11" s="41" t="n">
        <v>723879.36</v>
      </c>
      <c r="N11" s="42" t="n">
        <v>7020478.62</v>
      </c>
      <c r="O11" s="43" t="n">
        <v>528211.2899999997</v>
      </c>
      <c r="P11" s="43" t="n">
        <v>586696.0899999996</v>
      </c>
      <c r="Q11" s="43" t="n">
        <v>675945.0599999996</v>
      </c>
      <c r="R11" s="43" t="n">
        <v>601397.1700000002</v>
      </c>
      <c r="S11" s="43" t="n">
        <v>534729.3799999993</v>
      </c>
      <c r="T11" s="43" t="n">
        <v>652579.2400000002</v>
      </c>
      <c r="U11" s="43" t="n">
        <v>981344.4500000008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4560902.68</v>
      </c>
      <c r="AB11" s="42" t="n">
        <v>4560902.68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225384.19</v>
      </c>
      <c r="C16" s="34" t="n">
        <v>219615.93</v>
      </c>
      <c r="D16" s="34" t="n">
        <v>227506.24</v>
      </c>
      <c r="E16" s="34" t="n">
        <v>259500.56</v>
      </c>
      <c r="F16" s="34" t="n">
        <v>255063.9</v>
      </c>
      <c r="G16" s="34" t="n">
        <v>247653.74</v>
      </c>
      <c r="H16" s="34" t="n">
        <v>264124.91</v>
      </c>
      <c r="I16" s="34" t="n">
        <v>247816.15</v>
      </c>
      <c r="J16" s="34" t="n">
        <v>256303.81</v>
      </c>
      <c r="K16" s="34" t="n">
        <v>244555.73</v>
      </c>
      <c r="L16" s="34" t="n">
        <v>233222.55</v>
      </c>
      <c r="M16" s="34" t="n">
        <v>243603.54</v>
      </c>
      <c r="N16" s="35" t="n">
        <v>2924351.25</v>
      </c>
      <c r="O16" s="36" t="n">
        <v>248793.83</v>
      </c>
      <c r="P16" s="36" t="n">
        <v>246384.23</v>
      </c>
      <c r="Q16" s="36" t="n">
        <v>235987.99</v>
      </c>
      <c r="R16" s="36" t="n">
        <v>255325.68</v>
      </c>
      <c r="S16" s="36" t="n">
        <v>261335.24</v>
      </c>
      <c r="T16" s="36" t="n">
        <v>256707.5</v>
      </c>
      <c r="U16" s="36" t="n">
        <v>398670.72</v>
      </c>
      <c r="V16" s="37" t="n"/>
      <c r="W16" s="37" t="n"/>
      <c r="X16" s="37" t="n"/>
      <c r="Y16" s="37" t="n"/>
      <c r="Z16" s="37" t="n"/>
      <c r="AA16" s="35" t="n">
        <v>1903205.19</v>
      </c>
      <c r="AB16" s="35" t="n">
        <v>1903205.19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17214</v>
      </c>
      <c r="C17" s="34" t="n">
        <v>16376.6</v>
      </c>
      <c r="D17" s="34" t="n">
        <v>17171.15</v>
      </c>
      <c r="E17" s="34" t="n">
        <v>27648.51</v>
      </c>
      <c r="F17" s="34" t="n">
        <v>26607.47</v>
      </c>
      <c r="G17" s="34" t="n">
        <v>25482.47</v>
      </c>
      <c r="H17" s="34" t="n">
        <v>27386.88</v>
      </c>
      <c r="I17" s="34" t="n">
        <v>25045.64</v>
      </c>
      <c r="J17" s="34" t="n">
        <v>27704.75</v>
      </c>
      <c r="K17" s="34" t="n">
        <v>24805.75</v>
      </c>
      <c r="L17" s="34" t="n">
        <v>23462.74</v>
      </c>
      <c r="M17" s="34" t="n">
        <v>24799.72</v>
      </c>
      <c r="N17" s="35" t="n">
        <v>283705.68</v>
      </c>
      <c r="O17" s="36" t="n">
        <v>25530.8</v>
      </c>
      <c r="P17" s="36" t="n">
        <v>24443.7</v>
      </c>
      <c r="Q17" s="36" t="n">
        <v>23857.7</v>
      </c>
      <c r="R17" s="36" t="n">
        <v>25868.47</v>
      </c>
      <c r="S17" s="36" t="n">
        <v>25866.81</v>
      </c>
      <c r="T17" s="36" t="n">
        <v>25408.44</v>
      </c>
      <c r="U17" s="36" t="n">
        <v>41226.31</v>
      </c>
      <c r="V17" s="37" t="n"/>
      <c r="W17" s="37" t="n"/>
      <c r="X17" s="37" t="n"/>
      <c r="Y17" s="37" t="n"/>
      <c r="Z17" s="37" t="n"/>
      <c r="AA17" s="35" t="n">
        <v>192202.23</v>
      </c>
      <c r="AB17" s="35" t="n">
        <v>192202.23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4061.38</v>
      </c>
      <c r="C18" s="34" t="n">
        <v>3944.39</v>
      </c>
      <c r="D18" s="34" t="n">
        <v>3883.39</v>
      </c>
      <c r="E18" s="34" t="n">
        <v>4173.42</v>
      </c>
      <c r="F18" s="34" t="n">
        <v>4311.7</v>
      </c>
      <c r="G18" s="34" t="n">
        <v>4340.11</v>
      </c>
      <c r="H18" s="34" t="n">
        <v>4730.349999999999</v>
      </c>
      <c r="I18" s="34" t="n">
        <v>4424.44</v>
      </c>
      <c r="J18" s="34" t="n">
        <v>4388.13</v>
      </c>
      <c r="K18" s="34" t="n">
        <v>3998.24</v>
      </c>
      <c r="L18" s="34" t="n">
        <v>3978.02</v>
      </c>
      <c r="M18" s="34" t="n">
        <v>4301.849999999999</v>
      </c>
      <c r="N18" s="35" t="n">
        <v>50535.42</v>
      </c>
      <c r="O18" s="36" t="n">
        <v>4350.84</v>
      </c>
      <c r="P18" s="36" t="n">
        <v>3955.22</v>
      </c>
      <c r="Q18" s="36" t="n">
        <v>3704.17</v>
      </c>
      <c r="R18" s="36" t="n">
        <v>4300.63</v>
      </c>
      <c r="S18" s="36" t="n">
        <v>4319.63</v>
      </c>
      <c r="T18" s="36" t="n">
        <v>4326.86</v>
      </c>
      <c r="U18" s="36" t="n">
        <v>7030.930000000001</v>
      </c>
      <c r="V18" s="37" t="n"/>
      <c r="W18" s="37" t="n"/>
      <c r="X18" s="37" t="n"/>
      <c r="Y18" s="37" t="n"/>
      <c r="Z18" s="37" t="n"/>
      <c r="AA18" s="35" t="n">
        <v>31988.28</v>
      </c>
      <c r="AB18" s="35" t="n">
        <v>31988.28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901.9000000000001</v>
      </c>
      <c r="C19" s="34" t="n">
        <v>871.2800000000001</v>
      </c>
      <c r="D19" s="34" t="n">
        <v>475.23</v>
      </c>
      <c r="E19" s="34" t="n">
        <v>271.02</v>
      </c>
      <c r="F19" s="34" t="n">
        <v>810.11</v>
      </c>
      <c r="G19" s="34" t="n">
        <v>846.8200000000001</v>
      </c>
      <c r="H19" s="34" t="n">
        <v>399.49</v>
      </c>
      <c r="I19" s="34" t="n">
        <v>0</v>
      </c>
      <c r="J19" s="34" t="n">
        <v>918.9</v>
      </c>
      <c r="K19" s="34" t="n">
        <v>615.3</v>
      </c>
      <c r="L19" s="34" t="n">
        <v>393.3199999999999</v>
      </c>
      <c r="M19" s="34" t="n">
        <v>1747.06</v>
      </c>
      <c r="N19" s="35" t="n">
        <v>8250.43</v>
      </c>
      <c r="O19" s="36" t="n">
        <v>776.4300000000001</v>
      </c>
      <c r="P19" s="36" t="n">
        <v>285.79</v>
      </c>
      <c r="Q19" s="36" t="n">
        <v>465.72</v>
      </c>
      <c r="R19" s="36" t="n">
        <v>759.87</v>
      </c>
      <c r="S19" s="36" t="n">
        <v>245.74</v>
      </c>
      <c r="T19" s="36" t="n">
        <v>1432.06</v>
      </c>
      <c r="U19" s="36" t="n">
        <v>276.39</v>
      </c>
      <c r="V19" s="37" t="n"/>
      <c r="W19" s="37" t="n"/>
      <c r="X19" s="37" t="n"/>
      <c r="Y19" s="37" t="n"/>
      <c r="Z19" s="37" t="n"/>
      <c r="AA19" s="35" t="n">
        <v>4242</v>
      </c>
      <c r="AB19" s="35" t="n">
        <v>4242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2688.82</v>
      </c>
      <c r="C20" s="34" t="n">
        <v>7288.880000000001</v>
      </c>
      <c r="D20" s="34" t="n">
        <v>3398.99</v>
      </c>
      <c r="E20" s="34" t="n">
        <v>2471.63</v>
      </c>
      <c r="F20" s="34" t="n">
        <v>2453.5</v>
      </c>
      <c r="G20" s="34" t="n">
        <v>2367.39</v>
      </c>
      <c r="H20" s="34" t="n">
        <v>2557.88</v>
      </c>
      <c r="I20" s="34" t="n">
        <v>2820.2</v>
      </c>
      <c r="J20" s="34" t="n">
        <v>1973.2</v>
      </c>
      <c r="K20" s="34" t="n">
        <v>8399.299999999999</v>
      </c>
      <c r="L20" s="34" t="n">
        <v>2574.2</v>
      </c>
      <c r="M20" s="34" t="n">
        <v>1212.77</v>
      </c>
      <c r="N20" s="35" t="n">
        <v>40206.76</v>
      </c>
      <c r="O20" s="36" t="n">
        <v>3266.86</v>
      </c>
      <c r="P20" s="36" t="n">
        <v>5538.849999999999</v>
      </c>
      <c r="Q20" s="36" t="n">
        <v>5066.93</v>
      </c>
      <c r="R20" s="36" t="n">
        <v>10383.54</v>
      </c>
      <c r="S20" s="36" t="n">
        <v>1290.13</v>
      </c>
      <c r="T20" s="36" t="n">
        <v>2776.36</v>
      </c>
      <c r="U20" s="36" t="n">
        <v>5082.889999999999</v>
      </c>
      <c r="V20" s="37" t="n"/>
      <c r="W20" s="37" t="n"/>
      <c r="X20" s="37" t="n"/>
      <c r="Y20" s="37" t="n"/>
      <c r="Z20" s="37" t="n"/>
      <c r="AA20" s="35" t="n">
        <v>33405.56</v>
      </c>
      <c r="AB20" s="35" t="n">
        <v>33405.56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4825.509999999999</v>
      </c>
      <c r="C21" s="34" t="n">
        <v>4075.389999999999</v>
      </c>
      <c r="D21" s="34" t="n">
        <v>2579.36</v>
      </c>
      <c r="E21" s="34" t="n">
        <v>3492.619999999999</v>
      </c>
      <c r="F21" s="34" t="n">
        <v>4004.26</v>
      </c>
      <c r="G21" s="34" t="n">
        <v>2160.96</v>
      </c>
      <c r="H21" s="34" t="n">
        <v>2672.08</v>
      </c>
      <c r="I21" s="34" t="n">
        <v>1667.93</v>
      </c>
      <c r="J21" s="34" t="n">
        <v>1275.7</v>
      </c>
      <c r="K21" s="34" t="n">
        <v>2037.66</v>
      </c>
      <c r="L21" s="34" t="n">
        <v>2767.7</v>
      </c>
      <c r="M21" s="34" t="n">
        <v>2349.9</v>
      </c>
      <c r="N21" s="35" t="n">
        <v>33909.07</v>
      </c>
      <c r="O21" s="36" t="n">
        <v>2219.07</v>
      </c>
      <c r="P21" s="36" t="n">
        <v>2284.95</v>
      </c>
      <c r="Q21" s="36" t="n">
        <v>2981.31</v>
      </c>
      <c r="R21" s="36" t="n">
        <v>2863.46</v>
      </c>
      <c r="S21" s="36" t="n">
        <v>1753.04</v>
      </c>
      <c r="T21" s="36" t="n">
        <v>2397.6</v>
      </c>
      <c r="U21" s="36" t="n">
        <v>3311.769999999999</v>
      </c>
      <c r="V21" s="37" t="n"/>
      <c r="W21" s="37" t="n"/>
      <c r="X21" s="37" t="n"/>
      <c r="Y21" s="37" t="n"/>
      <c r="Z21" s="37" t="n"/>
      <c r="AA21" s="35" t="n">
        <v>17811.2</v>
      </c>
      <c r="AB21" s="35" t="n">
        <v>17811.2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5104.8</v>
      </c>
      <c r="D22" s="34" t="n">
        <v>69.98999999999999</v>
      </c>
      <c r="E22" s="34" t="n">
        <v>4169.88</v>
      </c>
      <c r="F22" s="34" t="n">
        <v>3421.43</v>
      </c>
      <c r="G22" s="34" t="n">
        <v>4876.26</v>
      </c>
      <c r="H22" s="34" t="n">
        <v>528.17</v>
      </c>
      <c r="I22" s="34" t="n">
        <v>0</v>
      </c>
      <c r="J22" s="34" t="n">
        <v>4461</v>
      </c>
      <c r="K22" s="34" t="n">
        <v>39.89</v>
      </c>
      <c r="L22" s="34" t="n">
        <v>0</v>
      </c>
      <c r="M22" s="34" t="n">
        <v>3650.4</v>
      </c>
      <c r="N22" s="35" t="n">
        <v>26321.82</v>
      </c>
      <c r="O22" s="36" t="n">
        <v>2677</v>
      </c>
      <c r="P22" s="36" t="n">
        <v>8489.440000000001</v>
      </c>
      <c r="Q22" s="36" t="n">
        <v>67.28</v>
      </c>
      <c r="R22" s="36" t="n">
        <v>642.4</v>
      </c>
      <c r="S22" s="36" t="n">
        <v>279.5</v>
      </c>
      <c r="T22" s="36" t="n">
        <v>104.02</v>
      </c>
      <c r="U22" s="36" t="n">
        <v>0</v>
      </c>
      <c r="V22" s="37" t="n"/>
      <c r="W22" s="37" t="n"/>
      <c r="X22" s="37" t="n"/>
      <c r="Y22" s="37" t="n"/>
      <c r="Z22" s="37" t="n"/>
      <c r="AA22" s="35" t="n">
        <v>12259.64</v>
      </c>
      <c r="AB22" s="35" t="n">
        <v>12259.64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2186.8</v>
      </c>
      <c r="I23" s="34" t="n">
        <v>1099.95</v>
      </c>
      <c r="J23" s="34" t="n">
        <v>2191.73</v>
      </c>
      <c r="K23" s="34" t="n">
        <v>1118.46</v>
      </c>
      <c r="L23" s="34" t="n">
        <v>3780.01</v>
      </c>
      <c r="M23" s="34" t="n">
        <v>2125.75</v>
      </c>
      <c r="N23" s="35" t="n">
        <v>14132.7</v>
      </c>
      <c r="O23" s="36" t="n">
        <v>1158.41</v>
      </c>
      <c r="P23" s="36" t="n">
        <v>1151.28</v>
      </c>
      <c r="Q23" s="36" t="n">
        <v>502.47</v>
      </c>
      <c r="R23" s="36" t="n">
        <v>665.8399999999999</v>
      </c>
      <c r="S23" s="36" t="n">
        <v>1905.31</v>
      </c>
      <c r="T23" s="36" t="n">
        <v>863.79</v>
      </c>
      <c r="U23" s="36" t="n">
        <v>1456.79</v>
      </c>
      <c r="V23" s="37" t="n"/>
      <c r="W23" s="37" t="n"/>
      <c r="X23" s="37" t="n"/>
      <c r="Y23" s="37" t="n"/>
      <c r="Z23" s="37" t="n"/>
      <c r="AA23" s="35" t="n">
        <v>7703.889999999999</v>
      </c>
      <c r="AB23" s="35" t="n">
        <v>7703.889999999999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5549.35</v>
      </c>
      <c r="L24" s="34" t="n">
        <v>3008.5</v>
      </c>
      <c r="M24" s="34" t="n">
        <v>0</v>
      </c>
      <c r="N24" s="35" t="n">
        <v>10444.01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255075.8</v>
      </c>
      <c r="C25" s="41" t="n">
        <v>257277.27</v>
      </c>
      <c r="D25" s="41" t="n">
        <v>255084.35</v>
      </c>
      <c r="E25" s="41" t="n">
        <v>301727.64</v>
      </c>
      <c r="F25" s="41" t="n">
        <v>296898.4</v>
      </c>
      <c r="G25" s="41" t="n">
        <v>289357.75</v>
      </c>
      <c r="H25" s="41" t="n">
        <v>304835.97</v>
      </c>
      <c r="I25" s="41" t="n">
        <v>282874.31</v>
      </c>
      <c r="J25" s="41" t="n">
        <v>300627.94</v>
      </c>
      <c r="K25" s="41" t="n">
        <v>291119.68</v>
      </c>
      <c r="L25" s="41" t="n">
        <v>273187.04</v>
      </c>
      <c r="M25" s="41" t="n">
        <v>283790.99</v>
      </c>
      <c r="N25" s="42" t="n">
        <v>3391857.14</v>
      </c>
      <c r="O25" s="43" t="n">
        <v>290059.25</v>
      </c>
      <c r="P25" s="43" t="n">
        <v>292533.46</v>
      </c>
      <c r="Q25" s="43" t="n">
        <v>272633.57</v>
      </c>
      <c r="R25" s="43" t="n">
        <v>300809.89</v>
      </c>
      <c r="S25" s="43" t="n">
        <v>296995.4</v>
      </c>
      <c r="T25" s="43" t="n">
        <v>294016.63</v>
      </c>
      <c r="U25" s="43" t="n">
        <v>457055.8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2204104</v>
      </c>
      <c r="AB25" s="42" t="n">
        <v>2204104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15476.72</v>
      </c>
      <c r="C27" s="34" t="n">
        <v>17023.7</v>
      </c>
      <c r="D27" s="34" t="n">
        <v>16507.06</v>
      </c>
      <c r="E27" s="34" t="n">
        <v>13382.91</v>
      </c>
      <c r="F27" s="34" t="n">
        <v>15272.21</v>
      </c>
      <c r="G27" s="34" t="n">
        <v>15688.95</v>
      </c>
      <c r="H27" s="34" t="n">
        <v>15141.05</v>
      </c>
      <c r="I27" s="34" t="n">
        <v>15771.29</v>
      </c>
      <c r="J27" s="34" t="n">
        <v>14551.7</v>
      </c>
      <c r="K27" s="34" t="n">
        <v>16263.46</v>
      </c>
      <c r="L27" s="34" t="n">
        <v>15545.59</v>
      </c>
      <c r="M27" s="34" t="n">
        <v>11868.26</v>
      </c>
      <c r="N27" s="35" t="n">
        <v>182492.9</v>
      </c>
      <c r="O27" s="36" t="n">
        <v>13294.17</v>
      </c>
      <c r="P27" s="36" t="n">
        <v>15588.96</v>
      </c>
      <c r="Q27" s="36" t="n">
        <v>15084.53</v>
      </c>
      <c r="R27" s="36" t="n">
        <v>14081.8</v>
      </c>
      <c r="S27" s="36" t="n">
        <v>16384.9</v>
      </c>
      <c r="T27" s="36" t="n">
        <v>15864.87</v>
      </c>
      <c r="U27" s="36" t="n">
        <v>23135.41999999999</v>
      </c>
      <c r="V27" s="37" t="n"/>
      <c r="W27" s="37" t="n"/>
      <c r="X27" s="37" t="n"/>
      <c r="Y27" s="37" t="n"/>
      <c r="Z27" s="37" t="n"/>
      <c r="AA27" s="35" t="n">
        <v>113434.65</v>
      </c>
      <c r="AB27" s="35" t="n">
        <v>113434.65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1407.24</v>
      </c>
      <c r="C28" s="34" t="n">
        <v>2677.99</v>
      </c>
      <c r="D28" s="34" t="n">
        <v>1177.96</v>
      </c>
      <c r="E28" s="34" t="n">
        <v>1527.49</v>
      </c>
      <c r="F28" s="34" t="n">
        <v>3325.92</v>
      </c>
      <c r="G28" s="34" t="n">
        <v>4840.8</v>
      </c>
      <c r="H28" s="34" t="n">
        <v>4323.200000000001</v>
      </c>
      <c r="I28" s="34" t="n">
        <v>5393</v>
      </c>
      <c r="J28" s="34" t="n">
        <v>1799</v>
      </c>
      <c r="K28" s="34" t="n">
        <v>1275.67</v>
      </c>
      <c r="L28" s="34" t="n">
        <v>1612.58</v>
      </c>
      <c r="M28" s="34" t="n">
        <v>1179.7</v>
      </c>
      <c r="N28" s="35" t="n">
        <v>30540.55</v>
      </c>
      <c r="O28" s="36" t="n">
        <v>966.8400000000001</v>
      </c>
      <c r="P28" s="36" t="n">
        <v>928.5600000000001</v>
      </c>
      <c r="Q28" s="36" t="n">
        <v>2471.18</v>
      </c>
      <c r="R28" s="36" t="n">
        <v>1370.43</v>
      </c>
      <c r="S28" s="36" t="n">
        <v>2101.900000000001</v>
      </c>
      <c r="T28" s="36" t="n">
        <v>2751.18</v>
      </c>
      <c r="U28" s="36" t="n">
        <v>-6002.309999999999</v>
      </c>
      <c r="V28" s="37" t="n"/>
      <c r="W28" s="37" t="n"/>
      <c r="X28" s="37" t="n"/>
      <c r="Y28" s="37" t="n"/>
      <c r="Z28" s="37" t="n"/>
      <c r="AA28" s="35" t="n">
        <v>4587.780000000002</v>
      </c>
      <c r="AB28" s="35" t="n">
        <v>4587.780000000002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1106.77</v>
      </c>
      <c r="C29" s="34" t="n">
        <v>1277.08</v>
      </c>
      <c r="D29" s="34" t="n">
        <v>1471.69</v>
      </c>
      <c r="E29" s="34" t="n">
        <v>667.89</v>
      </c>
      <c r="F29" s="34" t="n">
        <v>322.83</v>
      </c>
      <c r="G29" s="34" t="n">
        <v>1370.84</v>
      </c>
      <c r="H29" s="34" t="n">
        <v>465.36</v>
      </c>
      <c r="I29" s="34" t="n">
        <v>507.92</v>
      </c>
      <c r="J29" s="34" t="n">
        <v>600.76</v>
      </c>
      <c r="K29" s="34" t="n">
        <v>1530.41</v>
      </c>
      <c r="L29" s="34" t="n">
        <v>1808.63</v>
      </c>
      <c r="M29" s="34" t="n">
        <v>920.52</v>
      </c>
      <c r="N29" s="35" t="n">
        <v>12050.7</v>
      </c>
      <c r="O29" s="36" t="n">
        <v>580.5599999999999</v>
      </c>
      <c r="P29" s="36" t="n">
        <v>947.6799999999999</v>
      </c>
      <c r="Q29" s="36" t="n">
        <v>1288.52</v>
      </c>
      <c r="R29" s="36" t="n">
        <v>466.79</v>
      </c>
      <c r="S29" s="36" t="n">
        <v>433.9399999999999</v>
      </c>
      <c r="T29" s="36" t="n">
        <v>1481.14</v>
      </c>
      <c r="U29" s="36" t="n">
        <v>1121.56</v>
      </c>
      <c r="V29" s="37" t="n"/>
      <c r="W29" s="37" t="n"/>
      <c r="X29" s="37" t="n"/>
      <c r="Y29" s="37" t="n"/>
      <c r="Z29" s="37" t="n"/>
      <c r="AA29" s="35" t="n">
        <v>6320.19</v>
      </c>
      <c r="AB29" s="35" t="n">
        <v>6320.19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586.91</v>
      </c>
      <c r="C30" s="34" t="n">
        <v>504.67</v>
      </c>
      <c r="D30" s="34" t="n">
        <v>287.33</v>
      </c>
      <c r="E30" s="34" t="n">
        <v>285.1500000000001</v>
      </c>
      <c r="F30" s="34" t="n">
        <v>245.29</v>
      </c>
      <c r="G30" s="34" t="n">
        <v>402.8000000000001</v>
      </c>
      <c r="H30" s="34" t="n">
        <v>940.6099999999999</v>
      </c>
      <c r="I30" s="34" t="n">
        <v>555.96</v>
      </c>
      <c r="J30" s="34" t="n">
        <v>333.6199999999999</v>
      </c>
      <c r="K30" s="34" t="n">
        <v>469.71</v>
      </c>
      <c r="L30" s="34" t="n">
        <v>686.6700000000001</v>
      </c>
      <c r="M30" s="34" t="n">
        <v>450.4799999999999</v>
      </c>
      <c r="N30" s="35" t="n">
        <v>5749.2</v>
      </c>
      <c r="O30" s="36" t="n">
        <v>580.21</v>
      </c>
      <c r="P30" s="36" t="n">
        <v>809.0999999999999</v>
      </c>
      <c r="Q30" s="36" t="n">
        <v>409.1199999999999</v>
      </c>
      <c r="R30" s="36" t="n">
        <v>1306.28</v>
      </c>
      <c r="S30" s="36" t="n">
        <v>341.7900000000001</v>
      </c>
      <c r="T30" s="36" t="n">
        <v>830.6600000000001</v>
      </c>
      <c r="U30" s="36" t="n">
        <v>468.7900000000001</v>
      </c>
      <c r="V30" s="37" t="n"/>
      <c r="W30" s="37" t="n"/>
      <c r="X30" s="37" t="n"/>
      <c r="Y30" s="37" t="n"/>
      <c r="Z30" s="37" t="n"/>
      <c r="AA30" s="35" t="n">
        <v>4745.95</v>
      </c>
      <c r="AB30" s="35" t="n">
        <v>4745.95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1380.2</v>
      </c>
      <c r="C31" s="34" t="n">
        <v>1331.67</v>
      </c>
      <c r="D31" s="34" t="n">
        <v>708</v>
      </c>
      <c r="E31" s="34" t="n">
        <v>518.5799999999999</v>
      </c>
      <c r="F31" s="34" t="n">
        <v>1704.7</v>
      </c>
      <c r="G31" s="34" t="n">
        <v>2146.71</v>
      </c>
      <c r="H31" s="34" t="n">
        <v>984.3499999999999</v>
      </c>
      <c r="I31" s="34" t="n">
        <v>285.4699999999999</v>
      </c>
      <c r="J31" s="34" t="n">
        <v>446.8299999999999</v>
      </c>
      <c r="K31" s="34" t="n">
        <v>1770.77</v>
      </c>
      <c r="L31" s="34" t="n">
        <v>1665.22</v>
      </c>
      <c r="M31" s="34" t="n">
        <v>518.45</v>
      </c>
      <c r="N31" s="35" t="n">
        <v>13460.95</v>
      </c>
      <c r="O31" s="36" t="n">
        <v>582.5</v>
      </c>
      <c r="P31" s="36" t="n">
        <v>394.15</v>
      </c>
      <c r="Q31" s="36" t="n">
        <v>434.9299999999999</v>
      </c>
      <c r="R31" s="36" t="n">
        <v>485.8200000000001</v>
      </c>
      <c r="S31" s="36" t="n">
        <v>1523.71</v>
      </c>
      <c r="T31" s="36" t="n">
        <v>1042.26</v>
      </c>
      <c r="U31" s="36" t="n">
        <v>795.2500000000001</v>
      </c>
      <c r="V31" s="37" t="n"/>
      <c r="W31" s="37" t="n"/>
      <c r="X31" s="37" t="n"/>
      <c r="Y31" s="37" t="n"/>
      <c r="Z31" s="37" t="n"/>
      <c r="AA31" s="35" t="n">
        <v>5258.62</v>
      </c>
      <c r="AB31" s="35" t="n">
        <v>5258.62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1894.16</v>
      </c>
      <c r="C32" s="34" t="n">
        <v>1376.25</v>
      </c>
      <c r="D32" s="34" t="n">
        <v>1531.98</v>
      </c>
      <c r="E32" s="34" t="n">
        <v>2028.28</v>
      </c>
      <c r="F32" s="34" t="n">
        <v>2460.34</v>
      </c>
      <c r="G32" s="34" t="n">
        <v>2577.74</v>
      </c>
      <c r="H32" s="34" t="n">
        <v>2458.36</v>
      </c>
      <c r="I32" s="34" t="n">
        <v>1997.14</v>
      </c>
      <c r="J32" s="34" t="n">
        <v>1694.04</v>
      </c>
      <c r="K32" s="34" t="n">
        <v>1717.31</v>
      </c>
      <c r="L32" s="34" t="n">
        <v>2425.88</v>
      </c>
      <c r="M32" s="34" t="n">
        <v>2526.45</v>
      </c>
      <c r="N32" s="35" t="n">
        <v>24687.93</v>
      </c>
      <c r="O32" s="36" t="n">
        <v>2941.4</v>
      </c>
      <c r="P32" s="36" t="n">
        <v>2742.57</v>
      </c>
      <c r="Q32" s="36" t="n">
        <v>2792.48</v>
      </c>
      <c r="R32" s="36" t="n">
        <v>3548.85</v>
      </c>
      <c r="S32" s="36" t="n">
        <v>3409.41</v>
      </c>
      <c r="T32" s="36" t="n">
        <v>2789.1</v>
      </c>
      <c r="U32" s="36" t="n">
        <v>3440.849999999999</v>
      </c>
      <c r="V32" s="37" t="n"/>
      <c r="W32" s="37" t="n"/>
      <c r="X32" s="37" t="n"/>
      <c r="Y32" s="37" t="n"/>
      <c r="Z32" s="37" t="n"/>
      <c r="AA32" s="35" t="n">
        <v>21664.66</v>
      </c>
      <c r="AB32" s="35" t="n">
        <v>21664.66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21852</v>
      </c>
      <c r="C34" s="41" t="n">
        <v>24191.36</v>
      </c>
      <c r="D34" s="41" t="n">
        <v>21684.02</v>
      </c>
      <c r="E34" s="41" t="n">
        <v>18410.3</v>
      </c>
      <c r="F34" s="41" t="n">
        <v>23331.29</v>
      </c>
      <c r="G34" s="41" t="n">
        <v>27027.84</v>
      </c>
      <c r="H34" s="41" t="n">
        <v>24312.93</v>
      </c>
      <c r="I34" s="41" t="n">
        <v>24510.78</v>
      </c>
      <c r="J34" s="41" t="n">
        <v>19425.95</v>
      </c>
      <c r="K34" s="41" t="n">
        <v>23027.33</v>
      </c>
      <c r="L34" s="41" t="n">
        <v>23744.57</v>
      </c>
      <c r="M34" s="41" t="n">
        <v>17463.86</v>
      </c>
      <c r="N34" s="42" t="n">
        <v>268982.23</v>
      </c>
      <c r="O34" s="43" t="n">
        <v>18945.68</v>
      </c>
      <c r="P34" s="43" t="n">
        <v>21411.02</v>
      </c>
      <c r="Q34" s="43" t="n">
        <v>22480.76</v>
      </c>
      <c r="R34" s="43" t="n">
        <v>21259.97</v>
      </c>
      <c r="S34" s="43" t="n">
        <v>24195.65</v>
      </c>
      <c r="T34" s="43" t="n">
        <v>24759.21</v>
      </c>
      <c r="U34" s="43" t="n">
        <v>22959.55999999999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156011.85</v>
      </c>
      <c r="AB34" s="42" t="n">
        <v>156011.85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33788.08</v>
      </c>
      <c r="AB36" s="35" t="n">
        <v>33788.08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16409.93</v>
      </c>
      <c r="C37" s="34" t="n">
        <v>16409.93</v>
      </c>
      <c r="D37" s="34" t="n">
        <v>16409.93</v>
      </c>
      <c r="E37" s="34" t="n">
        <v>16574.19</v>
      </c>
      <c r="F37" s="34" t="n">
        <v>16574.19</v>
      </c>
      <c r="G37" s="34" t="n">
        <v>16574.19</v>
      </c>
      <c r="H37" s="34" t="n">
        <v>16574.19</v>
      </c>
      <c r="I37" s="34" t="n">
        <v>16574.19</v>
      </c>
      <c r="J37" s="34" t="n">
        <v>16574.19</v>
      </c>
      <c r="K37" s="34" t="n">
        <v>16574.19</v>
      </c>
      <c r="L37" s="34" t="n">
        <v>16574.19</v>
      </c>
      <c r="M37" s="34" t="n">
        <v>16574.19</v>
      </c>
      <c r="N37" s="35" t="n">
        <v>198397.5</v>
      </c>
      <c r="O37" s="36" t="n">
        <v>17343.42</v>
      </c>
      <c r="P37" s="36" t="n">
        <v>17343.4</v>
      </c>
      <c r="Q37" s="36" t="n">
        <v>17343.36</v>
      </c>
      <c r="R37" s="36" t="n">
        <v>16622.65</v>
      </c>
      <c r="S37" s="36" t="n">
        <v>16622.65</v>
      </c>
      <c r="T37" s="36" t="n">
        <v>16622.65</v>
      </c>
      <c r="U37" s="36" t="n">
        <v>21126</v>
      </c>
      <c r="V37" s="37" t="n"/>
      <c r="W37" s="37" t="n"/>
      <c r="X37" s="37" t="n"/>
      <c r="Y37" s="37" t="n"/>
      <c r="Z37" s="37" t="n"/>
      <c r="AA37" s="35" t="n">
        <v>123024.13</v>
      </c>
      <c r="AB37" s="35" t="n">
        <v>123024.13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10109.88</v>
      </c>
      <c r="C38" s="34" t="n">
        <v>6635.460000000006</v>
      </c>
      <c r="D38" s="34" t="n">
        <v>12241.16</v>
      </c>
      <c r="E38" s="34" t="n">
        <v>11273</v>
      </c>
      <c r="F38" s="34" t="n">
        <v>10811.39</v>
      </c>
      <c r="G38" s="34" t="n">
        <v>6976.67</v>
      </c>
      <c r="H38" s="34" t="n">
        <v>5585.79</v>
      </c>
      <c r="I38" s="34" t="n">
        <v>6057.77</v>
      </c>
      <c r="J38" s="34" t="n">
        <v>4316.4</v>
      </c>
      <c r="K38" s="34" t="n">
        <v>11866.59</v>
      </c>
      <c r="L38" s="34" t="n">
        <v>7940.06</v>
      </c>
      <c r="M38" s="34" t="n">
        <v>8182.809999999999</v>
      </c>
      <c r="N38" s="35" t="n">
        <v>101996.98</v>
      </c>
      <c r="O38" s="36" t="n">
        <v>10412.72</v>
      </c>
      <c r="P38" s="36" t="n">
        <v>14541.57</v>
      </c>
      <c r="Q38" s="36" t="n">
        <v>9773.249999999998</v>
      </c>
      <c r="R38" s="36" t="n">
        <v>9074.33</v>
      </c>
      <c r="S38" s="36" t="n">
        <v>6750.41</v>
      </c>
      <c r="T38" s="36" t="n">
        <v>5073.200000000001</v>
      </c>
      <c r="U38" s="36" t="n">
        <v>8636.01</v>
      </c>
      <c r="V38" s="37" t="n"/>
      <c r="W38" s="37" t="n"/>
      <c r="X38" s="37" t="n"/>
      <c r="Y38" s="37" t="n"/>
      <c r="Z38" s="37" t="n"/>
      <c r="AA38" s="35" t="n">
        <v>64261.49</v>
      </c>
      <c r="AB38" s="35" t="n">
        <v>64261.49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6370.100000000001</v>
      </c>
      <c r="C39" s="34" t="n">
        <v>15944.93</v>
      </c>
      <c r="D39" s="34" t="n">
        <v>8798.789999999997</v>
      </c>
      <c r="E39" s="34" t="n">
        <v>4734.56</v>
      </c>
      <c r="F39" s="34" t="n">
        <v>3956.539999999999</v>
      </c>
      <c r="G39" s="34" t="n">
        <v>3585.28</v>
      </c>
      <c r="H39" s="34" t="n">
        <v>5231.970000000001</v>
      </c>
      <c r="I39" s="34" t="n">
        <v>3784.71</v>
      </c>
      <c r="J39" s="34" t="n">
        <v>2286.28</v>
      </c>
      <c r="K39" s="34" t="n">
        <v>4281.61</v>
      </c>
      <c r="L39" s="34" t="n">
        <v>1188.83</v>
      </c>
      <c r="M39" s="34" t="n">
        <v>2363.49</v>
      </c>
      <c r="N39" s="35" t="n">
        <v>62527.09</v>
      </c>
      <c r="O39" s="36" t="n">
        <v>4474.78</v>
      </c>
      <c r="P39" s="36" t="n">
        <v>6175.689999999999</v>
      </c>
      <c r="Q39" s="36" t="n">
        <v>690.609999999999</v>
      </c>
      <c r="R39" s="36" t="n">
        <v>2297.62</v>
      </c>
      <c r="S39" s="36" t="n">
        <v>8364.030000000001</v>
      </c>
      <c r="T39" s="36" t="n">
        <v>7840.690000000001</v>
      </c>
      <c r="U39" s="36" t="n">
        <v>8943.939999999999</v>
      </c>
      <c r="V39" s="37" t="n"/>
      <c r="W39" s="37" t="n"/>
      <c r="X39" s="37" t="n"/>
      <c r="Y39" s="37" t="n"/>
      <c r="Z39" s="37" t="n"/>
      <c r="AA39" s="35" t="n">
        <v>38787.36</v>
      </c>
      <c r="AB39" s="35" t="n">
        <v>38787.36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8557.190000000001</v>
      </c>
      <c r="C40" s="34" t="n">
        <v>7844.22</v>
      </c>
      <c r="D40" s="34" t="n">
        <v>8263.08</v>
      </c>
      <c r="E40" s="34" t="n">
        <v>8797.02</v>
      </c>
      <c r="F40" s="34" t="n">
        <v>8146.19</v>
      </c>
      <c r="G40" s="34" t="n">
        <v>9310.83</v>
      </c>
      <c r="H40" s="34" t="n">
        <v>9204.01</v>
      </c>
      <c r="I40" s="34" t="n">
        <v>11956.9</v>
      </c>
      <c r="J40" s="34" t="n">
        <v>8967.800000000001</v>
      </c>
      <c r="K40" s="34" t="n">
        <v>5241.099999999999</v>
      </c>
      <c r="L40" s="34" t="n">
        <v>7539.849999999999</v>
      </c>
      <c r="M40" s="34" t="n">
        <v>7410.440000000001</v>
      </c>
      <c r="N40" s="35" t="n">
        <v>101238.63</v>
      </c>
      <c r="O40" s="36" t="n">
        <v>6617.37</v>
      </c>
      <c r="P40" s="36" t="n">
        <v>11247.9</v>
      </c>
      <c r="Q40" s="36" t="n">
        <v>4910.879999999999</v>
      </c>
      <c r="R40" s="36" t="n">
        <v>6336.8</v>
      </c>
      <c r="S40" s="36" t="n">
        <v>6631.67</v>
      </c>
      <c r="T40" s="36" t="n">
        <v>7975.590000000001</v>
      </c>
      <c r="U40" s="36" t="n">
        <v>10123.18</v>
      </c>
      <c r="V40" s="37" t="n"/>
      <c r="W40" s="37" t="n"/>
      <c r="X40" s="37" t="n"/>
      <c r="Y40" s="37" t="n"/>
      <c r="Z40" s="37" t="n"/>
      <c r="AA40" s="35" t="n">
        <v>53843.39</v>
      </c>
      <c r="AB40" s="35" t="n">
        <v>53843.39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2977.45</v>
      </c>
      <c r="C41" s="34" t="n">
        <v>3928.64</v>
      </c>
      <c r="D41" s="34" t="n">
        <v>4199.25</v>
      </c>
      <c r="E41" s="34" t="n">
        <v>3454.48</v>
      </c>
      <c r="F41" s="34" t="n">
        <v>3621.21</v>
      </c>
      <c r="G41" s="34" t="n">
        <v>3670.329999999999</v>
      </c>
      <c r="H41" s="34" t="n">
        <v>3315.839999999999</v>
      </c>
      <c r="I41" s="34" t="n">
        <v>3427.860000000001</v>
      </c>
      <c r="J41" s="34" t="n">
        <v>5176.719999999998</v>
      </c>
      <c r="K41" s="34" t="n">
        <v>3317.34</v>
      </c>
      <c r="L41" s="34" t="n">
        <v>3335.38</v>
      </c>
      <c r="M41" s="34" t="n">
        <v>4023.31</v>
      </c>
      <c r="N41" s="35" t="n">
        <v>44447.81</v>
      </c>
      <c r="O41" s="36" t="n">
        <v>3652.38</v>
      </c>
      <c r="P41" s="36" t="n">
        <v>3713.04</v>
      </c>
      <c r="Q41" s="36" t="n">
        <v>4787.229999999999</v>
      </c>
      <c r="R41" s="36" t="n">
        <v>4862.360000000001</v>
      </c>
      <c r="S41" s="36" t="n">
        <v>4270.03</v>
      </c>
      <c r="T41" s="36" t="n">
        <v>2941.58</v>
      </c>
      <c r="U41" s="36" t="n">
        <v>7994.790000000003</v>
      </c>
      <c r="V41" s="37" t="n"/>
      <c r="W41" s="37" t="n"/>
      <c r="X41" s="37" t="n"/>
      <c r="Y41" s="37" t="n"/>
      <c r="Z41" s="37" t="n"/>
      <c r="AA41" s="35" t="n">
        <v>32221.41</v>
      </c>
      <c r="AB41" s="35" t="n">
        <v>32221.41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1974.32</v>
      </c>
      <c r="C42" s="34" t="n">
        <v>1068.05</v>
      </c>
      <c r="D42" s="34" t="n">
        <v>571.5600000000001</v>
      </c>
      <c r="E42" s="34" t="n">
        <v>503.2300000000001</v>
      </c>
      <c r="F42" s="34" t="n">
        <v>833.3799999999999</v>
      </c>
      <c r="G42" s="34" t="n">
        <v>520.71</v>
      </c>
      <c r="H42" s="34" t="n">
        <v>1271.59</v>
      </c>
      <c r="I42" s="34" t="n">
        <v>831.0099999999999</v>
      </c>
      <c r="J42" s="34" t="n">
        <v>890.3000000000001</v>
      </c>
      <c r="K42" s="34" t="n">
        <v>581.7500000000001</v>
      </c>
      <c r="L42" s="34" t="n">
        <v>532.92</v>
      </c>
      <c r="M42" s="34" t="n">
        <v>1317.75</v>
      </c>
      <c r="N42" s="35" t="n">
        <v>10896.57</v>
      </c>
      <c r="O42" s="36" t="n">
        <v>8971</v>
      </c>
      <c r="P42" s="36" t="n">
        <v>5169.6</v>
      </c>
      <c r="Q42" s="36" t="n">
        <v>7832.12</v>
      </c>
      <c r="R42" s="36" t="n">
        <v>9603.1</v>
      </c>
      <c r="S42" s="36" t="n">
        <v>15256.75</v>
      </c>
      <c r="T42" s="36" t="n">
        <v>9701.959999999999</v>
      </c>
      <c r="U42" s="36" t="n">
        <v>19210.84</v>
      </c>
      <c r="V42" s="37" t="n"/>
      <c r="W42" s="37" t="n"/>
      <c r="X42" s="37" t="n"/>
      <c r="Y42" s="37" t="n"/>
      <c r="Z42" s="37" t="n"/>
      <c r="AA42" s="35" t="n">
        <v>75745.37</v>
      </c>
      <c r="AB42" s="35" t="n">
        <v>75745.37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382</v>
      </c>
      <c r="P43" s="36" t="n">
        <v>593</v>
      </c>
      <c r="Q43" s="36" t="n">
        <v>844</v>
      </c>
      <c r="R43" s="36" t="n">
        <v>326</v>
      </c>
      <c r="S43" s="36" t="n">
        <v>174</v>
      </c>
      <c r="T43" s="36" t="n">
        <v>22</v>
      </c>
      <c r="U43" s="36" t="n">
        <v>0</v>
      </c>
      <c r="V43" s="37" t="n"/>
      <c r="W43" s="37" t="n"/>
      <c r="X43" s="37" t="n"/>
      <c r="Y43" s="37" t="n"/>
      <c r="Z43" s="37" t="n"/>
      <c r="AA43" s="35" t="n">
        <v>2341</v>
      </c>
      <c r="AB43" s="35" t="n">
        <v>2341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-2000</v>
      </c>
      <c r="R44" s="36" t="n">
        <v>0</v>
      </c>
      <c r="S44" s="36" t="n">
        <v>0</v>
      </c>
      <c r="T44" s="36" t="n">
        <v>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-1121.2</v>
      </c>
      <c r="AB44" s="35" t="n">
        <v>-1121.2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4676.030000000001</v>
      </c>
      <c r="C45" s="34" t="n">
        <v>4891.43</v>
      </c>
      <c r="D45" s="34" t="n">
        <v>3459.56</v>
      </c>
      <c r="E45" s="34" t="n">
        <v>4006.48</v>
      </c>
      <c r="F45" s="34" t="n">
        <v>2466.52</v>
      </c>
      <c r="G45" s="34" t="n">
        <v>10048.48</v>
      </c>
      <c r="H45" s="34" t="n">
        <v>2742.82</v>
      </c>
      <c r="I45" s="34" t="n">
        <v>3971.43</v>
      </c>
      <c r="J45" s="34" t="n">
        <v>4421.86</v>
      </c>
      <c r="K45" s="34" t="n">
        <v>2777.05</v>
      </c>
      <c r="L45" s="34" t="n">
        <v>2690.88</v>
      </c>
      <c r="M45" s="34" t="n">
        <v>1697.04</v>
      </c>
      <c r="N45" s="35" t="n">
        <v>47849.58</v>
      </c>
      <c r="O45" s="36" t="n">
        <v>5409.540000000001</v>
      </c>
      <c r="P45" s="36" t="n">
        <v>5156.38</v>
      </c>
      <c r="Q45" s="36" t="n">
        <v>6041.81</v>
      </c>
      <c r="R45" s="36" t="n">
        <v>6183.14</v>
      </c>
      <c r="S45" s="36" t="n">
        <v>4745.190000000001</v>
      </c>
      <c r="T45" s="36" t="n">
        <v>17938.06</v>
      </c>
      <c r="U45" s="36" t="n">
        <v>5078.780000000001</v>
      </c>
      <c r="V45" s="37" t="n"/>
      <c r="W45" s="37" t="n"/>
      <c r="X45" s="37" t="n"/>
      <c r="Y45" s="37" t="n"/>
      <c r="Z45" s="37" t="n"/>
      <c r="AA45" s="35" t="n">
        <v>50552.9</v>
      </c>
      <c r="AB45" s="35" t="n">
        <v>50552.9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339.32</v>
      </c>
      <c r="P46" s="36" t="n">
        <v>23.98</v>
      </c>
      <c r="Q46" s="36" t="n">
        <v>0</v>
      </c>
      <c r="R46" s="36" t="n">
        <v>0</v>
      </c>
      <c r="S46" s="36" t="n">
        <v>71.95999999999999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435.26</v>
      </c>
      <c r="AB46" s="35" t="n">
        <v>435.26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59033.43</v>
      </c>
      <c r="C47" s="41" t="n">
        <v>64655.37000000001</v>
      </c>
      <c r="D47" s="41" t="n">
        <v>62414.21</v>
      </c>
      <c r="E47" s="41" t="n">
        <v>57493.03</v>
      </c>
      <c r="F47" s="41" t="n">
        <v>54555.92999999999</v>
      </c>
      <c r="G47" s="41" t="n">
        <v>58837.81</v>
      </c>
      <c r="H47" s="41" t="n">
        <v>52684.8</v>
      </c>
      <c r="I47" s="41" t="n">
        <v>55231.96</v>
      </c>
      <c r="J47" s="41" t="n">
        <v>51008.07</v>
      </c>
      <c r="K47" s="41" t="n">
        <v>52733.21</v>
      </c>
      <c r="L47" s="41" t="n">
        <v>47967.33</v>
      </c>
      <c r="M47" s="41" t="n">
        <v>50178.69</v>
      </c>
      <c r="N47" s="42" t="n">
        <v>666793.84</v>
      </c>
      <c r="O47" s="43" t="n">
        <v>62248.37</v>
      </c>
      <c r="P47" s="43" t="n">
        <v>68610.39</v>
      </c>
      <c r="Q47" s="43" t="n">
        <v>54869.09</v>
      </c>
      <c r="R47" s="43" t="n">
        <v>59951.83</v>
      </c>
      <c r="S47" s="43" t="n">
        <v>67532.52</v>
      </c>
      <c r="T47" s="43" t="n">
        <v>72761.57000000001</v>
      </c>
      <c r="U47" s="43" t="n">
        <v>87905.42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473879.19</v>
      </c>
      <c r="AB47" s="51" t="n">
        <v>473879.19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7" t="inlineStr">
        <is>
          <t>Total Direct Costs</t>
        </is>
      </c>
      <c r="B48" s="28" t="n">
        <v>335961.23</v>
      </c>
      <c r="C48" s="28" t="n">
        <v>346124</v>
      </c>
      <c r="D48" s="28" t="n">
        <v>339182.58</v>
      </c>
      <c r="E48" s="28" t="n">
        <v>377630.97</v>
      </c>
      <c r="F48" s="28" t="n">
        <v>374785.62</v>
      </c>
      <c r="G48" s="28" t="n">
        <v>375223.4</v>
      </c>
      <c r="H48" s="28" t="n">
        <v>381833.7</v>
      </c>
      <c r="I48" s="28" t="n">
        <v>362617.05</v>
      </c>
      <c r="J48" s="28" t="n">
        <v>371061.96</v>
      </c>
      <c r="K48" s="28" t="n">
        <v>366880.22</v>
      </c>
      <c r="L48" s="28" t="n">
        <v>344898.94</v>
      </c>
      <c r="M48" s="28" t="n">
        <v>351433.54</v>
      </c>
      <c r="N48" s="35" t="n">
        <v>4327633.21</v>
      </c>
      <c r="O48" s="30" t="n">
        <v>371253.3</v>
      </c>
      <c r="P48" s="30" t="n">
        <v>382554.87</v>
      </c>
      <c r="Q48" s="30" t="n">
        <v>349983.42</v>
      </c>
      <c r="R48" s="30" t="n">
        <v>382021.69</v>
      </c>
      <c r="S48" s="30" t="n">
        <v>388723.5699999999</v>
      </c>
      <c r="T48" s="30" t="n">
        <v>391537.41</v>
      </c>
      <c r="U48" s="30" t="n">
        <v>567920.78</v>
      </c>
      <c r="V48" s="31" t="n">
        <v>0</v>
      </c>
      <c r="W48" s="31" t="n">
        <v>0</v>
      </c>
      <c r="X48" s="31" t="n">
        <v>0</v>
      </c>
      <c r="Y48" s="31" t="n">
        <v>0</v>
      </c>
      <c r="Z48" s="31" t="n">
        <v>0</v>
      </c>
      <c r="AA48" s="35" t="n">
        <v>2833995.04</v>
      </c>
      <c r="AB48" s="35" t="n">
        <v>2833995.04</v>
      </c>
      <c r="AC48" s="31" t="n"/>
      <c r="AD48" s="31" t="n"/>
      <c r="AE48" s="31" t="n"/>
      <c r="AF48" s="31" t="n"/>
      <c r="AG48" s="31" t="n"/>
      <c r="AH48" s="31" t="n"/>
      <c r="AI48" s="126" t="n">
        <v>0</v>
      </c>
      <c r="AJ48" s="127" t="n">
        <v>0</v>
      </c>
      <c r="AK48" s="127" t="n">
        <v>0</v>
      </c>
      <c r="AL48" s="127" t="n">
        <v>0</v>
      </c>
      <c r="AM48" s="127" t="n">
        <v>0</v>
      </c>
      <c r="AN48" s="126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4" t="inlineStr">
        <is>
          <t>CONTRIBUTION</t>
        </is>
      </c>
      <c r="B50" s="54" t="n">
        <v>195825.5600000001</v>
      </c>
      <c r="C50" s="54" t="n">
        <v>208925.71</v>
      </c>
      <c r="D50" s="54" t="n">
        <v>318087.9</v>
      </c>
      <c r="E50" s="54" t="n">
        <v>213303.2899999997</v>
      </c>
      <c r="F50" s="54" t="n">
        <v>153509.64</v>
      </c>
      <c r="G50" s="54" t="n">
        <v>234946.71</v>
      </c>
      <c r="H50" s="54" t="n">
        <v>410123.79</v>
      </c>
      <c r="I50" s="54" t="n">
        <v>101780.3199999999</v>
      </c>
      <c r="J50" s="54" t="n">
        <v>101163.75</v>
      </c>
      <c r="K50" s="54" t="n">
        <v>126789.9300000001</v>
      </c>
      <c r="L50" s="54" t="n">
        <v>255942.9900000002</v>
      </c>
      <c r="M50" s="54" t="n">
        <v>372445.82</v>
      </c>
      <c r="N50" s="54" t="n">
        <v>2692845.41</v>
      </c>
      <c r="O50" s="54" t="n">
        <v>156957.9899999997</v>
      </c>
      <c r="P50" s="54" t="n">
        <v>204141.2199999996</v>
      </c>
      <c r="Q50" s="54" t="n">
        <v>325961.6399999996</v>
      </c>
      <c r="R50" s="54" t="n">
        <v>219375.4800000002</v>
      </c>
      <c r="S50" s="54" t="n">
        <v>146005.8099999994</v>
      </c>
      <c r="T50" s="54" t="n">
        <v>261041.8300000002</v>
      </c>
      <c r="U50" s="54" t="n">
        <v>413423.6700000007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1726907.639999999</v>
      </c>
      <c r="AB50" s="54" t="n">
        <v>1726907.639999999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221123.2</v>
      </c>
      <c r="P53" s="36" t="n">
        <v>208389.7</v>
      </c>
      <c r="Q53" s="36" t="n">
        <v>245369.94</v>
      </c>
      <c r="R53" s="36" t="n">
        <v>345719.24</v>
      </c>
      <c r="S53" s="36" t="n">
        <v>234877.06</v>
      </c>
      <c r="T53" s="36" t="n">
        <v>232994.84</v>
      </c>
      <c r="U53" s="36" t="n">
        <v>234115.8</v>
      </c>
      <c r="V53" s="37" t="n"/>
      <c r="W53" s="37" t="n"/>
      <c r="X53" s="37" t="n"/>
      <c r="Y53" s="37" t="n"/>
      <c r="Z53" s="37" t="n"/>
      <c r="AA53" s="35" t="n">
        <v>1722589.78</v>
      </c>
      <c r="AB53" s="35" t="n">
        <v>1722589.78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31658.5</v>
      </c>
      <c r="P54" s="36" t="n">
        <v>29780.9</v>
      </c>
      <c r="Q54" s="36" t="n">
        <v>35342.6</v>
      </c>
      <c r="R54" s="36" t="n">
        <v>50272.76</v>
      </c>
      <c r="S54" s="36" t="n">
        <v>33545.66</v>
      </c>
      <c r="T54" s="36" t="n">
        <v>33489.12</v>
      </c>
      <c r="U54" s="36" t="n">
        <v>33281.4</v>
      </c>
      <c r="V54" s="37" t="n"/>
      <c r="W54" s="37" t="n"/>
      <c r="X54" s="37" t="n"/>
      <c r="Y54" s="37" t="n"/>
      <c r="Z54" s="37" t="n"/>
      <c r="AA54" s="35" t="n">
        <v>247370.94</v>
      </c>
      <c r="AB54" s="35" t="n">
        <v>247370.94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795.1</v>
      </c>
      <c r="P55" s="36" t="n">
        <v>963.84</v>
      </c>
      <c r="Q55" s="36" t="n">
        <v>963.84</v>
      </c>
      <c r="R55" s="36" t="n">
        <v>963.84</v>
      </c>
      <c r="S55" s="36" t="n">
        <v>1389.18</v>
      </c>
      <c r="T55" s="36" t="n">
        <v>1170.3</v>
      </c>
      <c r="U55" s="36" t="n">
        <v>1170.3</v>
      </c>
      <c r="V55" s="37" t="n"/>
      <c r="W55" s="37" t="n"/>
      <c r="X55" s="37" t="n"/>
      <c r="Y55" s="37" t="n"/>
      <c r="Z55" s="37" t="n"/>
      <c r="AA55" s="35" t="n">
        <v>7416.4</v>
      </c>
      <c r="AB55" s="35" t="n">
        <v>7416.4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2370.26</v>
      </c>
      <c r="P56" s="36" t="n">
        <v>2198.2</v>
      </c>
      <c r="Q56" s="36" t="n">
        <v>3823.98</v>
      </c>
      <c r="R56" s="36" t="n">
        <v>3964.9</v>
      </c>
      <c r="S56" s="36" t="n">
        <v>3795.24</v>
      </c>
      <c r="T56" s="36" t="n">
        <v>3792.26</v>
      </c>
      <c r="U56" s="36" t="n">
        <v>2313.06</v>
      </c>
      <c r="V56" s="37" t="n"/>
      <c r="W56" s="37" t="n"/>
      <c r="X56" s="37" t="n"/>
      <c r="Y56" s="37" t="n"/>
      <c r="Z56" s="37" t="n"/>
      <c r="AA56" s="35" t="n">
        <v>22257.9</v>
      </c>
      <c r="AB56" s="35" t="n">
        <v>22257.9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660</v>
      </c>
      <c r="M57" s="34" t="n">
        <v>2336.44</v>
      </c>
      <c r="N57" s="35" t="n">
        <v>20110.85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962.4400000000001</v>
      </c>
      <c r="AB57" s="35" t="n">
        <v>962.4400000000001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24424.8</v>
      </c>
      <c r="R58" s="36" t="n">
        <v>5512.8</v>
      </c>
      <c r="S58" s="36" t="n">
        <v>0</v>
      </c>
      <c r="T58" s="36" t="n">
        <v>0</v>
      </c>
      <c r="U58" s="36" t="n">
        <v>391.5</v>
      </c>
      <c r="V58" s="37" t="n"/>
      <c r="W58" s="37" t="n"/>
      <c r="X58" s="37" t="n"/>
      <c r="Y58" s="37" t="n"/>
      <c r="Z58" s="37" t="n"/>
      <c r="AA58" s="35" t="n">
        <v>30329.1</v>
      </c>
      <c r="AB58" s="35" t="n">
        <v>30329.1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4188.91</v>
      </c>
      <c r="C59" s="34" t="n">
        <v>5090.58</v>
      </c>
      <c r="D59" s="34" t="n">
        <v>3628.38</v>
      </c>
      <c r="E59" s="34" t="n">
        <v>3628.38</v>
      </c>
      <c r="F59" s="34" t="n">
        <v>2965.88</v>
      </c>
      <c r="G59" s="34" t="n">
        <v>4285.88</v>
      </c>
      <c r="H59" s="34" t="n">
        <v>3622.38</v>
      </c>
      <c r="I59" s="34" t="n">
        <v>5284.38</v>
      </c>
      <c r="J59" s="34" t="n">
        <v>10434.38</v>
      </c>
      <c r="K59" s="34" t="n">
        <v>3701.74</v>
      </c>
      <c r="L59" s="34" t="n">
        <v>4396.740000000001</v>
      </c>
      <c r="M59" s="34" t="n">
        <v>4676.620000000001</v>
      </c>
      <c r="N59" s="35" t="n">
        <v>55904.25</v>
      </c>
      <c r="O59" s="36" t="n">
        <v>9353.460000000001</v>
      </c>
      <c r="P59" s="36" t="n">
        <v>7429.580000000001</v>
      </c>
      <c r="Q59" s="36" t="n">
        <v>7429.580000000001</v>
      </c>
      <c r="R59" s="36" t="n">
        <v>7505.18</v>
      </c>
      <c r="S59" s="36" t="n">
        <v>7585.059999999999</v>
      </c>
      <c r="T59" s="36" t="n">
        <v>30697.34</v>
      </c>
      <c r="U59" s="36" t="n">
        <v>10336.94</v>
      </c>
      <c r="V59" s="37" t="n"/>
      <c r="W59" s="37" t="n"/>
      <c r="X59" s="37" t="n"/>
      <c r="Y59" s="37" t="n"/>
      <c r="Z59" s="37" t="n"/>
      <c r="AA59" s="35" t="n">
        <v>80337.14</v>
      </c>
      <c r="AB59" s="35" t="n">
        <v>80337.14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663.5</v>
      </c>
      <c r="C60" s="34" t="n">
        <v>584.91</v>
      </c>
      <c r="D60" s="34" t="n">
        <v>674.0999999999999</v>
      </c>
      <c r="E60" s="34" t="n">
        <v>472.87</v>
      </c>
      <c r="F60" s="34" t="n">
        <v>476.68</v>
      </c>
      <c r="G60" s="34" t="n">
        <v>1092.47</v>
      </c>
      <c r="H60" s="34" t="n">
        <v>477.28</v>
      </c>
      <c r="I60" s="34" t="n">
        <v>488.14</v>
      </c>
      <c r="J60" s="34" t="n">
        <v>491.14</v>
      </c>
      <c r="K60" s="34" t="n">
        <v>1459.54</v>
      </c>
      <c r="L60" s="34" t="n">
        <v>1203.94</v>
      </c>
      <c r="M60" s="34" t="n">
        <v>2496.34</v>
      </c>
      <c r="N60" s="35" t="n">
        <v>10580.91</v>
      </c>
      <c r="O60" s="36" t="n">
        <v>4479.67</v>
      </c>
      <c r="P60" s="36" t="n">
        <v>4977.47</v>
      </c>
      <c r="Q60" s="36" t="n">
        <v>5235.759999999999</v>
      </c>
      <c r="R60" s="36" t="n">
        <v>5215.059999999999</v>
      </c>
      <c r="S60" s="36" t="n">
        <v>5215.66</v>
      </c>
      <c r="T60" s="36" t="n">
        <v>8268.6</v>
      </c>
      <c r="U60" s="36" t="n">
        <v>5232.420000000001</v>
      </c>
      <c r="V60" s="37" t="n"/>
      <c r="W60" s="37" t="n"/>
      <c r="X60" s="37" t="n"/>
      <c r="Y60" s="37" t="n"/>
      <c r="Z60" s="37" t="n"/>
      <c r="AA60" s="35" t="n">
        <v>38624.64</v>
      </c>
      <c r="AB60" s="35" t="n">
        <v>38624.64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41.13</v>
      </c>
      <c r="C61" s="34" t="n">
        <v>71.91000000000001</v>
      </c>
      <c r="D61" s="34" t="n">
        <v>926.1199999999999</v>
      </c>
      <c r="E61" s="34" t="n">
        <v>151.9</v>
      </c>
      <c r="F61" s="34" t="n">
        <v>277.0400000000001</v>
      </c>
      <c r="G61" s="34" t="n">
        <v>1055.59</v>
      </c>
      <c r="H61" s="34" t="n">
        <v>499.11</v>
      </c>
      <c r="I61" s="34" t="n">
        <v>60.18</v>
      </c>
      <c r="J61" s="34" t="n">
        <v>5.69</v>
      </c>
      <c r="K61" s="34" t="n">
        <v>362.17</v>
      </c>
      <c r="L61" s="34" t="n">
        <v>2849.1</v>
      </c>
      <c r="M61" s="34" t="n">
        <v>465.8</v>
      </c>
      <c r="N61" s="35" t="n">
        <v>6765.74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1369.76</v>
      </c>
      <c r="C62" s="34" t="n">
        <v>2646.44</v>
      </c>
      <c r="D62" s="34" t="n">
        <v>2880.85</v>
      </c>
      <c r="E62" s="34" t="n">
        <v>2504.95</v>
      </c>
      <c r="F62" s="34" t="n">
        <v>2618.84</v>
      </c>
      <c r="G62" s="34" t="n">
        <v>3192.2</v>
      </c>
      <c r="H62" s="34" t="n">
        <v>5405.940000000001</v>
      </c>
      <c r="I62" s="34" t="n">
        <v>3934.98</v>
      </c>
      <c r="J62" s="34" t="n">
        <v>4519.27</v>
      </c>
      <c r="K62" s="34" t="n">
        <v>2996.08</v>
      </c>
      <c r="L62" s="34" t="n">
        <v>4582.96</v>
      </c>
      <c r="M62" s="34" t="n">
        <v>2197.83</v>
      </c>
      <c r="N62" s="35" t="n">
        <v>38850.1</v>
      </c>
      <c r="O62" s="36" t="n">
        <v>5793.84</v>
      </c>
      <c r="P62" s="36" t="n">
        <v>2666.68</v>
      </c>
      <c r="Q62" s="36" t="n">
        <v>1881.96</v>
      </c>
      <c r="R62" s="36" t="n">
        <v>2409.12</v>
      </c>
      <c r="S62" s="36" t="n">
        <v>2478.66</v>
      </c>
      <c r="T62" s="36" t="n">
        <v>4047.96</v>
      </c>
      <c r="U62" s="36" t="n">
        <v>4805.280000000001</v>
      </c>
      <c r="V62" s="37" t="n"/>
      <c r="W62" s="37" t="n"/>
      <c r="X62" s="37" t="n"/>
      <c r="Y62" s="37" t="n"/>
      <c r="Z62" s="37" t="n"/>
      <c r="AA62" s="35" t="n">
        <v>24083.5</v>
      </c>
      <c r="AB62" s="35" t="n">
        <v>24083.5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9240.9</v>
      </c>
      <c r="P64" s="36" t="n">
        <v>9240.9</v>
      </c>
      <c r="Q64" s="36" t="n">
        <v>9240.9</v>
      </c>
      <c r="R64" s="36" t="n">
        <v>9240.880000000003</v>
      </c>
      <c r="S64" s="36" t="n">
        <v>9240.880000000003</v>
      </c>
      <c r="T64" s="36" t="n">
        <v>9240.880000000003</v>
      </c>
      <c r="U64" s="36" t="n">
        <v>9240.880000000003</v>
      </c>
      <c r="V64" s="37" t="n"/>
      <c r="W64" s="37" t="n"/>
      <c r="X64" s="37" t="n"/>
      <c r="Y64" s="37" t="n"/>
      <c r="Z64" s="37" t="n"/>
      <c r="AA64" s="35" t="n">
        <v>64686.22000000001</v>
      </c>
      <c r="AB64" s="35" t="n">
        <v>64686.22000000001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45761.72</v>
      </c>
      <c r="P65" s="36" t="n">
        <v>14478.54</v>
      </c>
      <c r="Q65" s="36" t="n">
        <v>16955.18</v>
      </c>
      <c r="R65" s="36" t="n">
        <v>11621.7</v>
      </c>
      <c r="S65" s="36" t="n">
        <v>10182.32</v>
      </c>
      <c r="T65" s="36" t="n">
        <v>9335.52</v>
      </c>
      <c r="U65" s="36" t="n">
        <v>55663.32</v>
      </c>
      <c r="V65" s="37" t="n"/>
      <c r="W65" s="37" t="n"/>
      <c r="X65" s="37" t="n"/>
      <c r="Y65" s="37" t="n"/>
      <c r="Z65" s="37" t="n"/>
      <c r="AA65" s="35" t="n">
        <v>163998.3</v>
      </c>
      <c r="AB65" s="35" t="n">
        <v>163998.3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12828.06</v>
      </c>
      <c r="G67" s="34" t="n">
        <v>5594.48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111678.18</v>
      </c>
      <c r="O67" s="36" t="n">
        <v>202.2</v>
      </c>
      <c r="P67" s="36" t="n">
        <v>282.8</v>
      </c>
      <c r="Q67" s="36" t="n">
        <v>230.3</v>
      </c>
      <c r="R67" s="36" t="n">
        <v>391.3</v>
      </c>
      <c r="S67" s="36" t="n">
        <v>284.9</v>
      </c>
      <c r="T67" s="36" t="n">
        <v>254.8</v>
      </c>
      <c r="U67" s="36" t="n">
        <v>324.8</v>
      </c>
      <c r="V67" s="37" t="n"/>
      <c r="W67" s="37" t="n"/>
      <c r="X67" s="37" t="n"/>
      <c r="Y67" s="37" t="n"/>
      <c r="Z67" s="37" t="n"/>
      <c r="AA67" s="35" t="n">
        <v>1971.1</v>
      </c>
      <c r="AB67" s="35" t="n">
        <v>1971.1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107471.67</v>
      </c>
      <c r="C69" s="41" t="n">
        <v>130122.9</v>
      </c>
      <c r="D69" s="41" t="n">
        <v>135341.87</v>
      </c>
      <c r="E69" s="41" t="n">
        <v>182876.46</v>
      </c>
      <c r="F69" s="41" t="n">
        <v>116733.42</v>
      </c>
      <c r="G69" s="41" t="n">
        <v>131453.82</v>
      </c>
      <c r="H69" s="41" t="n">
        <v>132354.41</v>
      </c>
      <c r="I69" s="41" t="n">
        <v>148600.93</v>
      </c>
      <c r="J69" s="41" t="n">
        <v>205778.13</v>
      </c>
      <c r="K69" s="41" t="n">
        <v>136297.48</v>
      </c>
      <c r="L69" s="41" t="n">
        <v>147081.56</v>
      </c>
      <c r="M69" s="41" t="n">
        <v>465568.52</v>
      </c>
      <c r="N69" s="42" t="n">
        <v>2039681.17</v>
      </c>
      <c r="O69" s="43" t="n">
        <v>331068.85</v>
      </c>
      <c r="P69" s="43" t="n">
        <v>280608.61</v>
      </c>
      <c r="Q69" s="43" t="n">
        <v>350898.84</v>
      </c>
      <c r="R69" s="43" t="n">
        <v>443289.22</v>
      </c>
      <c r="S69" s="43" t="n">
        <v>308594.62</v>
      </c>
      <c r="T69" s="43" t="n">
        <v>333291.62</v>
      </c>
      <c r="U69" s="43" t="n">
        <v>356875.7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2404627.46</v>
      </c>
      <c r="AB69" s="42" t="n">
        <v>2404627.46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88353.89000000004</v>
      </c>
      <c r="C70" s="54" t="n">
        <v>78802.80999999997</v>
      </c>
      <c r="D70" s="54" t="n">
        <v>182746.03</v>
      </c>
      <c r="E70" s="54" t="n">
        <v>30426.82999999975</v>
      </c>
      <c r="F70" s="54" t="n">
        <v>36776.22000000002</v>
      </c>
      <c r="G70" s="54" t="n">
        <v>103492.89</v>
      </c>
      <c r="H70" s="54" t="n">
        <v>277769.38</v>
      </c>
      <c r="I70" s="54" t="n">
        <v>-46820.6100000001</v>
      </c>
      <c r="J70" s="54" t="n">
        <v>-104614.38</v>
      </c>
      <c r="K70" s="54" t="n">
        <v>-9507.549999999959</v>
      </c>
      <c r="L70" s="54" t="n">
        <v>108861.4300000002</v>
      </c>
      <c r="M70" s="54" t="n">
        <v>-93122.70000000001</v>
      </c>
      <c r="N70" s="54" t="n">
        <v>653164.2399999998</v>
      </c>
      <c r="O70" s="54" t="n">
        <v>-174110.8600000003</v>
      </c>
      <c r="P70" s="54" t="n">
        <v>-76467.39000000036</v>
      </c>
      <c r="Q70" s="54" t="n">
        <v>-24937.20000000042</v>
      </c>
      <c r="R70" s="54" t="n">
        <v>-223913.7399999998</v>
      </c>
      <c r="S70" s="54" t="n">
        <v>-162588.8100000006</v>
      </c>
      <c r="T70" s="54" t="n">
        <v>-72249.7899999998</v>
      </c>
      <c r="U70" s="54" t="n">
        <v>56547.97000000073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-677719.8200000006</v>
      </c>
      <c r="AB70" s="54" t="n">
        <v>-677719.8200000006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>
        <v>0</v>
      </c>
      <c r="AB71" s="55" t="n">
        <v>0</v>
      </c>
      <c r="AC71" s="55" t="n"/>
      <c r="AD71" s="55" t="n"/>
      <c r="AE71" s="55" t="n"/>
      <c r="AF71" s="55" t="n"/>
      <c r="AG71" s="55" t="n"/>
      <c r="AH71" s="55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44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8051.111178882552</v>
      </c>
      <c r="P74" s="55" t="n">
        <v>8051.111178882552</v>
      </c>
      <c r="Q74" s="55" t="n">
        <v>8075.111178882552</v>
      </c>
      <c r="R74" s="55" t="n">
        <v>8155.761345549219</v>
      </c>
      <c r="S74" s="55" t="n">
        <v>8145.861345549219</v>
      </c>
      <c r="T74" s="55" t="n">
        <v>8182.861345549219</v>
      </c>
      <c r="U74" s="55" t="n">
        <v>8182.861345549219</v>
      </c>
      <c r="V74" s="55" t="n">
        <v>8206.081345549219</v>
      </c>
      <c r="W74" s="55" t="n">
        <v>8142.521345549219</v>
      </c>
      <c r="X74" s="55" t="n">
        <v>9861.627595549218</v>
      </c>
      <c r="Y74" s="55" t="n">
        <v>9834.227595549219</v>
      </c>
      <c r="Z74" s="55" t="n">
        <v>9834.227595549219</v>
      </c>
      <c r="AA74" s="55" t="n">
        <v>56844.67891884453</v>
      </c>
      <c r="AB74" s="55" t="n">
        <v>102723.3643965906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2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59" t="n"/>
      <c r="AA79" s="59" t="n">
        <v>0</v>
      </c>
      <c r="AB79" s="55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80" s="2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AA80" s="59" t="n">
        <v>0</v>
      </c>
      <c r="AB80" s="55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86" t="inlineStr">
        <is>
          <t>Memo</t>
        </is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59" t="n"/>
      <c r="AA81" s="59" t="n">
        <v>0</v>
      </c>
      <c r="AB81" s="55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531786.79</v>
      </c>
      <c r="C82" s="17" t="n">
        <v>555049.71</v>
      </c>
      <c r="D82" s="17" t="n">
        <v>657270.48</v>
      </c>
      <c r="E82" s="17" t="n">
        <v>590934.2599999999</v>
      </c>
      <c r="F82" s="17" t="n">
        <v>528295.26</v>
      </c>
      <c r="G82" s="17" t="n">
        <v>610170.1099999999</v>
      </c>
      <c r="H82" s="17" t="n">
        <v>791957.49</v>
      </c>
      <c r="I82" s="17" t="n">
        <v>464397.3699999999</v>
      </c>
      <c r="J82" s="17" t="n">
        <v>472225.71</v>
      </c>
      <c r="K82" s="17" t="n">
        <v>493670.15</v>
      </c>
      <c r="L82" s="17" t="n">
        <v>600841.9300000001</v>
      </c>
      <c r="M82" s="17" t="n">
        <v>723879.36</v>
      </c>
      <c r="N82" s="59" t="n">
        <v>7020478.62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Direct - Staff Cost</t>
        </is>
      </c>
      <c r="B83" s="17" t="n">
        <v>-255075.8</v>
      </c>
      <c r="C83" s="17" t="n">
        <v>-257277.27</v>
      </c>
      <c r="D83" s="17" t="n">
        <v>-255084.35</v>
      </c>
      <c r="E83" s="17" t="n">
        <v>-301727.64</v>
      </c>
      <c r="F83" s="17" t="n">
        <v>-296898.4</v>
      </c>
      <c r="G83" s="17" t="n">
        <v>-289357.7500000001</v>
      </c>
      <c r="H83" s="17" t="n">
        <v>-304835.97</v>
      </c>
      <c r="I83" s="17" t="n">
        <v>-282874.3100000001</v>
      </c>
      <c r="J83" s="17" t="n">
        <v>-300627.94</v>
      </c>
      <c r="K83" s="17" t="n">
        <v>-291119.6799999999</v>
      </c>
      <c r="L83" s="17" t="n">
        <v>-273187.04</v>
      </c>
      <c r="M83" s="17" t="n">
        <v>-283790.99</v>
      </c>
      <c r="N83" s="59" t="n">
        <v>-3391857.14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17" t="n">
        <v>-21852</v>
      </c>
      <c r="C84" s="17" t="n">
        <v>-24191.36</v>
      </c>
      <c r="D84" s="17" t="n">
        <v>-21684.02</v>
      </c>
      <c r="E84" s="17" t="n">
        <v>-18410.3</v>
      </c>
      <c r="F84" s="17" t="n">
        <v>-23331.29</v>
      </c>
      <c r="G84" s="17" t="n">
        <v>-27027.84</v>
      </c>
      <c r="H84" s="17" t="n">
        <v>-24312.93</v>
      </c>
      <c r="I84" s="17" t="n">
        <v>-24510.78</v>
      </c>
      <c r="J84" s="17" t="n">
        <v>-19425.95</v>
      </c>
      <c r="K84" s="17" t="n">
        <v>-23027.33</v>
      </c>
      <c r="L84" s="17" t="n">
        <v>-23744.57</v>
      </c>
      <c r="M84" s="17" t="n">
        <v>-17463.86</v>
      </c>
      <c r="N84" s="59" t="n">
        <v>-268982.23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-59033.43</v>
      </c>
      <c r="C85" s="17" t="n">
        <v>-64655.37000000002</v>
      </c>
      <c r="D85" s="17" t="n">
        <v>-62414.21000000001</v>
      </c>
      <c r="E85" s="17" t="n">
        <v>-57493.03000000001</v>
      </c>
      <c r="F85" s="17" t="n">
        <v>-54555.93</v>
      </c>
      <c r="G85" s="17" t="n">
        <v>-58837.81</v>
      </c>
      <c r="H85" s="17" t="n">
        <v>-52684.8</v>
      </c>
      <c r="I85" s="17" t="n">
        <v>-55231.96000000001</v>
      </c>
      <c r="J85" s="17" t="n">
        <v>-51008.07</v>
      </c>
      <c r="K85" s="17" t="n">
        <v>-52733.21000000001</v>
      </c>
      <c r="L85" s="17" t="n">
        <v>-47967.32999999999</v>
      </c>
      <c r="M85" s="17" t="n">
        <v>-50178.69</v>
      </c>
      <c r="N85" s="59" t="n">
        <v>-666793.8400000001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17" t="n">
        <v>-93611.44</v>
      </c>
      <c r="C86" s="17" t="n">
        <v>-96112.63999999998</v>
      </c>
      <c r="D86" s="17" t="n">
        <v>-95857.95999999999</v>
      </c>
      <c r="E86" s="17" t="n">
        <v>-156700.39</v>
      </c>
      <c r="F86" s="17" t="n">
        <v>-95895.40999999999</v>
      </c>
      <c r="G86" s="17" t="n">
        <v>-114717.56</v>
      </c>
      <c r="H86" s="17" t="n">
        <v>-114931.94</v>
      </c>
      <c r="I86" s="17" t="n">
        <v>-131353.52</v>
      </c>
      <c r="J86" s="17" t="n">
        <v>-154543.8</v>
      </c>
      <c r="K86" s="17" t="n">
        <v>-118297.07</v>
      </c>
      <c r="L86" s="17" t="n">
        <v>-125174.38</v>
      </c>
      <c r="M86" s="17" t="n">
        <v>-443091.7</v>
      </c>
      <c r="N86" s="59" t="n">
        <v>-1740287.81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17" t="n">
        <v>-13860.23</v>
      </c>
      <c r="C87" s="17" t="n">
        <v>-34010.25999999999</v>
      </c>
      <c r="D87" s="17" t="n">
        <v>-39483.91</v>
      </c>
      <c r="E87" s="17" t="n">
        <v>-26176.07</v>
      </c>
      <c r="F87" s="17" t="n">
        <v>-20838.01</v>
      </c>
      <c r="G87" s="17" t="n">
        <v>-16736.26</v>
      </c>
      <c r="H87" s="17" t="n">
        <v>-17422.47</v>
      </c>
      <c r="I87" s="17" t="n">
        <v>-17247.41</v>
      </c>
      <c r="J87" s="17" t="n">
        <v>-51234.33</v>
      </c>
      <c r="K87" s="17" t="n">
        <v>-18000.41</v>
      </c>
      <c r="L87" s="17" t="n">
        <v>-21907.18</v>
      </c>
      <c r="M87" s="17" t="n">
        <v>-22476.82</v>
      </c>
      <c r="N87" s="59" t="n">
        <v>-299393.36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88353.89</v>
      </c>
      <c r="C88" s="66" t="n">
        <v>78802.81000000001</v>
      </c>
      <c r="D88" s="66" t="n">
        <v>182746.03</v>
      </c>
      <c r="E88" s="66" t="n">
        <v>30426.82999999988</v>
      </c>
      <c r="F88" s="66" t="n">
        <v>36776.22</v>
      </c>
      <c r="G88" s="66" t="n">
        <v>103492.8899999998</v>
      </c>
      <c r="H88" s="66" t="n">
        <v>277769.38</v>
      </c>
      <c r="I88" s="66" t="n">
        <v>-46820.61000000012</v>
      </c>
      <c r="J88" s="66" t="n">
        <v>-104614.38</v>
      </c>
      <c r="K88" s="66" t="n">
        <v>-9507.549999999912</v>
      </c>
      <c r="L88" s="66" t="n">
        <v>108861.4300000001</v>
      </c>
      <c r="M88" s="66" t="n">
        <v>-93122.70000000001</v>
      </c>
      <c r="N88" s="59" t="n">
        <v>653164.2399999998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59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59" t="n">
        <v>0</v>
      </c>
      <c r="C89" s="59" t="n">
        <v>0</v>
      </c>
      <c r="D89" s="59" t="n">
        <v>0</v>
      </c>
      <c r="E89" s="59" t="n">
        <v>-3.637978807091713e-11</v>
      </c>
      <c r="F89" s="59" t="n">
        <v>0</v>
      </c>
      <c r="G89" s="59" t="n">
        <v>0</v>
      </c>
      <c r="H89" s="59" t="n">
        <v>0</v>
      </c>
      <c r="I89" s="59" t="n">
        <v>-7.275957614183426e-11</v>
      </c>
      <c r="J89" s="59" t="n">
        <v>0</v>
      </c>
      <c r="N89" s="59" t="n">
        <v>-1.091393642127514e-10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64" t="inlineStr">
        <is>
          <t>CHECK TO TB</t>
        </is>
      </c>
      <c r="B91" s="64" t="n">
        <v>0</v>
      </c>
      <c r="C91" s="64" t="n">
        <v>0</v>
      </c>
      <c r="D91" s="64" t="n">
        <v>0</v>
      </c>
      <c r="E91" s="64" t="n">
        <v>0</v>
      </c>
      <c r="F91" s="64" t="n">
        <v>0</v>
      </c>
      <c r="G91" s="64" t="n">
        <v>-1.746229827404022e-10</v>
      </c>
      <c r="H91" s="64" t="n">
        <v>0</v>
      </c>
      <c r="I91" s="64" t="n">
        <v>0</v>
      </c>
      <c r="J91" s="64" t="n">
        <v>0</v>
      </c>
      <c r="K91" s="64" t="n">
        <v>1.200533006340265e-10</v>
      </c>
      <c r="L91" s="64" t="n">
        <v>0</v>
      </c>
      <c r="M91" s="64" t="n"/>
      <c r="N91" t="n">
        <v>-5.456968210637569e-11</v>
      </c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  <c r="Z91" s="64" t="n"/>
      <c r="AA91" t="n">
        <v>0</v>
      </c>
      <c r="AB91" t="n">
        <v>0</v>
      </c>
      <c r="AC91" s="64" t="n"/>
      <c r="AD91" s="64" t="n"/>
      <c r="AE91" s="64" t="n"/>
      <c r="AF91" s="64" t="n"/>
      <c r="AG91" s="64" t="n"/>
      <c r="AH91" s="64" t="n"/>
      <c r="AI91" s="121" t="n">
        <v>0</v>
      </c>
      <c r="AJ91" s="121" t="n">
        <v>0</v>
      </c>
      <c r="AK91" s="121" t="n">
        <v>0</v>
      </c>
      <c r="AL91" s="121" t="n">
        <v>0</v>
      </c>
      <c r="AM91" s="121" t="n">
        <v>0</v>
      </c>
      <c r="AN91" s="121" t="n">
        <v>0</v>
      </c>
      <c r="AO91" s="145">
        <f>SUM(AC91:AH91)+SUM(AI91:AN91)</f>
        <v/>
      </c>
      <c r="AP91" s="139">
        <f>IF(AB91&lt;&gt;0,(AO91-AB91)/ABS(AB91),0)</f>
        <v/>
      </c>
    </row>
    <row r="92">
      <c r="A92" s="64" t="n"/>
      <c r="B92" s="64" t="n">
        <v>-88353.89000000007</v>
      </c>
      <c r="C92" s="64" t="n">
        <v>-78802.81000000004</v>
      </c>
      <c r="D92" s="64" t="n">
        <v>-182746.0299999999</v>
      </c>
      <c r="E92" s="64" t="n">
        <v>-30426.82999999985</v>
      </c>
      <c r="F92" s="64" t="n">
        <v>-36776.22000000003</v>
      </c>
      <c r="G92" s="64" t="n">
        <v>-103492.89</v>
      </c>
      <c r="H92" s="64" t="n">
        <v>-277769.3799999999</v>
      </c>
      <c r="I92" s="64" t="n">
        <v>46820.6100000001</v>
      </c>
      <c r="J92" s="64" t="n">
        <v>104614.38</v>
      </c>
      <c r="K92" s="64" t="n">
        <v>9507.550000000032</v>
      </c>
      <c r="L92" s="64" t="n">
        <v>-108861.43</v>
      </c>
      <c r="M92" s="64" t="n"/>
      <c r="N92" t="n">
        <v>-746286.9399999996</v>
      </c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  <c r="Z92" s="64" t="n"/>
      <c r="AA92" t="n">
        <v>0</v>
      </c>
      <c r="AB92" t="n">
        <v>0</v>
      </c>
      <c r="AC92" s="64" t="n"/>
      <c r="AD92" s="64" t="n"/>
      <c r="AE92" s="64" t="n"/>
      <c r="AF92" s="64" t="n"/>
      <c r="AG92" s="64" t="n"/>
      <c r="AH92" s="64" t="n"/>
      <c r="AI92" s="121" t="n">
        <v>0</v>
      </c>
      <c r="AJ92" s="121" t="n">
        <v>0</v>
      </c>
      <c r="AK92" s="121" t="n">
        <v>0</v>
      </c>
      <c r="AL92" s="121" t="n">
        <v>0</v>
      </c>
      <c r="AM92" s="121" t="n">
        <v>0</v>
      </c>
      <c r="AN92" s="121" t="n">
        <v>0</v>
      </c>
      <c r="AO92" s="145">
        <f>SUM(AC92:AH92)+SUM(AI92:AN92)</f>
        <v/>
      </c>
      <c r="AP92" s="139">
        <f>IF(AB92&lt;&gt;0,(AO92-AB92)/ABS(AB92),0)</f>
        <v/>
      </c>
    </row>
  </sheetData>
  <mergeCells count="1">
    <mergeCell ref="AI1:AQ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Q93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3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90127.90999999999</v>
      </c>
      <c r="C8" s="34" t="n">
        <v>88433.53</v>
      </c>
      <c r="D8" s="34" t="n">
        <v>101717.62</v>
      </c>
      <c r="E8" s="34" t="n">
        <v>123108.26</v>
      </c>
      <c r="F8" s="34" t="n">
        <v>101424.03</v>
      </c>
      <c r="G8" s="34" t="n">
        <v>98545.44</v>
      </c>
      <c r="H8" s="34" t="n">
        <v>135043.1</v>
      </c>
      <c r="I8" s="34" t="n">
        <v>116087.09</v>
      </c>
      <c r="J8" s="34" t="n">
        <v>76338.57999999999</v>
      </c>
      <c r="K8" s="34" t="n">
        <v>73833.87</v>
      </c>
      <c r="L8" s="34" t="n">
        <v>66718.14</v>
      </c>
      <c r="M8" s="34" t="n">
        <v>89303.53999999999</v>
      </c>
      <c r="N8" s="35" t="n">
        <v>1160681.11</v>
      </c>
      <c r="O8" s="36" t="n">
        <v>70022.3</v>
      </c>
      <c r="P8" s="36" t="n">
        <v>73148.5</v>
      </c>
      <c r="Q8" s="36" t="n">
        <v>89497.3</v>
      </c>
      <c r="R8" s="36" t="n">
        <v>100124</v>
      </c>
      <c r="S8" s="36" t="n">
        <v>84922.7</v>
      </c>
      <c r="T8" s="36" t="n">
        <v>96792.5</v>
      </c>
      <c r="U8" s="37" t="n">
        <v>0</v>
      </c>
      <c r="V8" s="37" t="n"/>
      <c r="W8" s="37" t="n"/>
      <c r="X8" s="37" t="n"/>
      <c r="Y8" s="37" t="n"/>
      <c r="Z8" s="37" t="n"/>
      <c r="AA8" s="35" t="n">
        <v>514507.3</v>
      </c>
      <c r="AB8" s="35" t="n">
        <v>514507.3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36627.8</v>
      </c>
      <c r="C9" s="34" t="n">
        <v>47103.24</v>
      </c>
      <c r="D9" s="34" t="n">
        <v>68262.16</v>
      </c>
      <c r="E9" s="34" t="n">
        <v>28041.95</v>
      </c>
      <c r="F9" s="34" t="n">
        <v>28041.87</v>
      </c>
      <c r="G9" s="34" t="n">
        <v>50212.97</v>
      </c>
      <c r="H9" s="34" t="n">
        <v>66554.07000000001</v>
      </c>
      <c r="I9" s="34" t="n">
        <v>0</v>
      </c>
      <c r="J9" s="34" t="n">
        <v>33183.55</v>
      </c>
      <c r="K9" s="34" t="n">
        <v>33183.54</v>
      </c>
      <c r="L9" s="34" t="n">
        <v>64228.87</v>
      </c>
      <c r="M9" s="34" t="n">
        <v>64994.99999999999</v>
      </c>
      <c r="N9" s="35" t="n">
        <v>520435.02</v>
      </c>
      <c r="O9" s="36" t="n">
        <v>42977.4</v>
      </c>
      <c r="P9" s="36" t="n">
        <v>63323.6</v>
      </c>
      <c r="Q9" s="36" t="n">
        <v>67184.2</v>
      </c>
      <c r="R9" s="36" t="n">
        <v>57737.4</v>
      </c>
      <c r="S9" s="36" t="n">
        <v>55493.4</v>
      </c>
      <c r="T9" s="36" t="n">
        <v>60276.8</v>
      </c>
      <c r="U9" s="37" t="n">
        <v>0</v>
      </c>
      <c r="V9" s="37" t="n"/>
      <c r="W9" s="37" t="n"/>
      <c r="X9" s="37" t="n"/>
      <c r="Y9" s="37" t="n"/>
      <c r="Z9" s="37" t="n"/>
      <c r="AA9" s="35" t="n">
        <v>346992.8</v>
      </c>
      <c r="AB9" s="35" t="n">
        <v>346992.8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393.25</v>
      </c>
      <c r="C10" s="34" t="n">
        <v>300</v>
      </c>
      <c r="D10" s="34" t="n">
        <v>540</v>
      </c>
      <c r="E10" s="34" t="n">
        <v>450</v>
      </c>
      <c r="F10" s="34" t="n">
        <v>450</v>
      </c>
      <c r="G10" s="34" t="n">
        <v>540</v>
      </c>
      <c r="H10" s="34" t="n">
        <v>1022.69</v>
      </c>
      <c r="I10" s="34" t="n">
        <v>8804.66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12620.6</v>
      </c>
      <c r="O10" s="36" t="n">
        <v>59.5</v>
      </c>
      <c r="P10" s="36" t="n">
        <v>0</v>
      </c>
      <c r="Q10" s="36" t="n">
        <v>369.3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428.8</v>
      </c>
      <c r="AB10" s="35" t="n">
        <v>428.8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127148.96</v>
      </c>
      <c r="C11" s="41" t="n">
        <v>135836.77</v>
      </c>
      <c r="D11" s="41" t="n">
        <v>170519.78</v>
      </c>
      <c r="E11" s="41" t="n">
        <v>151600.21</v>
      </c>
      <c r="F11" s="41" t="n">
        <v>129915.9</v>
      </c>
      <c r="G11" s="41" t="n">
        <v>149298.41</v>
      </c>
      <c r="H11" s="41" t="n">
        <v>202619.86</v>
      </c>
      <c r="I11" s="41" t="n">
        <v>124891.75</v>
      </c>
      <c r="J11" s="41" t="n">
        <v>109522.13</v>
      </c>
      <c r="K11" s="41" t="n">
        <v>107047.41</v>
      </c>
      <c r="L11" s="41" t="n">
        <v>130947.01</v>
      </c>
      <c r="M11" s="41" t="n">
        <v>154388.54</v>
      </c>
      <c r="N11" s="42" t="n">
        <v>1693736.73</v>
      </c>
      <c r="O11" s="43" t="n">
        <v>113059.2</v>
      </c>
      <c r="P11" s="43" t="n">
        <v>136472.1</v>
      </c>
      <c r="Q11" s="43" t="n">
        <v>157050.8</v>
      </c>
      <c r="R11" s="43" t="n">
        <v>157861.4</v>
      </c>
      <c r="S11" s="43" t="n">
        <v>140416.1</v>
      </c>
      <c r="T11" s="43" t="n">
        <v>157069.3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861928.9</v>
      </c>
      <c r="AB11" s="42" t="n">
        <v>861928.9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72506.14999999999</v>
      </c>
      <c r="C16" s="34" t="n">
        <v>71668.72</v>
      </c>
      <c r="D16" s="34" t="n">
        <v>73720.41</v>
      </c>
      <c r="E16" s="34" t="n">
        <v>79326.19</v>
      </c>
      <c r="F16" s="34" t="n">
        <v>83334.39</v>
      </c>
      <c r="G16" s="34" t="n">
        <v>73949.95000000001</v>
      </c>
      <c r="H16" s="34" t="n">
        <v>81163.78</v>
      </c>
      <c r="I16" s="34" t="n">
        <v>73227.16</v>
      </c>
      <c r="J16" s="34" t="n">
        <v>69726.45999999999</v>
      </c>
      <c r="K16" s="34" t="n">
        <v>75115.68000000001</v>
      </c>
      <c r="L16" s="34" t="n">
        <v>73377.87</v>
      </c>
      <c r="M16" s="34" t="n">
        <v>78299.22</v>
      </c>
      <c r="N16" s="35" t="n">
        <v>905415.98</v>
      </c>
      <c r="O16" s="36" t="n">
        <v>83456.27</v>
      </c>
      <c r="P16" s="36" t="n">
        <v>77048.89</v>
      </c>
      <c r="Q16" s="36" t="n">
        <v>91001.41</v>
      </c>
      <c r="R16" s="36" t="n">
        <v>91009</v>
      </c>
      <c r="S16" s="36" t="n">
        <v>88009.99000000001</v>
      </c>
      <c r="T16" s="36" t="n">
        <v>91613.97</v>
      </c>
      <c r="U16" s="37" t="n">
        <v>0</v>
      </c>
      <c r="V16" s="37" t="n"/>
      <c r="W16" s="37" t="n"/>
      <c r="X16" s="37" t="n"/>
      <c r="Y16" s="37" t="n"/>
      <c r="Z16" s="37" t="n"/>
      <c r="AA16" s="35" t="n">
        <v>522139.53</v>
      </c>
      <c r="AB16" s="35" t="n">
        <v>522139.53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5765.53</v>
      </c>
      <c r="C17" s="34" t="n">
        <v>5605.47</v>
      </c>
      <c r="D17" s="34" t="n">
        <v>5730.700000000001</v>
      </c>
      <c r="E17" s="34" t="n">
        <v>8515.060000000001</v>
      </c>
      <c r="F17" s="34" t="n">
        <v>8799.08</v>
      </c>
      <c r="G17" s="34" t="n">
        <v>8016.01</v>
      </c>
      <c r="H17" s="34" t="n">
        <v>9476.189999999999</v>
      </c>
      <c r="I17" s="34" t="n">
        <v>8153.210000000001</v>
      </c>
      <c r="J17" s="34" t="n">
        <v>7769.9</v>
      </c>
      <c r="K17" s="34" t="n">
        <v>8561.279999999999</v>
      </c>
      <c r="L17" s="34" t="n">
        <v>8302.65</v>
      </c>
      <c r="M17" s="34" t="n">
        <v>8904.220000000001</v>
      </c>
      <c r="N17" s="35" t="n">
        <v>93599.3</v>
      </c>
      <c r="O17" s="36" t="n">
        <v>9355.030000000001</v>
      </c>
      <c r="P17" s="36" t="n">
        <v>8609.690000000001</v>
      </c>
      <c r="Q17" s="36" t="n">
        <v>9809</v>
      </c>
      <c r="R17" s="36" t="n">
        <v>9905.200000000001</v>
      </c>
      <c r="S17" s="36" t="n">
        <v>9589.65</v>
      </c>
      <c r="T17" s="36" t="n">
        <v>10084.53</v>
      </c>
      <c r="U17" s="37" t="n">
        <v>0</v>
      </c>
      <c r="V17" s="37" t="n"/>
      <c r="W17" s="37" t="n"/>
      <c r="X17" s="37" t="n"/>
      <c r="Y17" s="37" t="n"/>
      <c r="Z17" s="37" t="n"/>
      <c r="AA17" s="35" t="n">
        <v>57353.10000000001</v>
      </c>
      <c r="AB17" s="35" t="n">
        <v>57353.10000000001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1436.68</v>
      </c>
      <c r="C18" s="34" t="n">
        <v>1438.47</v>
      </c>
      <c r="D18" s="34" t="n">
        <v>1446.91</v>
      </c>
      <c r="E18" s="34" t="n">
        <v>1521.1</v>
      </c>
      <c r="F18" s="34" t="n">
        <v>1496.06</v>
      </c>
      <c r="G18" s="34" t="n">
        <v>1434.19</v>
      </c>
      <c r="H18" s="34" t="n">
        <v>1751.17</v>
      </c>
      <c r="I18" s="34" t="n">
        <v>1486.51</v>
      </c>
      <c r="J18" s="34" t="n">
        <v>1416.29</v>
      </c>
      <c r="K18" s="34" t="n">
        <v>1578.64</v>
      </c>
      <c r="L18" s="34" t="n">
        <v>1552.95</v>
      </c>
      <c r="M18" s="34" t="n">
        <v>1618.17</v>
      </c>
      <c r="N18" s="35" t="n">
        <v>18177.14</v>
      </c>
      <c r="O18" s="36" t="n">
        <v>1735.78</v>
      </c>
      <c r="P18" s="36" t="n">
        <v>1515.17</v>
      </c>
      <c r="Q18" s="36" t="n">
        <v>1682.09</v>
      </c>
      <c r="R18" s="36" t="n">
        <v>1700.35</v>
      </c>
      <c r="S18" s="36" t="n">
        <v>1748.7</v>
      </c>
      <c r="T18" s="36" t="n">
        <v>1770.37</v>
      </c>
      <c r="U18" s="37" t="n">
        <v>0</v>
      </c>
      <c r="V18" s="37" t="n"/>
      <c r="W18" s="37" t="n"/>
      <c r="X18" s="37" t="n"/>
      <c r="Y18" s="37" t="n"/>
      <c r="Z18" s="37" t="n"/>
      <c r="AA18" s="35" t="n">
        <v>10152.46</v>
      </c>
      <c r="AB18" s="35" t="n">
        <v>10152.46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530.7199999999999</v>
      </c>
      <c r="D19" s="34" t="n">
        <v>122.75</v>
      </c>
      <c r="E19" s="34" t="n">
        <v>251.62</v>
      </c>
      <c r="F19" s="34" t="n">
        <v>91.02</v>
      </c>
      <c r="G19" s="34" t="n">
        <v>0</v>
      </c>
      <c r="H19" s="34" t="n">
        <v>91.14</v>
      </c>
      <c r="I19" s="34" t="n">
        <v>100.14</v>
      </c>
      <c r="J19" s="34" t="n">
        <v>128.12</v>
      </c>
      <c r="K19" s="34" t="n">
        <v>163.98</v>
      </c>
      <c r="L19" s="34" t="n">
        <v>39.54</v>
      </c>
      <c r="M19" s="34" t="n">
        <v>24.98</v>
      </c>
      <c r="N19" s="35" t="n">
        <v>1544.01</v>
      </c>
      <c r="O19" s="36" t="n">
        <v>235.83</v>
      </c>
      <c r="P19" s="36" t="n">
        <v>152.88</v>
      </c>
      <c r="Q19" s="36" t="n">
        <v>8.99</v>
      </c>
      <c r="R19" s="36" t="n">
        <v>238.44</v>
      </c>
      <c r="S19" s="36" t="n">
        <v>207.84</v>
      </c>
      <c r="T19" s="36" t="n">
        <v>51.24</v>
      </c>
      <c r="U19" s="37" t="n">
        <v>0</v>
      </c>
      <c r="V19" s="37" t="n"/>
      <c r="W19" s="37" t="n"/>
      <c r="X19" s="37" t="n"/>
      <c r="Y19" s="37" t="n"/>
      <c r="Z19" s="37" t="n"/>
      <c r="AA19" s="35" t="n">
        <v>895.22</v>
      </c>
      <c r="AB19" s="35" t="n">
        <v>895.22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129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306</v>
      </c>
      <c r="H20" s="34" t="n">
        <v>186</v>
      </c>
      <c r="I20" s="34" t="n">
        <v>120.3</v>
      </c>
      <c r="J20" s="34" t="n">
        <v>282.76</v>
      </c>
      <c r="K20" s="34" t="n">
        <v>37.2</v>
      </c>
      <c r="L20" s="34" t="n">
        <v>37.2</v>
      </c>
      <c r="M20" s="34" t="n">
        <v>13</v>
      </c>
      <c r="N20" s="35" t="n">
        <v>1151.46</v>
      </c>
      <c r="O20" s="36" t="n">
        <v>42.97</v>
      </c>
      <c r="P20" s="36" t="n">
        <v>1046</v>
      </c>
      <c r="Q20" s="36" t="n">
        <v>384.2</v>
      </c>
      <c r="R20" s="36" t="n">
        <v>1187</v>
      </c>
      <c r="S20" s="36" t="n">
        <v>594</v>
      </c>
      <c r="T20" s="36" t="n">
        <v>29</v>
      </c>
      <c r="U20" s="37" t="n">
        <v>0</v>
      </c>
      <c r="V20" s="37" t="n"/>
      <c r="W20" s="37" t="n"/>
      <c r="X20" s="37" t="n"/>
      <c r="Y20" s="37" t="n"/>
      <c r="Z20" s="37" t="n"/>
      <c r="AA20" s="35" t="n">
        <v>3283.17</v>
      </c>
      <c r="AB20" s="35" t="n">
        <v>3283.17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612.02</v>
      </c>
      <c r="C21" s="34" t="n">
        <v>728.79</v>
      </c>
      <c r="D21" s="34" t="n">
        <v>490.36</v>
      </c>
      <c r="E21" s="34" t="n">
        <v>896.1399999999998</v>
      </c>
      <c r="F21" s="34" t="n">
        <v>499.6300000000001</v>
      </c>
      <c r="G21" s="34" t="n">
        <v>332.83</v>
      </c>
      <c r="H21" s="34" t="n">
        <v>742.53</v>
      </c>
      <c r="I21" s="34" t="n">
        <v>485.28</v>
      </c>
      <c r="J21" s="34" t="n">
        <v>707.6899999999999</v>
      </c>
      <c r="K21" s="34" t="n">
        <v>892.4599999999999</v>
      </c>
      <c r="L21" s="34" t="n">
        <v>297.42</v>
      </c>
      <c r="M21" s="34" t="n">
        <v>380.47</v>
      </c>
      <c r="N21" s="35" t="n">
        <v>7065.62</v>
      </c>
      <c r="O21" s="36" t="n">
        <v>450.69</v>
      </c>
      <c r="P21" s="36" t="n">
        <v>584.39</v>
      </c>
      <c r="Q21" s="36" t="n">
        <v>293.84</v>
      </c>
      <c r="R21" s="36" t="n">
        <v>227.44</v>
      </c>
      <c r="S21" s="36" t="n">
        <v>448.58</v>
      </c>
      <c r="T21" s="36" t="n">
        <v>720.46</v>
      </c>
      <c r="U21" s="37" t="n">
        <v>0</v>
      </c>
      <c r="V21" s="37" t="n"/>
      <c r="W21" s="37" t="n"/>
      <c r="X21" s="37" t="n"/>
      <c r="Y21" s="37" t="n"/>
      <c r="Z21" s="37" t="n"/>
      <c r="AA21" s="35" t="n">
        <v>2725.4</v>
      </c>
      <c r="AB21" s="35" t="n">
        <v>2725.4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142.79</v>
      </c>
      <c r="I23" s="34" t="n">
        <v>138.75</v>
      </c>
      <c r="J23" s="34" t="n">
        <v>158.46</v>
      </c>
      <c r="K23" s="34" t="n">
        <v>82.36</v>
      </c>
      <c r="L23" s="34" t="n">
        <v>127.5</v>
      </c>
      <c r="M23" s="34" t="n">
        <v>78.98999999999999</v>
      </c>
      <c r="N23" s="35" t="n">
        <v>728.85</v>
      </c>
      <c r="O23" s="36" t="n">
        <v>33.98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11.39</v>
      </c>
      <c r="U23" s="37" t="n">
        <v>0</v>
      </c>
      <c r="V23" s="37" t="n"/>
      <c r="W23" s="37" t="n"/>
      <c r="X23" s="37" t="n"/>
      <c r="Y23" s="37" t="n"/>
      <c r="Z23" s="37" t="n"/>
      <c r="AA23" s="35" t="n">
        <v>106.31</v>
      </c>
      <c r="AB23" s="35" t="n">
        <v>106.31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879.8200000000001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80449.37999999999</v>
      </c>
      <c r="C25" s="41" t="n">
        <v>80189.5</v>
      </c>
      <c r="D25" s="41" t="n">
        <v>81511.13</v>
      </c>
      <c r="E25" s="41" t="n">
        <v>90510.11</v>
      </c>
      <c r="F25" s="41" t="n">
        <v>96177.78</v>
      </c>
      <c r="G25" s="41" t="n">
        <v>84419.56000000001</v>
      </c>
      <c r="H25" s="41" t="n">
        <v>93553.59999999999</v>
      </c>
      <c r="I25" s="41" t="n">
        <v>83711.35000000001</v>
      </c>
      <c r="J25" s="41" t="n">
        <v>80189.67999999999</v>
      </c>
      <c r="K25" s="41" t="n">
        <v>87094.09000000001</v>
      </c>
      <c r="L25" s="41" t="n">
        <v>83735.12999999999</v>
      </c>
      <c r="M25" s="41" t="n">
        <v>89319.05</v>
      </c>
      <c r="N25" s="42" t="n">
        <v>1030860.36</v>
      </c>
      <c r="O25" s="43" t="n">
        <v>95310.55</v>
      </c>
      <c r="P25" s="43" t="n">
        <v>88975.99000000001</v>
      </c>
      <c r="Q25" s="43" t="n">
        <v>103191.52</v>
      </c>
      <c r="R25" s="43" t="n">
        <v>104267.43</v>
      </c>
      <c r="S25" s="43" t="n">
        <v>100628.74</v>
      </c>
      <c r="T25" s="43" t="n">
        <v>104280.96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596655.1900000001</v>
      </c>
      <c r="AB25" s="42" t="n">
        <v>596655.1900000001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3486.8</v>
      </c>
      <c r="C27" s="34" t="n">
        <v>4436.02</v>
      </c>
      <c r="D27" s="34" t="n">
        <v>3753.959999999999</v>
      </c>
      <c r="E27" s="34" t="n">
        <v>3632.41</v>
      </c>
      <c r="F27" s="34" t="n">
        <v>4941.57</v>
      </c>
      <c r="G27" s="34" t="n">
        <v>4203.429999999999</v>
      </c>
      <c r="H27" s="34" t="n">
        <v>4653.66</v>
      </c>
      <c r="I27" s="34" t="n">
        <v>4412.52</v>
      </c>
      <c r="J27" s="34" t="n">
        <v>3173.719999999999</v>
      </c>
      <c r="K27" s="34" t="n">
        <v>3893.77</v>
      </c>
      <c r="L27" s="34" t="n">
        <v>3833.63</v>
      </c>
      <c r="M27" s="34" t="n">
        <v>3176.019999999999</v>
      </c>
      <c r="N27" s="35" t="n">
        <v>47597.50999999999</v>
      </c>
      <c r="O27" s="36" t="n">
        <v>3313.15</v>
      </c>
      <c r="P27" s="36" t="n">
        <v>3328.44</v>
      </c>
      <c r="Q27" s="36" t="n">
        <v>3498.57</v>
      </c>
      <c r="R27" s="36" t="n">
        <v>3874.9</v>
      </c>
      <c r="S27" s="36" t="n">
        <v>3354.55</v>
      </c>
      <c r="T27" s="36" t="n">
        <v>3965.25</v>
      </c>
      <c r="U27" s="37" t="n">
        <v>0</v>
      </c>
      <c r="V27" s="37" t="n"/>
      <c r="W27" s="37" t="n"/>
      <c r="X27" s="37" t="n"/>
      <c r="Y27" s="37" t="n"/>
      <c r="Z27" s="37" t="n"/>
      <c r="AA27" s="35" t="n">
        <v>21334.86</v>
      </c>
      <c r="AB27" s="35" t="n">
        <v>21334.86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553.97</v>
      </c>
      <c r="C28" s="34" t="n">
        <v>366.79</v>
      </c>
      <c r="D28" s="34" t="n">
        <v>460.3</v>
      </c>
      <c r="E28" s="34" t="n">
        <v>1071.96</v>
      </c>
      <c r="F28" s="34" t="n">
        <v>1666.99</v>
      </c>
      <c r="G28" s="34" t="n">
        <v>544.8200000000001</v>
      </c>
      <c r="H28" s="34" t="n">
        <v>841.02</v>
      </c>
      <c r="I28" s="34" t="n">
        <v>555.03</v>
      </c>
      <c r="J28" s="34" t="n">
        <v>769.3399999999999</v>
      </c>
      <c r="K28" s="34" t="n">
        <v>103.34</v>
      </c>
      <c r="L28" s="34" t="n">
        <v>246.05</v>
      </c>
      <c r="M28" s="34" t="n">
        <v>153.25</v>
      </c>
      <c r="N28" s="35" t="n">
        <v>7332.86</v>
      </c>
      <c r="O28" s="36" t="n">
        <v>376.51</v>
      </c>
      <c r="P28" s="36" t="n">
        <v>911.39</v>
      </c>
      <c r="Q28" s="36" t="n">
        <v>319.4</v>
      </c>
      <c r="R28" s="36" t="n">
        <v>265.02</v>
      </c>
      <c r="S28" s="36" t="n">
        <v>245.36</v>
      </c>
      <c r="T28" s="36" t="n">
        <v>2487.87</v>
      </c>
      <c r="U28" s="37" t="n">
        <v>0</v>
      </c>
      <c r="V28" s="37" t="n"/>
      <c r="W28" s="37" t="n"/>
      <c r="X28" s="37" t="n"/>
      <c r="Y28" s="37" t="n"/>
      <c r="Z28" s="37" t="n"/>
      <c r="AA28" s="35" t="n">
        <v>4605.55</v>
      </c>
      <c r="AB28" s="35" t="n">
        <v>4605.55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471.52</v>
      </c>
      <c r="C29" s="34" t="n">
        <v>667.4199999999998</v>
      </c>
      <c r="D29" s="34" t="n">
        <v>173.17</v>
      </c>
      <c r="E29" s="34" t="n">
        <v>225.2</v>
      </c>
      <c r="F29" s="34" t="n">
        <v>362.05</v>
      </c>
      <c r="G29" s="34" t="n">
        <v>294.42</v>
      </c>
      <c r="H29" s="34" t="n">
        <v>200.35</v>
      </c>
      <c r="I29" s="34" t="n">
        <v>268.53</v>
      </c>
      <c r="J29" s="34" t="n">
        <v>137.82</v>
      </c>
      <c r="K29" s="34" t="n">
        <v>413.39</v>
      </c>
      <c r="L29" s="34" t="n">
        <v>460.89</v>
      </c>
      <c r="M29" s="34" t="n">
        <v>312.44</v>
      </c>
      <c r="N29" s="35" t="n">
        <v>3987.2</v>
      </c>
      <c r="O29" s="36" t="n">
        <v>98.58</v>
      </c>
      <c r="P29" s="36" t="n">
        <v>304.07</v>
      </c>
      <c r="Q29" s="36" t="n">
        <v>272.75</v>
      </c>
      <c r="R29" s="36" t="n">
        <v>206.06</v>
      </c>
      <c r="S29" s="36" t="n">
        <v>137.42</v>
      </c>
      <c r="T29" s="36" t="n">
        <v>177.8</v>
      </c>
      <c r="U29" s="37" t="n">
        <v>-8.900000000000001e-16</v>
      </c>
      <c r="V29" s="37" t="n"/>
      <c r="W29" s="37" t="n"/>
      <c r="X29" s="37" t="n"/>
      <c r="Y29" s="37" t="n"/>
      <c r="Z29" s="37" t="n"/>
      <c r="AA29" s="35" t="n">
        <v>1196.68</v>
      </c>
      <c r="AB29" s="35" t="n">
        <v>1196.68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153.59</v>
      </c>
      <c r="C31" s="34" t="n">
        <v>449.7599999999999</v>
      </c>
      <c r="D31" s="34" t="n">
        <v>649.5799999999999</v>
      </c>
      <c r="E31" s="34" t="n">
        <v>115.08</v>
      </c>
      <c r="F31" s="34" t="n">
        <v>666.6900000000001</v>
      </c>
      <c r="G31" s="34" t="n">
        <v>166.09</v>
      </c>
      <c r="H31" s="34" t="n">
        <v>255.14</v>
      </c>
      <c r="I31" s="34" t="n">
        <v>169.81</v>
      </c>
      <c r="J31" s="34" t="n">
        <v>146.99</v>
      </c>
      <c r="K31" s="34" t="n">
        <v>752.9499999999999</v>
      </c>
      <c r="L31" s="34" t="n">
        <v>55.19</v>
      </c>
      <c r="M31" s="34" t="n">
        <v>180.45</v>
      </c>
      <c r="N31" s="35" t="n">
        <v>3761.32</v>
      </c>
      <c r="O31" s="36" t="n">
        <v>66.31999999999999</v>
      </c>
      <c r="P31" s="36" t="n">
        <v>317.84</v>
      </c>
      <c r="Q31" s="36" t="n">
        <v>131.18</v>
      </c>
      <c r="R31" s="36" t="n">
        <v>352.43</v>
      </c>
      <c r="S31" s="36" t="n">
        <v>39.47</v>
      </c>
      <c r="T31" s="36" t="n">
        <v>461.39</v>
      </c>
      <c r="U31" s="37" t="n">
        <v>0</v>
      </c>
      <c r="V31" s="37" t="n"/>
      <c r="W31" s="37" t="n"/>
      <c r="X31" s="37" t="n"/>
      <c r="Y31" s="37" t="n"/>
      <c r="Z31" s="37" t="n"/>
      <c r="AA31" s="35" t="n">
        <v>1368.63</v>
      </c>
      <c r="AB31" s="35" t="n">
        <v>1368.63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197.98</v>
      </c>
      <c r="C32" s="34" t="n">
        <v>451.74</v>
      </c>
      <c r="D32" s="34" t="n">
        <v>490.08</v>
      </c>
      <c r="E32" s="34" t="n">
        <v>283.9</v>
      </c>
      <c r="F32" s="34" t="n">
        <v>244.65</v>
      </c>
      <c r="G32" s="34" t="n">
        <v>296.47</v>
      </c>
      <c r="H32" s="34" t="n">
        <v>303.94</v>
      </c>
      <c r="I32" s="34" t="n">
        <v>713.0799999999999</v>
      </c>
      <c r="J32" s="34" t="n">
        <v>288.32</v>
      </c>
      <c r="K32" s="34" t="n">
        <v>469.11</v>
      </c>
      <c r="L32" s="34" t="n">
        <v>222.69</v>
      </c>
      <c r="M32" s="34" t="n">
        <v>499.3</v>
      </c>
      <c r="N32" s="35" t="n">
        <v>4461.26</v>
      </c>
      <c r="O32" s="36" t="n">
        <v>309.16</v>
      </c>
      <c r="P32" s="36" t="n">
        <v>741.0799999999999</v>
      </c>
      <c r="Q32" s="36" t="n">
        <v>477.76</v>
      </c>
      <c r="R32" s="36" t="n">
        <v>880.35</v>
      </c>
      <c r="S32" s="36" t="n">
        <v>759.09</v>
      </c>
      <c r="T32" s="36" t="n">
        <v>718.79</v>
      </c>
      <c r="U32" s="37" t="n">
        <v>0</v>
      </c>
      <c r="V32" s="37" t="n"/>
      <c r="W32" s="37" t="n"/>
      <c r="X32" s="37" t="n"/>
      <c r="Y32" s="37" t="n"/>
      <c r="Z32" s="37" t="n"/>
      <c r="AA32" s="35" t="n">
        <v>3886.23</v>
      </c>
      <c r="AB32" s="35" t="n">
        <v>3886.23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4863.860000000001</v>
      </c>
      <c r="C34" s="41" t="n">
        <v>6371.73</v>
      </c>
      <c r="D34" s="41" t="n">
        <v>5527.089999999999</v>
      </c>
      <c r="E34" s="41" t="n">
        <v>5328.55</v>
      </c>
      <c r="F34" s="41" t="n">
        <v>7881.95</v>
      </c>
      <c r="G34" s="41" t="n">
        <v>5505.23</v>
      </c>
      <c r="H34" s="41" t="n">
        <v>6254.11</v>
      </c>
      <c r="I34" s="41" t="n">
        <v>6118.97</v>
      </c>
      <c r="J34" s="41" t="n">
        <v>4516.189999999999</v>
      </c>
      <c r="K34" s="41" t="n">
        <v>5632.559999999999</v>
      </c>
      <c r="L34" s="41" t="n">
        <v>4818.45</v>
      </c>
      <c r="M34" s="41" t="n">
        <v>4321.459999999999</v>
      </c>
      <c r="N34" s="42" t="n">
        <v>67140.14999999999</v>
      </c>
      <c r="O34" s="43" t="n">
        <v>4163.72</v>
      </c>
      <c r="P34" s="43" t="n">
        <v>5602.82</v>
      </c>
      <c r="Q34" s="43" t="n">
        <v>4699.66</v>
      </c>
      <c r="R34" s="43" t="n">
        <v>5578.76</v>
      </c>
      <c r="S34" s="43" t="n">
        <v>4535.89</v>
      </c>
      <c r="T34" s="43" t="n">
        <v>7811.099999999999</v>
      </c>
      <c r="U34" s="44" t="n">
        <v>-8.900000000000001e-16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32391.95</v>
      </c>
      <c r="AB34" s="42" t="n">
        <v>32391.95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4216</v>
      </c>
      <c r="C37" s="34" t="n">
        <v>4216</v>
      </c>
      <c r="D37" s="34" t="n">
        <v>4252.88</v>
      </c>
      <c r="E37" s="34" t="n">
        <v>4215.96</v>
      </c>
      <c r="F37" s="34" t="n">
        <v>4215.97</v>
      </c>
      <c r="G37" s="34" t="n">
        <v>4215.96</v>
      </c>
      <c r="H37" s="34" t="n">
        <v>4215.96</v>
      </c>
      <c r="I37" s="34" t="n">
        <v>4215.96</v>
      </c>
      <c r="J37" s="34" t="n">
        <v>4215.96</v>
      </c>
      <c r="K37" s="34" t="n">
        <v>4215.96</v>
      </c>
      <c r="L37" s="34" t="n">
        <v>4215.96</v>
      </c>
      <c r="M37" s="34" t="n">
        <v>4215.96</v>
      </c>
      <c r="N37" s="35" t="n">
        <v>50628.53</v>
      </c>
      <c r="O37" s="36" t="n">
        <v>4216</v>
      </c>
      <c r="P37" s="36" t="n">
        <v>4215.96</v>
      </c>
      <c r="Q37" s="36" t="n">
        <v>4179.07</v>
      </c>
      <c r="R37" s="36" t="n">
        <v>4897.87</v>
      </c>
      <c r="S37" s="36" t="n">
        <v>4897.87</v>
      </c>
      <c r="T37" s="36" t="n">
        <v>4897.87</v>
      </c>
      <c r="U37" s="37" t="n">
        <v>0</v>
      </c>
      <c r="V37" s="37" t="n"/>
      <c r="W37" s="37" t="n"/>
      <c r="X37" s="37" t="n"/>
      <c r="Y37" s="37" t="n"/>
      <c r="Z37" s="37" t="n"/>
      <c r="AA37" s="35" t="n">
        <v>27304.64</v>
      </c>
      <c r="AB37" s="35" t="n">
        <v>27304.64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7293.17</v>
      </c>
      <c r="C38" s="34" t="n">
        <v>3581.979999999997</v>
      </c>
      <c r="D38" s="34" t="n">
        <v>6113.52</v>
      </c>
      <c r="E38" s="34" t="n">
        <v>6572.95</v>
      </c>
      <c r="F38" s="34" t="n">
        <v>8871.389999999999</v>
      </c>
      <c r="G38" s="34" t="n">
        <v>3397.38</v>
      </c>
      <c r="H38" s="34" t="n">
        <v>3556.85</v>
      </c>
      <c r="I38" s="34" t="n">
        <v>1130.46</v>
      </c>
      <c r="J38" s="34" t="n">
        <v>1301.95</v>
      </c>
      <c r="K38" s="34" t="n">
        <v>4209.12</v>
      </c>
      <c r="L38" s="34" t="n">
        <v>4857.27</v>
      </c>
      <c r="M38" s="34" t="n">
        <v>3314.26</v>
      </c>
      <c r="N38" s="35" t="n">
        <v>54200.3</v>
      </c>
      <c r="O38" s="36" t="n">
        <v>7554.360000000001</v>
      </c>
      <c r="P38" s="36" t="n">
        <v>9826.530000000001</v>
      </c>
      <c r="Q38" s="36" t="n">
        <v>5390.43</v>
      </c>
      <c r="R38" s="36" t="n">
        <v>4485.809999999999</v>
      </c>
      <c r="S38" s="36" t="n">
        <v>4077.99</v>
      </c>
      <c r="T38" s="36" t="n">
        <v>5354.320000000001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33986</v>
      </c>
      <c r="AB38" s="35" t="n">
        <v>33986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3574.13</v>
      </c>
      <c r="C39" s="34" t="n">
        <v>646.99</v>
      </c>
      <c r="D39" s="34" t="n">
        <v>1700.16</v>
      </c>
      <c r="E39" s="34" t="n">
        <v>734.7900000000001</v>
      </c>
      <c r="F39" s="34" t="n">
        <v>1195.08</v>
      </c>
      <c r="G39" s="34" t="n">
        <v>1138.4</v>
      </c>
      <c r="H39" s="34" t="n">
        <v>242.08</v>
      </c>
      <c r="I39" s="34" t="n">
        <v>1720.8</v>
      </c>
      <c r="J39" s="34" t="n">
        <v>1954.24</v>
      </c>
      <c r="K39" s="34" t="n">
        <v>1703.11</v>
      </c>
      <c r="L39" s="34" t="n">
        <v>1295.370000000001</v>
      </c>
      <c r="M39" s="34" t="n">
        <v>824.37</v>
      </c>
      <c r="N39" s="35" t="n">
        <v>16729.52</v>
      </c>
      <c r="O39" s="36" t="n">
        <v>1639.42</v>
      </c>
      <c r="P39" s="36" t="n">
        <v>695.3</v>
      </c>
      <c r="Q39" s="36" t="n">
        <v>178.81</v>
      </c>
      <c r="R39" s="36" t="n">
        <v>422.06</v>
      </c>
      <c r="S39" s="36" t="n">
        <v>150.86</v>
      </c>
      <c r="T39" s="36" t="n">
        <v>598.5699999999999</v>
      </c>
      <c r="U39" s="37" t="n">
        <v>0</v>
      </c>
      <c r="V39" s="37" t="n"/>
      <c r="W39" s="37" t="n"/>
      <c r="X39" s="37" t="n"/>
      <c r="Y39" s="37" t="n"/>
      <c r="Z39" s="37" t="n"/>
      <c r="AA39" s="35" t="n">
        <v>3685.02</v>
      </c>
      <c r="AB39" s="35" t="n">
        <v>3685.02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844.7200000000001</v>
      </c>
      <c r="C40" s="34" t="n">
        <v>377.33</v>
      </c>
      <c r="D40" s="34" t="n">
        <v>660.41</v>
      </c>
      <c r="E40" s="34" t="n">
        <v>907.7100000000002</v>
      </c>
      <c r="F40" s="34" t="n">
        <v>1018.55</v>
      </c>
      <c r="G40" s="34" t="n">
        <v>404.7500000000001</v>
      </c>
      <c r="H40" s="34" t="n">
        <v>817.0799999999999</v>
      </c>
      <c r="I40" s="34" t="n">
        <v>506.95</v>
      </c>
      <c r="J40" s="34" t="n">
        <v>566.5</v>
      </c>
      <c r="K40" s="34" t="n">
        <v>721.65</v>
      </c>
      <c r="L40" s="34" t="n">
        <v>785.0700000000001</v>
      </c>
      <c r="M40" s="34" t="n">
        <v>302</v>
      </c>
      <c r="N40" s="35" t="n">
        <v>7912.72</v>
      </c>
      <c r="O40" s="36" t="n">
        <v>457.24</v>
      </c>
      <c r="P40" s="36" t="n">
        <v>598.9299999999999</v>
      </c>
      <c r="Q40" s="36" t="n">
        <v>511.44</v>
      </c>
      <c r="R40" s="36" t="n">
        <v>368.7</v>
      </c>
      <c r="S40" s="36" t="n">
        <v>253.96</v>
      </c>
      <c r="T40" s="36" t="n">
        <v>822.88</v>
      </c>
      <c r="U40" s="37" t="n">
        <v>0</v>
      </c>
      <c r="V40" s="37" t="n"/>
      <c r="W40" s="37" t="n"/>
      <c r="X40" s="37" t="n"/>
      <c r="Y40" s="37" t="n"/>
      <c r="Z40" s="37" t="n"/>
      <c r="AA40" s="35" t="n">
        <v>3013.15</v>
      </c>
      <c r="AB40" s="35" t="n">
        <v>3013.15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1040.38</v>
      </c>
      <c r="C41" s="34" t="n">
        <v>1029.28</v>
      </c>
      <c r="D41" s="34" t="n">
        <v>1216.85</v>
      </c>
      <c r="E41" s="34" t="n">
        <v>973.6900000000001</v>
      </c>
      <c r="F41" s="34" t="n">
        <v>1138.28</v>
      </c>
      <c r="G41" s="34" t="n">
        <v>1133.12</v>
      </c>
      <c r="H41" s="34" t="n">
        <v>1031.32</v>
      </c>
      <c r="I41" s="34" t="n">
        <v>940.5000000000001</v>
      </c>
      <c r="J41" s="34" t="n">
        <v>1474.52</v>
      </c>
      <c r="K41" s="34" t="n">
        <v>1086.24</v>
      </c>
      <c r="L41" s="34" t="n">
        <v>1096.32</v>
      </c>
      <c r="M41" s="34" t="n">
        <v>1192.64</v>
      </c>
      <c r="N41" s="35" t="n">
        <v>13353.14</v>
      </c>
      <c r="O41" s="36" t="n">
        <v>873.63</v>
      </c>
      <c r="P41" s="36" t="n">
        <v>1112.23</v>
      </c>
      <c r="Q41" s="36" t="n">
        <v>1272.28</v>
      </c>
      <c r="R41" s="36" t="n">
        <v>1073.87</v>
      </c>
      <c r="S41" s="36" t="n">
        <v>1244.74</v>
      </c>
      <c r="T41" s="36" t="n">
        <v>744.58</v>
      </c>
      <c r="U41" s="37" t="n">
        <v>0</v>
      </c>
      <c r="V41" s="37" t="n"/>
      <c r="W41" s="37" t="n"/>
      <c r="X41" s="37" t="n"/>
      <c r="Y41" s="37" t="n"/>
      <c r="Z41" s="37" t="n"/>
      <c r="AA41" s="35" t="n">
        <v>6321.33</v>
      </c>
      <c r="AB41" s="35" t="n">
        <v>6321.33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1244.08</v>
      </c>
      <c r="C42" s="34" t="n">
        <v>743.4699999999999</v>
      </c>
      <c r="D42" s="34" t="n">
        <v>841.4899999999999</v>
      </c>
      <c r="E42" s="34" t="n">
        <v>766.6400000000001</v>
      </c>
      <c r="F42" s="34" t="n">
        <v>673.5899999999999</v>
      </c>
      <c r="G42" s="34" t="n">
        <v>851.1600000000001</v>
      </c>
      <c r="H42" s="34" t="n">
        <v>606.1999999999999</v>
      </c>
      <c r="I42" s="34" t="n">
        <v>694.02</v>
      </c>
      <c r="J42" s="34" t="n">
        <v>694.27</v>
      </c>
      <c r="K42" s="34" t="n">
        <v>1186.23</v>
      </c>
      <c r="L42" s="34" t="n">
        <v>747.63</v>
      </c>
      <c r="M42" s="34" t="n">
        <v>784.53</v>
      </c>
      <c r="N42" s="35" t="n">
        <v>9833.309999999999</v>
      </c>
      <c r="O42" s="36" t="n">
        <v>9532.150000000001</v>
      </c>
      <c r="P42" s="36" t="n">
        <v>790.5</v>
      </c>
      <c r="Q42" s="36" t="n">
        <v>1082.46</v>
      </c>
      <c r="R42" s="36" t="n">
        <v>3675.34</v>
      </c>
      <c r="S42" s="36" t="n">
        <v>3630.03</v>
      </c>
      <c r="T42" s="36" t="n">
        <v>3286.41</v>
      </c>
      <c r="U42" s="37" t="n">
        <v>0</v>
      </c>
      <c r="V42" s="37" t="n"/>
      <c r="W42" s="37" t="n"/>
      <c r="X42" s="37" t="n"/>
      <c r="Y42" s="37" t="n"/>
      <c r="Z42" s="37" t="n"/>
      <c r="AA42" s="35" t="n">
        <v>21996.89</v>
      </c>
      <c r="AB42" s="35" t="n">
        <v>21996.89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164.71</v>
      </c>
      <c r="P43" s="36" t="n">
        <v>216.31</v>
      </c>
      <c r="Q43" s="36" t="n">
        <v>285.97</v>
      </c>
      <c r="R43" s="36" t="n">
        <v>409.78</v>
      </c>
      <c r="S43" s="36" t="n">
        <v>407.72</v>
      </c>
      <c r="T43" s="36" t="n">
        <v>458.83</v>
      </c>
      <c r="U43" s="37" t="n">
        <v>0</v>
      </c>
      <c r="V43" s="37" t="n"/>
      <c r="W43" s="37" t="n"/>
      <c r="X43" s="37" t="n"/>
      <c r="Y43" s="37" t="n"/>
      <c r="Z43" s="37" t="n"/>
      <c r="AA43" s="35" t="n">
        <v>1943.32</v>
      </c>
      <c r="AB43" s="35" t="n">
        <v>1943.32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7" t="n">
        <v>0</v>
      </c>
      <c r="V44" s="37" t="n"/>
      <c r="W44" s="37" t="n"/>
      <c r="X44" s="37" t="n"/>
      <c r="Y44" s="37" t="n"/>
      <c r="Z44" s="37" t="n"/>
      <c r="AA44" s="35" t="n">
        <v>2520</v>
      </c>
      <c r="AB44" s="35" t="n">
        <v>2520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29.98</v>
      </c>
      <c r="M45" s="34" t="n">
        <v>0</v>
      </c>
      <c r="N45" s="35" t="n">
        <v>411.77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22904.2</v>
      </c>
      <c r="C47" s="41" t="n">
        <v>10896.69</v>
      </c>
      <c r="D47" s="41" t="n">
        <v>15164.62</v>
      </c>
      <c r="E47" s="41" t="n">
        <v>19353.06</v>
      </c>
      <c r="F47" s="41" t="n">
        <v>17562.37</v>
      </c>
      <c r="G47" s="41" t="n">
        <v>11564.03</v>
      </c>
      <c r="H47" s="41" t="n">
        <v>15375.98</v>
      </c>
      <c r="I47" s="41" t="n">
        <v>10052.28</v>
      </c>
      <c r="J47" s="41" t="n">
        <v>11529.89</v>
      </c>
      <c r="K47" s="41" t="n">
        <v>15493.11</v>
      </c>
      <c r="L47" s="41" t="n">
        <v>14919.11</v>
      </c>
      <c r="M47" s="41" t="n">
        <v>12325.61</v>
      </c>
      <c r="N47" s="51" t="n">
        <v>177140.95</v>
      </c>
      <c r="O47" s="43" t="n">
        <v>24857.51</v>
      </c>
      <c r="P47" s="43" t="n">
        <v>17875.76</v>
      </c>
      <c r="Q47" s="43" t="n">
        <v>13320.46</v>
      </c>
      <c r="R47" s="43" t="n">
        <v>15753.43</v>
      </c>
      <c r="S47" s="43" t="n">
        <v>15083.17</v>
      </c>
      <c r="T47" s="43" t="n">
        <v>16583.46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100770.35</v>
      </c>
      <c r="AB47" s="51" t="n">
        <v>100770.35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108217.44</v>
      </c>
      <c r="C48" s="22" t="n">
        <v>97457.92</v>
      </c>
      <c r="D48" s="22" t="n">
        <v>102202.84</v>
      </c>
      <c r="E48" s="22" t="n">
        <v>115191.72</v>
      </c>
      <c r="F48" s="22" t="n">
        <v>121622.1</v>
      </c>
      <c r="G48" s="22" t="n">
        <v>101488.82</v>
      </c>
      <c r="H48" s="22" t="n">
        <v>115183.69</v>
      </c>
      <c r="I48" s="22" t="n">
        <v>99882.60000000001</v>
      </c>
      <c r="J48" s="22" t="n">
        <v>96235.75999999999</v>
      </c>
      <c r="K48" s="22" t="n">
        <v>108219.76</v>
      </c>
      <c r="L48" s="22" t="n">
        <v>103472.69</v>
      </c>
      <c r="M48" s="22" t="n">
        <v>105966.12</v>
      </c>
      <c r="N48" s="35" t="n">
        <v>1275141.46</v>
      </c>
      <c r="O48" s="24" t="n">
        <v>124331.78</v>
      </c>
      <c r="P48" s="24" t="n">
        <v>112454.57</v>
      </c>
      <c r="Q48" s="24" t="n">
        <v>121211.64</v>
      </c>
      <c r="R48" s="24" t="n">
        <v>125599.62</v>
      </c>
      <c r="S48" s="24" t="n">
        <v>120247.8</v>
      </c>
      <c r="T48" s="24" t="n">
        <v>128675.52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729817.49</v>
      </c>
      <c r="AB48" s="35" t="n">
        <v>729817.49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18931.52</v>
      </c>
      <c r="C50" s="54" t="n">
        <v>38378.84999999999</v>
      </c>
      <c r="D50" s="54" t="n">
        <v>68316.93999999999</v>
      </c>
      <c r="E50" s="54" t="n">
        <v>36408.48999999999</v>
      </c>
      <c r="F50" s="54" t="n">
        <v>8293.800000000003</v>
      </c>
      <c r="G50" s="54" t="n">
        <v>47809.59</v>
      </c>
      <c r="H50" s="54" t="n">
        <v>87436.17000000003</v>
      </c>
      <c r="I50" s="54" t="n">
        <v>25009.14999999999</v>
      </c>
      <c r="J50" s="54" t="n">
        <v>13286.37</v>
      </c>
      <c r="K50" s="54" t="n">
        <v>-1172.350000000006</v>
      </c>
      <c r="L50" s="54" t="n">
        <v>27474.32000000002</v>
      </c>
      <c r="M50" s="54" t="n">
        <v>48422.41999999998</v>
      </c>
      <c r="N50" s="54" t="n">
        <v>418595.27</v>
      </c>
      <c r="O50" s="54" t="n">
        <v>-11272.57999999999</v>
      </c>
      <c r="P50" s="54" t="n">
        <v>24017.53</v>
      </c>
      <c r="Q50" s="54" t="n">
        <v>35839.15999999999</v>
      </c>
      <c r="R50" s="54" t="n">
        <v>32261.78</v>
      </c>
      <c r="S50" s="54" t="n">
        <v>20168.3</v>
      </c>
      <c r="T50" s="54" t="n">
        <v>28393.77999999998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132111.41</v>
      </c>
      <c r="AB50" s="54" t="n">
        <v>132111.41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391.15</v>
      </c>
      <c r="M57" s="34" t="n">
        <v>853.53</v>
      </c>
      <c r="N57" s="35" t="n">
        <v>1354.18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7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21489.6</v>
      </c>
      <c r="R58" s="36" t="n">
        <v>4850.4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26340</v>
      </c>
      <c r="AB58" s="35" t="n">
        <v>26340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604.14</v>
      </c>
      <c r="C59" s="34" t="n">
        <v>604.11</v>
      </c>
      <c r="D59" s="34" t="n">
        <v>604.11</v>
      </c>
      <c r="E59" s="34" t="n">
        <v>604.14</v>
      </c>
      <c r="F59" s="34" t="n">
        <v>604.14</v>
      </c>
      <c r="G59" s="34" t="n">
        <v>604.14</v>
      </c>
      <c r="H59" s="34" t="n">
        <v>604.14</v>
      </c>
      <c r="I59" s="34" t="n">
        <v>604.14</v>
      </c>
      <c r="J59" s="34" t="n">
        <v>604.11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7370.37</v>
      </c>
      <c r="O59" s="36" t="n">
        <v>644.4</v>
      </c>
      <c r="P59" s="36" t="n">
        <v>644.4</v>
      </c>
      <c r="Q59" s="36" t="n">
        <v>644.4</v>
      </c>
      <c r="R59" s="36" t="n">
        <v>644.4</v>
      </c>
      <c r="S59" s="36" t="n">
        <v>644.4</v>
      </c>
      <c r="T59" s="36" t="n">
        <v>644.4</v>
      </c>
      <c r="U59" s="37" t="n">
        <v>0</v>
      </c>
      <c r="V59" s="37" t="n"/>
      <c r="W59" s="37" t="n"/>
      <c r="X59" s="37" t="n"/>
      <c r="Y59" s="37" t="n"/>
      <c r="Z59" s="37" t="n"/>
      <c r="AA59" s="35" t="n">
        <v>3866.4</v>
      </c>
      <c r="AB59" s="35" t="n">
        <v>3866.4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503.6200000000001</v>
      </c>
      <c r="C60" s="34" t="n">
        <v>186.09</v>
      </c>
      <c r="D60" s="34" t="n">
        <v>654.6100000000001</v>
      </c>
      <c r="E60" s="34" t="n">
        <v>19.19</v>
      </c>
      <c r="F60" s="34" t="n">
        <v>-23.74999999999999</v>
      </c>
      <c r="G60" s="34" t="n">
        <v>121.57</v>
      </c>
      <c r="H60" s="34" t="n">
        <v>36.74</v>
      </c>
      <c r="I60" s="34" t="n">
        <v>17.99</v>
      </c>
      <c r="J60" s="34" t="n">
        <v>19.79</v>
      </c>
      <c r="K60" s="34" t="n">
        <v>343.49</v>
      </c>
      <c r="L60" s="34" t="n">
        <v>128.58</v>
      </c>
      <c r="M60" s="34" t="n">
        <v>643.5400000000001</v>
      </c>
      <c r="N60" s="35" t="n">
        <v>2651.46</v>
      </c>
      <c r="O60" s="36" t="n">
        <v>231.59</v>
      </c>
      <c r="P60" s="36" t="n">
        <v>39.37</v>
      </c>
      <c r="Q60" s="36" t="n">
        <v>25.78</v>
      </c>
      <c r="R60" s="36" t="n">
        <v>26</v>
      </c>
      <c r="S60" s="36" t="n">
        <v>117</v>
      </c>
      <c r="T60" s="36" t="n">
        <v>325.98</v>
      </c>
      <c r="U60" s="37" t="n">
        <v>0</v>
      </c>
      <c r="V60" s="37" t="n"/>
      <c r="W60" s="37" t="n"/>
      <c r="X60" s="37" t="n"/>
      <c r="Y60" s="37" t="n"/>
      <c r="Z60" s="37" t="n"/>
      <c r="AA60" s="35" t="n">
        <v>765.72</v>
      </c>
      <c r="AB60" s="35" t="n">
        <v>765.72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145.03</v>
      </c>
      <c r="C61" s="34" t="n">
        <v>236.45</v>
      </c>
      <c r="D61" s="34" t="n">
        <v>33.33</v>
      </c>
      <c r="E61" s="34" t="n">
        <v>32.78</v>
      </c>
      <c r="F61" s="34" t="n">
        <v>36.08</v>
      </c>
      <c r="G61" s="34" t="n">
        <v>210.25</v>
      </c>
      <c r="H61" s="34" t="n">
        <v>85.37</v>
      </c>
      <c r="I61" s="34" t="n">
        <v>0</v>
      </c>
      <c r="J61" s="34" t="n">
        <v>0</v>
      </c>
      <c r="K61" s="34" t="n">
        <v>52.42</v>
      </c>
      <c r="L61" s="34" t="n">
        <v>89.65000000000001</v>
      </c>
      <c r="M61" s="34" t="n">
        <v>26.98</v>
      </c>
      <c r="N61" s="35" t="n">
        <v>948.34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159.95</v>
      </c>
      <c r="D62" s="34" t="n">
        <v>225</v>
      </c>
      <c r="E62" s="34" t="n">
        <v>122.6</v>
      </c>
      <c r="F62" s="34" t="n">
        <v>105</v>
      </c>
      <c r="G62" s="34" t="n">
        <v>33</v>
      </c>
      <c r="H62" s="34" t="n">
        <v>32</v>
      </c>
      <c r="I62" s="34" t="n">
        <v>20.99</v>
      </c>
      <c r="J62" s="34" t="n">
        <v>112</v>
      </c>
      <c r="K62" s="34" t="n">
        <v>274</v>
      </c>
      <c r="L62" s="34" t="n">
        <v>239</v>
      </c>
      <c r="M62" s="34" t="n">
        <v>51.15000000000001</v>
      </c>
      <c r="N62" s="35" t="n">
        <v>1389.69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3433.4</v>
      </c>
      <c r="P64" s="36" t="n">
        <v>4746.7</v>
      </c>
      <c r="Q64" s="36" t="n">
        <v>4746.7</v>
      </c>
      <c r="R64" s="36" t="n">
        <v>4746.7</v>
      </c>
      <c r="S64" s="36" t="n">
        <v>4746.7</v>
      </c>
      <c r="T64" s="36" t="n">
        <v>4746.7</v>
      </c>
      <c r="U64" s="37" t="n">
        <v>0</v>
      </c>
      <c r="V64" s="37" t="n"/>
      <c r="W64" s="37" t="n"/>
      <c r="X64" s="37" t="n"/>
      <c r="Y64" s="37" t="n"/>
      <c r="Z64" s="37" t="n"/>
      <c r="AA64" s="35" t="n">
        <v>27166.9</v>
      </c>
      <c r="AB64" s="35" t="n">
        <v>27166.9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2363.64</v>
      </c>
      <c r="P65" s="36" t="n">
        <v>0</v>
      </c>
      <c r="Q65" s="36" t="n">
        <v>3100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5463.639999999999</v>
      </c>
      <c r="AB65" s="35" t="n">
        <v>5463.639999999999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439.6</v>
      </c>
      <c r="P67" s="36" t="n">
        <v>298.2</v>
      </c>
      <c r="Q67" s="36" t="n">
        <v>243.7</v>
      </c>
      <c r="R67" s="36" t="n">
        <v>467.2</v>
      </c>
      <c r="S67" s="36" t="n">
        <v>244.3</v>
      </c>
      <c r="T67" s="36" t="n">
        <v>646</v>
      </c>
      <c r="U67" s="37" t="n">
        <v>55.3</v>
      </c>
      <c r="V67" s="37" t="n"/>
      <c r="W67" s="37" t="n"/>
      <c r="X67" s="37" t="n"/>
      <c r="Y67" s="37" t="n"/>
      <c r="Z67" s="37" t="n"/>
      <c r="AA67" s="35" t="n">
        <v>2394.3</v>
      </c>
      <c r="AB67" s="35" t="n">
        <v>2394.3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8912.390000000001</v>
      </c>
      <c r="C69" s="41" t="n">
        <v>2439</v>
      </c>
      <c r="D69" s="41" t="n">
        <v>12822</v>
      </c>
      <c r="E69" s="41" t="n">
        <v>5229.88</v>
      </c>
      <c r="F69" s="41" t="n">
        <v>948.8199999999999</v>
      </c>
      <c r="G69" s="41" t="n">
        <v>2074.41</v>
      </c>
      <c r="H69" s="41" t="n">
        <v>1005.95</v>
      </c>
      <c r="I69" s="41" t="n">
        <v>877.52</v>
      </c>
      <c r="J69" s="41" t="n">
        <v>853.0500000000001</v>
      </c>
      <c r="K69" s="41" t="n">
        <v>1474.21</v>
      </c>
      <c r="L69" s="41" t="n">
        <v>1618.53</v>
      </c>
      <c r="M69" s="41" t="n">
        <v>6388.05</v>
      </c>
      <c r="N69" s="42" t="n">
        <v>44643.81</v>
      </c>
      <c r="O69" s="43" t="n">
        <v>7112.63</v>
      </c>
      <c r="P69" s="43" t="n">
        <v>5728.67</v>
      </c>
      <c r="Q69" s="43" t="n">
        <v>30250.18</v>
      </c>
      <c r="R69" s="43" t="n">
        <v>10734.7</v>
      </c>
      <c r="S69" s="43" t="n">
        <v>5752.4</v>
      </c>
      <c r="T69" s="43" t="n">
        <v>6487.679999999999</v>
      </c>
      <c r="U69" s="44" t="n">
        <v>55.3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66121.56</v>
      </c>
      <c r="AB69" s="42" t="n">
        <v>66121.56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10019.13</v>
      </c>
      <c r="C70" s="54" t="n">
        <v>35939.84999999999</v>
      </c>
      <c r="D70" s="54" t="n">
        <v>55494.93999999999</v>
      </c>
      <c r="E70" s="54" t="n">
        <v>31178.60999999999</v>
      </c>
      <c r="F70" s="54" t="n">
        <v>7344.980000000003</v>
      </c>
      <c r="G70" s="54" t="n">
        <v>45735.17999999999</v>
      </c>
      <c r="H70" s="54" t="n">
        <v>86430.22000000003</v>
      </c>
      <c r="I70" s="54" t="n">
        <v>24131.62999999999</v>
      </c>
      <c r="J70" s="54" t="n">
        <v>12433.32</v>
      </c>
      <c r="K70" s="54" t="n">
        <v>-2646.560000000006</v>
      </c>
      <c r="L70" s="54" t="n">
        <v>25855.79000000002</v>
      </c>
      <c r="M70" s="54" t="n">
        <v>42034.36999999998</v>
      </c>
      <c r="N70" s="54" t="n">
        <v>373951.46</v>
      </c>
      <c r="O70" s="54" t="n">
        <v>-18385.20999999999</v>
      </c>
      <c r="P70" s="54" t="n">
        <v>18288.86</v>
      </c>
      <c r="Q70" s="54" t="n">
        <v>5588.979999999992</v>
      </c>
      <c r="R70" s="54" t="n">
        <v>21527.08</v>
      </c>
      <c r="S70" s="54" t="n">
        <v>14415.9</v>
      </c>
      <c r="T70" s="54" t="n">
        <v>21906.09999999998</v>
      </c>
      <c r="U70" s="54" t="n">
        <v>2648.14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65989.84999999999</v>
      </c>
      <c r="AB70" s="54" t="n">
        <v>65989.84999999999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2722.942382543945</v>
      </c>
      <c r="P74" s="55" t="n">
        <v>2722.942382543945</v>
      </c>
      <c r="Q74" s="55" t="n">
        <v>2722.942382543945</v>
      </c>
      <c r="R74" s="55" t="n">
        <v>2722.942382543945</v>
      </c>
      <c r="S74" s="55" t="n">
        <v>2722.942382543945</v>
      </c>
      <c r="T74" s="55" t="n">
        <v>2722.942382543945</v>
      </c>
      <c r="U74" s="55" t="n"/>
      <c r="V74" s="55" t="n"/>
      <c r="W74" s="55" t="n"/>
      <c r="X74" s="55" t="n"/>
      <c r="Y74" s="55" t="n"/>
      <c r="Z74" s="55" t="n"/>
      <c r="AA74" s="55" t="n">
        <v>16337.65429526367</v>
      </c>
      <c r="AB74" s="55" t="n">
        <v>16337.65429526367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27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59" t="inlineStr">
        <is>
          <t>Memo</t>
        </is>
      </c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Sales</t>
        </is>
      </c>
      <c r="B81" s="59" t="n">
        <v>127148.96</v>
      </c>
      <c r="C81" s="59" t="n">
        <v>135836.77</v>
      </c>
      <c r="D81" s="59" t="n">
        <v>170519.78</v>
      </c>
      <c r="E81" s="59" t="n">
        <v>151600.21</v>
      </c>
      <c r="F81" s="59" t="n">
        <v>129915.9</v>
      </c>
      <c r="G81" s="59" t="n">
        <v>149298.41</v>
      </c>
      <c r="H81" s="59" t="n">
        <v>202619.86</v>
      </c>
      <c r="I81" s="59" t="n">
        <v>124891.75</v>
      </c>
      <c r="J81" s="59" t="n">
        <v>109522.13</v>
      </c>
      <c r="N81" t="n">
        <v>1301353.77</v>
      </c>
      <c r="O81" s="59" t="n"/>
      <c r="P81" s="59" t="n"/>
      <c r="Q81" s="59" t="n"/>
      <c r="R81" s="59" t="n"/>
      <c r="S81" s="59" t="n"/>
      <c r="T81" s="59" t="n"/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Staff Cost</t>
        </is>
      </c>
      <c r="B82" s="17" t="n">
        <v>-80449.37999999999</v>
      </c>
      <c r="C82" s="17" t="n">
        <v>-80189.5</v>
      </c>
      <c r="D82" s="17" t="n">
        <v>-81511.13</v>
      </c>
      <c r="E82" s="17" t="n">
        <v>-90510.11</v>
      </c>
      <c r="F82" s="17" t="n">
        <v>-96177.78000000001</v>
      </c>
      <c r="G82" s="17" t="n">
        <v>-84419.56000000001</v>
      </c>
      <c r="H82" s="17" t="n">
        <v>-93553.59999999999</v>
      </c>
      <c r="I82" s="17" t="n">
        <v>-83711.35000000001</v>
      </c>
      <c r="J82" s="17" t="n">
        <v>-80189.67999999998</v>
      </c>
      <c r="K82" s="17" t="n"/>
      <c r="L82" s="17" t="n"/>
      <c r="M82" s="17" t="n"/>
      <c r="N82" t="n">
        <v>-770712.09</v>
      </c>
      <c r="O82" s="59" t="n"/>
      <c r="P82" s="59" t="n"/>
      <c r="Q82" s="59" t="n"/>
      <c r="R82" s="59" t="n"/>
      <c r="S82" s="59" t="n"/>
      <c r="T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Childcare Cost</t>
        </is>
      </c>
      <c r="B83" s="17" t="n">
        <v>-4863.859999999999</v>
      </c>
      <c r="C83" s="17" t="n">
        <v>-6371.73</v>
      </c>
      <c r="D83" s="17" t="n">
        <v>-5527.09</v>
      </c>
      <c r="E83" s="17" t="n">
        <v>-5328.55</v>
      </c>
      <c r="F83" s="17" t="n">
        <v>-7881.950000000001</v>
      </c>
      <c r="G83" s="17" t="n">
        <v>-5505.23</v>
      </c>
      <c r="H83" s="17" t="n">
        <v>-6254.110000000001</v>
      </c>
      <c r="I83" s="17" t="n">
        <v>-6118.969999999999</v>
      </c>
      <c r="J83" s="17" t="n">
        <v>-4516.19</v>
      </c>
      <c r="K83" s="17" t="n"/>
      <c r="L83" s="17" t="n"/>
      <c r="M83" s="17" t="n"/>
      <c r="N83" t="n">
        <v>-52367.68</v>
      </c>
      <c r="O83" s="59" t="n"/>
      <c r="P83" s="59" t="n"/>
      <c r="Q83" s="59" t="n"/>
      <c r="R83" s="59" t="n"/>
      <c r="S83" s="59" t="n"/>
      <c r="T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Premises &amp; Admin</t>
        </is>
      </c>
      <c r="B84" s="17" t="n">
        <v>-22904.2</v>
      </c>
      <c r="C84" s="17" t="n">
        <v>-10896.69</v>
      </c>
      <c r="D84" s="17" t="n">
        <v>-15164.62</v>
      </c>
      <c r="E84" s="17" t="n">
        <v>-19353.06</v>
      </c>
      <c r="F84" s="17" t="n">
        <v>-17562.37</v>
      </c>
      <c r="G84" s="17" t="n">
        <v>-11564.03</v>
      </c>
      <c r="H84" s="17" t="n">
        <v>-15375.98</v>
      </c>
      <c r="I84" s="17" t="n">
        <v>-10052.28</v>
      </c>
      <c r="J84" s="17" t="n">
        <v>-11529.89</v>
      </c>
      <c r="K84" s="17" t="n"/>
      <c r="L84" s="17" t="n"/>
      <c r="M84" s="17" t="n"/>
      <c r="N84" t="n">
        <v>-134403.12</v>
      </c>
      <c r="O84" s="59" t="n"/>
      <c r="P84" s="59" t="n"/>
      <c r="Q84" s="59" t="n"/>
      <c r="R84" s="59" t="n"/>
      <c r="S84" s="59" t="n"/>
      <c r="T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In-Direct - Staff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/>
      <c r="L85" s="17" t="n"/>
      <c r="M85" s="17" t="n"/>
      <c r="O85" s="59" t="n"/>
      <c r="P85" s="59" t="n"/>
      <c r="Q85" s="59" t="n"/>
      <c r="R85" s="59" t="n"/>
      <c r="S85" s="59" t="n"/>
      <c r="T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Overheads</t>
        </is>
      </c>
      <c r="B86" s="17" t="n">
        <v>-8912.390000000001</v>
      </c>
      <c r="C86" s="17" t="n">
        <v>-2439</v>
      </c>
      <c r="D86" s="17" t="n">
        <v>-12822</v>
      </c>
      <c r="E86" s="17" t="n">
        <v>-5229.879999999999</v>
      </c>
      <c r="F86" s="17" t="n">
        <v>-948.8200000000001</v>
      </c>
      <c r="G86" s="17" t="n">
        <v>-2074.41</v>
      </c>
      <c r="H86" s="17" t="n">
        <v>-1005.95</v>
      </c>
      <c r="I86" s="17" t="n">
        <v>-877.52</v>
      </c>
      <c r="J86" s="17" t="n">
        <v>-853.05</v>
      </c>
      <c r="K86" s="17" t="n"/>
      <c r="L86" s="17" t="n"/>
      <c r="M86" s="17" t="n"/>
      <c r="N86" t="n">
        <v>-35163.02</v>
      </c>
      <c r="O86" s="59" t="n"/>
      <c r="P86" s="59" t="n"/>
      <c r="Q86" s="59" t="n"/>
      <c r="R86" s="59" t="n"/>
      <c r="S86" s="59" t="n"/>
      <c r="T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 ht="15.75" customHeight="1">
      <c r="B87" s="66" t="n">
        <v>10019.13</v>
      </c>
      <c r="C87" s="66" t="n">
        <v>35939.85</v>
      </c>
      <c r="D87" s="66" t="n">
        <v>55494.94</v>
      </c>
      <c r="E87" s="66" t="n">
        <v>31178.61000000002</v>
      </c>
      <c r="F87" s="66" t="n">
        <v>7344.979999999985</v>
      </c>
      <c r="G87" s="66" t="n">
        <v>45735.17999999999</v>
      </c>
      <c r="H87" s="66" t="n">
        <v>86430.22000000003</v>
      </c>
      <c r="I87" s="66" t="n">
        <v>24131.62999999999</v>
      </c>
      <c r="J87" s="66" t="n">
        <v>12433.32000000001</v>
      </c>
      <c r="K87" s="17" t="n"/>
      <c r="L87" s="17" t="n"/>
      <c r="M87" s="17" t="n"/>
      <c r="N87" t="n">
        <v>308707.86</v>
      </c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t="n">
        <v>0</v>
      </c>
      <c r="AB87" t="n">
        <v>0</v>
      </c>
      <c r="AC87" s="63" t="n"/>
      <c r="AD87" s="63" t="n"/>
      <c r="AE87" s="63" t="n"/>
      <c r="AF87" s="63" t="n"/>
      <c r="AG87" s="63" t="n"/>
      <c r="AH87" s="63" t="n"/>
      <c r="AI87" s="121" t="n">
        <v>0</v>
      </c>
      <c r="AJ87" s="121" t="n">
        <v>0</v>
      </c>
      <c r="AK87" s="121" t="n">
        <v>0</v>
      </c>
      <c r="AL87" s="121" t="n">
        <v>0</v>
      </c>
      <c r="AM87" s="121" t="n">
        <v>0</v>
      </c>
      <c r="AN87" s="121" t="n">
        <v>0</v>
      </c>
      <c r="AO87" s="144">
        <f>SUM(AC87:AH87)+SUM(AI87:AN87)</f>
        <v/>
      </c>
      <c r="AP87" s="139">
        <f>IF(AB87&lt;&gt;0,(AO87-AB87)/ABS(AB87),0)</f>
        <v/>
      </c>
    </row>
    <row r="88" ht="15.75" customHeight="1"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-1.546140993013978e-11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/>
      <c r="L90" s="17" t="n"/>
      <c r="M90" s="17" t="n"/>
      <c r="N90" t="n">
        <v>-1.546140993013978e-11</v>
      </c>
      <c r="O90" s="59" t="n"/>
      <c r="P90" s="59" t="n"/>
      <c r="Q90" s="59" t="n"/>
      <c r="R90" s="59" t="n"/>
      <c r="S90" s="59" t="n"/>
      <c r="T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-10019.12999999999</v>
      </c>
      <c r="C91" s="17" t="n">
        <v>-35939.84999999999</v>
      </c>
      <c r="D91" s="17" t="n">
        <v>-55494.94</v>
      </c>
      <c r="E91" s="17" t="n">
        <v>-31178.61000000002</v>
      </c>
      <c r="F91" s="17" t="n">
        <v>-7344.98</v>
      </c>
      <c r="G91" s="17" t="n">
        <v>-45735.17999999999</v>
      </c>
      <c r="H91" s="17" t="n">
        <v>-86430.21999999997</v>
      </c>
      <c r="I91" s="17" t="n">
        <v>-24131.62999999999</v>
      </c>
      <c r="J91" s="17" t="n">
        <v>-12433.32</v>
      </c>
      <c r="K91" s="17" t="n"/>
      <c r="L91" s="17" t="n"/>
      <c r="M91" s="17" t="n"/>
      <c r="N91" t="n">
        <v>-308707.86</v>
      </c>
      <c r="O91" s="59" t="n"/>
      <c r="P91" s="59" t="n"/>
      <c r="Q91" s="59" t="n"/>
      <c r="R91" s="59" t="n"/>
      <c r="S91" s="59" t="n"/>
      <c r="T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</sheetData>
  <mergeCells count="1">
    <mergeCell ref="AI1:AQ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Q10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77841.63</v>
      </c>
      <c r="C8" s="34" t="n">
        <v>66526.10000000001</v>
      </c>
      <c r="D8" s="34" t="n">
        <v>69958.23</v>
      </c>
      <c r="E8" s="34" t="n">
        <v>80658.53999999999</v>
      </c>
      <c r="F8" s="34" t="n">
        <v>73269.45</v>
      </c>
      <c r="G8" s="34" t="n">
        <v>64964.12</v>
      </c>
      <c r="H8" s="34" t="n">
        <v>76266.69</v>
      </c>
      <c r="I8" s="34" t="n">
        <v>62869.39999999999</v>
      </c>
      <c r="J8" s="34" t="n">
        <v>48012.53999999999</v>
      </c>
      <c r="K8" s="34" t="n">
        <v>51561.83</v>
      </c>
      <c r="L8" s="34" t="n">
        <v>40955.97</v>
      </c>
      <c r="M8" s="34" t="n">
        <v>49145.36</v>
      </c>
      <c r="N8" s="35" t="n">
        <v>762029.86</v>
      </c>
      <c r="O8" s="36" t="n">
        <v>93052.36</v>
      </c>
      <c r="P8" s="36" t="n">
        <v>91078.02000000002</v>
      </c>
      <c r="Q8" s="36" t="n">
        <v>94463.54000000001</v>
      </c>
      <c r="R8" s="36" t="n">
        <v>108140.12</v>
      </c>
      <c r="S8" s="36" t="n">
        <v>108906.16</v>
      </c>
      <c r="T8" s="36" t="n">
        <v>112106.82</v>
      </c>
      <c r="U8" s="36" t="n">
        <v>119321.4</v>
      </c>
      <c r="V8" s="37" t="n"/>
      <c r="W8" s="37" t="n"/>
      <c r="X8" s="37" t="n"/>
      <c r="Y8" s="37" t="n"/>
      <c r="Z8" s="37" t="n"/>
      <c r="AA8" s="35" t="n">
        <v>727068.42</v>
      </c>
      <c r="AB8" s="35" t="n">
        <v>727068.42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24675.3</v>
      </c>
      <c r="C9" s="34" t="n">
        <v>24675.3</v>
      </c>
      <c r="D9" s="34" t="n">
        <v>32687.2</v>
      </c>
      <c r="E9" s="34" t="n">
        <v>18618.73999999999</v>
      </c>
      <c r="F9" s="34" t="n">
        <v>18618.73999999999</v>
      </c>
      <c r="G9" s="34" t="n">
        <v>18618.74</v>
      </c>
      <c r="H9" s="34" t="n">
        <v>41524.17</v>
      </c>
      <c r="I9" s="34" t="n">
        <v>0</v>
      </c>
      <c r="J9" s="34" t="n">
        <v>18221.63</v>
      </c>
      <c r="K9" s="34" t="n">
        <v>18221.63</v>
      </c>
      <c r="L9" s="34" t="n">
        <v>38768.95</v>
      </c>
      <c r="M9" s="34" t="n">
        <v>39267.79</v>
      </c>
      <c r="N9" s="35" t="n">
        <v>293898.19</v>
      </c>
      <c r="O9" s="36" t="n">
        <v>63656.56</v>
      </c>
      <c r="P9" s="36" t="n">
        <v>63656.56</v>
      </c>
      <c r="Q9" s="36" t="n">
        <v>77997.67999999999</v>
      </c>
      <c r="R9" s="36" t="n">
        <v>89042.78000000001</v>
      </c>
      <c r="S9" s="36" t="n">
        <v>89042.78000000001</v>
      </c>
      <c r="T9" s="36" t="n">
        <v>106356</v>
      </c>
      <c r="U9" s="36" t="n">
        <v>94813.86</v>
      </c>
      <c r="V9" s="37" t="n"/>
      <c r="W9" s="37" t="n"/>
      <c r="X9" s="37" t="n"/>
      <c r="Y9" s="37" t="n"/>
      <c r="Z9" s="37" t="n"/>
      <c r="AA9" s="35" t="n">
        <v>584566.22</v>
      </c>
      <c r="AB9" s="35" t="n">
        <v>584566.22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5162.469999999999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5162.469999999999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102516.93</v>
      </c>
      <c r="C11" s="41" t="n">
        <v>91201.40000000001</v>
      </c>
      <c r="D11" s="41" t="n">
        <v>102645.43</v>
      </c>
      <c r="E11" s="41" t="n">
        <v>99277.27999999998</v>
      </c>
      <c r="F11" s="41" t="n">
        <v>91888.18999999999</v>
      </c>
      <c r="G11" s="41" t="n">
        <v>83582.86</v>
      </c>
      <c r="H11" s="41" t="n">
        <v>117790.86</v>
      </c>
      <c r="I11" s="41" t="n">
        <v>68031.86999999998</v>
      </c>
      <c r="J11" s="41" t="n">
        <v>66234.17</v>
      </c>
      <c r="K11" s="41" t="n">
        <v>69783.46000000001</v>
      </c>
      <c r="L11" s="41" t="n">
        <v>79724.92</v>
      </c>
      <c r="M11" s="41" t="n">
        <v>88413.14999999999</v>
      </c>
      <c r="N11" s="42" t="n">
        <v>1061090.52</v>
      </c>
      <c r="O11" s="43" t="n">
        <v>156708.92</v>
      </c>
      <c r="P11" s="43" t="n">
        <v>154734.58</v>
      </c>
      <c r="Q11" s="43" t="n">
        <v>172461.22</v>
      </c>
      <c r="R11" s="43" t="n">
        <v>197182.9</v>
      </c>
      <c r="S11" s="43" t="n">
        <v>197948.94</v>
      </c>
      <c r="T11" s="43" t="n">
        <v>218462.82</v>
      </c>
      <c r="U11" s="43" t="n">
        <v>214135.26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1311634.64</v>
      </c>
      <c r="AB11" s="42" t="n">
        <v>1311634.64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41319.78</v>
      </c>
      <c r="C16" s="34" t="n">
        <v>40020.23</v>
      </c>
      <c r="D16" s="34" t="n">
        <v>42002.11</v>
      </c>
      <c r="E16" s="34" t="n">
        <v>44294.99</v>
      </c>
      <c r="F16" s="34" t="n">
        <v>45439.21</v>
      </c>
      <c r="G16" s="34" t="n">
        <v>45019.63</v>
      </c>
      <c r="H16" s="34" t="n">
        <v>47818.86</v>
      </c>
      <c r="I16" s="34" t="n">
        <v>43012.48</v>
      </c>
      <c r="J16" s="34" t="n">
        <v>49303.41</v>
      </c>
      <c r="K16" s="34" t="n">
        <v>49177.19</v>
      </c>
      <c r="L16" s="34" t="n">
        <v>49609.86</v>
      </c>
      <c r="M16" s="34" t="n">
        <v>49669.99000000001</v>
      </c>
      <c r="N16" s="35" t="n">
        <v>546687.74</v>
      </c>
      <c r="O16" s="36" t="n">
        <v>108336.44</v>
      </c>
      <c r="P16" s="36" t="n">
        <v>99475.29999999999</v>
      </c>
      <c r="Q16" s="36" t="n">
        <v>98307.78</v>
      </c>
      <c r="R16" s="36" t="n">
        <v>110006.38</v>
      </c>
      <c r="S16" s="36" t="n">
        <v>116583.96</v>
      </c>
      <c r="T16" s="36" t="n">
        <v>116522.82</v>
      </c>
      <c r="U16" s="36" t="n">
        <v>117654.08</v>
      </c>
      <c r="V16" s="37" t="n"/>
      <c r="W16" s="37" t="n"/>
      <c r="X16" s="37" t="n"/>
      <c r="Y16" s="37" t="n"/>
      <c r="Z16" s="37" t="n"/>
      <c r="AA16" s="35" t="n">
        <v>766886.76</v>
      </c>
      <c r="AB16" s="35" t="n">
        <v>766886.76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3434.6</v>
      </c>
      <c r="C17" s="34" t="n">
        <v>3254.86</v>
      </c>
      <c r="D17" s="34" t="n">
        <v>3179.25</v>
      </c>
      <c r="E17" s="34" t="n">
        <v>4906.440000000001</v>
      </c>
      <c r="F17" s="34" t="n">
        <v>5050.110000000001</v>
      </c>
      <c r="G17" s="34" t="n">
        <v>5114.61</v>
      </c>
      <c r="H17" s="34" t="n">
        <v>5403.94</v>
      </c>
      <c r="I17" s="34" t="n">
        <v>4607.38</v>
      </c>
      <c r="J17" s="34" t="n">
        <v>5257.32</v>
      </c>
      <c r="K17" s="34" t="n">
        <v>5470.15</v>
      </c>
      <c r="L17" s="34" t="n">
        <v>5447.35</v>
      </c>
      <c r="M17" s="34" t="n">
        <v>5508.51</v>
      </c>
      <c r="N17" s="35" t="n">
        <v>56634.52</v>
      </c>
      <c r="O17" s="36" t="n">
        <v>12112.62</v>
      </c>
      <c r="P17" s="36" t="n">
        <v>10957.88</v>
      </c>
      <c r="Q17" s="36" t="n">
        <v>11012.66</v>
      </c>
      <c r="R17" s="36" t="n">
        <v>12339.56</v>
      </c>
      <c r="S17" s="36" t="n">
        <v>12976.58</v>
      </c>
      <c r="T17" s="36" t="n">
        <v>12610.6</v>
      </c>
      <c r="U17" s="36" t="n">
        <v>13354.66</v>
      </c>
      <c r="V17" s="37" t="n"/>
      <c r="W17" s="37" t="n"/>
      <c r="X17" s="37" t="n"/>
      <c r="Y17" s="37" t="n"/>
      <c r="Z17" s="37" t="n"/>
      <c r="AA17" s="35" t="n">
        <v>85364.56</v>
      </c>
      <c r="AB17" s="35" t="n">
        <v>85364.56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859.27</v>
      </c>
      <c r="C18" s="34" t="n">
        <v>815.1199999999999</v>
      </c>
      <c r="D18" s="34" t="n">
        <v>754.52</v>
      </c>
      <c r="E18" s="34" t="n">
        <v>780.86</v>
      </c>
      <c r="F18" s="34" t="n">
        <v>832.29</v>
      </c>
      <c r="G18" s="34" t="n">
        <v>831.34</v>
      </c>
      <c r="H18" s="34" t="n">
        <v>813</v>
      </c>
      <c r="I18" s="34" t="n">
        <v>686.12</v>
      </c>
      <c r="J18" s="34" t="n">
        <v>598.62</v>
      </c>
      <c r="K18" s="34" t="n">
        <v>666.9200000000001</v>
      </c>
      <c r="L18" s="34" t="n">
        <v>925.02</v>
      </c>
      <c r="M18" s="34" t="n">
        <v>930.0699999999999</v>
      </c>
      <c r="N18" s="35" t="n">
        <v>9493.15</v>
      </c>
      <c r="O18" s="36" t="n">
        <v>2067.8</v>
      </c>
      <c r="P18" s="36" t="n">
        <v>1903.64</v>
      </c>
      <c r="Q18" s="36" t="n">
        <v>1911.76</v>
      </c>
      <c r="R18" s="36" t="n">
        <v>2021.6</v>
      </c>
      <c r="S18" s="36" t="n">
        <v>2040.14</v>
      </c>
      <c r="T18" s="36" t="n">
        <v>1913.94</v>
      </c>
      <c r="U18" s="36" t="n">
        <v>1985.5</v>
      </c>
      <c r="V18" s="37" t="n"/>
      <c r="W18" s="37" t="n"/>
      <c r="X18" s="37" t="n"/>
      <c r="Y18" s="37" t="n"/>
      <c r="Z18" s="37" t="n"/>
      <c r="AA18" s="35" t="n">
        <v>13844.38</v>
      </c>
      <c r="AB18" s="35" t="n">
        <v>13844.38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219.84</v>
      </c>
      <c r="D19" s="34" t="n">
        <v>299.8200000000001</v>
      </c>
      <c r="E19" s="34" t="n">
        <v>106.38</v>
      </c>
      <c r="F19" s="34" t="n">
        <v>92.34</v>
      </c>
      <c r="G19" s="34" t="n">
        <v>0</v>
      </c>
      <c r="H19" s="34" t="n">
        <v>365.88</v>
      </c>
      <c r="I19" s="34" t="n">
        <v>91.14</v>
      </c>
      <c r="J19" s="34" t="n">
        <v>24.97</v>
      </c>
      <c r="K19" s="34" t="n">
        <v>534</v>
      </c>
      <c r="L19" s="34" t="n">
        <v>0</v>
      </c>
      <c r="M19" s="34" t="n">
        <v>35.82</v>
      </c>
      <c r="N19" s="35" t="n">
        <v>1872.75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486.8</v>
      </c>
      <c r="T19" s="36" t="n">
        <v>0</v>
      </c>
      <c r="U19" s="36" t="n">
        <v>593.88</v>
      </c>
      <c r="V19" s="37" t="n"/>
      <c r="W19" s="37" t="n"/>
      <c r="X19" s="37" t="n"/>
      <c r="Y19" s="37" t="n"/>
      <c r="Z19" s="37" t="n"/>
      <c r="AA19" s="35" t="n">
        <v>1080.68</v>
      </c>
      <c r="AB19" s="35" t="n">
        <v>1080.68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61.99</v>
      </c>
      <c r="C20" s="34" t="n">
        <v>72</v>
      </c>
      <c r="D20" s="34" t="n">
        <v>0</v>
      </c>
      <c r="E20" s="34" t="n">
        <v>31.2</v>
      </c>
      <c r="F20" s="34" t="n">
        <v>133.2</v>
      </c>
      <c r="G20" s="34" t="n">
        <v>120</v>
      </c>
      <c r="H20" s="34" t="n">
        <v>37.2</v>
      </c>
      <c r="I20" s="34" t="n">
        <v>307.19</v>
      </c>
      <c r="J20" s="34" t="n">
        <v>52</v>
      </c>
      <c r="K20" s="34" t="n">
        <v>117.19</v>
      </c>
      <c r="L20" s="34" t="n">
        <v>558.62</v>
      </c>
      <c r="M20" s="34" t="n">
        <v>0</v>
      </c>
      <c r="N20" s="35" t="n">
        <v>1490.59</v>
      </c>
      <c r="O20" s="36" t="n">
        <v>0</v>
      </c>
      <c r="P20" s="36" t="n">
        <v>-844</v>
      </c>
      <c r="Q20" s="36" t="n">
        <v>0</v>
      </c>
      <c r="R20" s="36" t="n">
        <v>0</v>
      </c>
      <c r="S20" s="36" t="n">
        <v>208.5</v>
      </c>
      <c r="T20" s="36" t="n">
        <v>556.5</v>
      </c>
      <c r="U20" s="36" t="n">
        <v>52.5</v>
      </c>
      <c r="V20" s="37" t="n"/>
      <c r="W20" s="37" t="n"/>
      <c r="X20" s="37" t="n"/>
      <c r="Y20" s="37" t="n"/>
      <c r="Z20" s="37" t="n"/>
      <c r="AA20" s="35" t="n">
        <v>-26.5</v>
      </c>
      <c r="AB20" s="35" t="n">
        <v>-26.5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287.15</v>
      </c>
      <c r="C21" s="34" t="n">
        <v>337.61</v>
      </c>
      <c r="D21" s="34" t="n">
        <v>222.99</v>
      </c>
      <c r="E21" s="34" t="n">
        <v>369.5</v>
      </c>
      <c r="F21" s="34" t="n">
        <v>264.89</v>
      </c>
      <c r="G21" s="34" t="n">
        <v>250.93</v>
      </c>
      <c r="H21" s="34" t="n">
        <v>192.58</v>
      </c>
      <c r="I21" s="34" t="n">
        <v>262.18</v>
      </c>
      <c r="J21" s="34" t="n">
        <v>352.82</v>
      </c>
      <c r="K21" s="34" t="n">
        <v>345.1900000000001</v>
      </c>
      <c r="L21" s="34" t="n">
        <v>152.88</v>
      </c>
      <c r="M21" s="34" t="n">
        <v>105.76</v>
      </c>
      <c r="N21" s="35" t="n">
        <v>3144.48</v>
      </c>
      <c r="O21" s="36" t="n">
        <v>412.1399999999999</v>
      </c>
      <c r="P21" s="36" t="n">
        <v>121.64</v>
      </c>
      <c r="Q21" s="36" t="n">
        <v>645.88</v>
      </c>
      <c r="R21" s="36" t="n">
        <v>566.36</v>
      </c>
      <c r="S21" s="36" t="n">
        <v>613.4400000000001</v>
      </c>
      <c r="T21" s="36" t="n">
        <v>260.12</v>
      </c>
      <c r="U21" s="36" t="n">
        <v>629.02</v>
      </c>
      <c r="V21" s="37" t="n"/>
      <c r="W21" s="37" t="n"/>
      <c r="X21" s="37" t="n"/>
      <c r="Y21" s="37" t="n"/>
      <c r="Z21" s="37" t="n"/>
      <c r="AA21" s="35" t="n">
        <v>3248.6</v>
      </c>
      <c r="AB21" s="35" t="n">
        <v>3248.6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5560.84</v>
      </c>
      <c r="P22" s="36" t="n">
        <v>2103.36</v>
      </c>
      <c r="Q22" s="36" t="n">
        <v>5301.58</v>
      </c>
      <c r="R22" s="36" t="n">
        <v>8039.24</v>
      </c>
      <c r="S22" s="36" t="n">
        <v>12556.34</v>
      </c>
      <c r="T22" s="36" t="n">
        <v>10445.18</v>
      </c>
      <c r="U22" s="36" t="n">
        <v>10095.58</v>
      </c>
      <c r="V22" s="37" t="n"/>
      <c r="W22" s="37" t="n"/>
      <c r="X22" s="37" t="n"/>
      <c r="Y22" s="37" t="n"/>
      <c r="Z22" s="37" t="n"/>
      <c r="AA22" s="35" t="n">
        <v>54102.12</v>
      </c>
      <c r="AB22" s="35" t="n">
        <v>54102.12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1300</v>
      </c>
      <c r="M23" s="34" t="n">
        <v>0</v>
      </c>
      <c r="N23" s="35" t="n">
        <v>1364.5</v>
      </c>
      <c r="O23" s="36" t="n">
        <v>150.4</v>
      </c>
      <c r="P23" s="36" t="n">
        <v>100.46</v>
      </c>
      <c r="Q23" s="36" t="n">
        <v>30.56</v>
      </c>
      <c r="R23" s="36" t="n">
        <v>0</v>
      </c>
      <c r="S23" s="36" t="n">
        <v>33</v>
      </c>
      <c r="T23" s="36" t="n">
        <v>0</v>
      </c>
      <c r="U23" s="36" t="n">
        <v>63.8</v>
      </c>
      <c r="V23" s="37" t="n"/>
      <c r="W23" s="37" t="n"/>
      <c r="X23" s="37" t="n"/>
      <c r="Y23" s="37" t="n"/>
      <c r="Z23" s="37" t="n"/>
      <c r="AA23" s="35" t="n">
        <v>378.22</v>
      </c>
      <c r="AB23" s="35" t="n">
        <v>378.22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53151.29</v>
      </c>
      <c r="C25" s="41" t="n">
        <v>46769.66</v>
      </c>
      <c r="D25" s="41" t="n">
        <v>48048.36</v>
      </c>
      <c r="E25" s="41" t="n">
        <v>51157.31</v>
      </c>
      <c r="F25" s="41" t="n">
        <v>53740.64</v>
      </c>
      <c r="G25" s="41" t="n">
        <v>55046.78</v>
      </c>
      <c r="H25" s="41" t="n">
        <v>61884.79</v>
      </c>
      <c r="I25" s="41" t="n">
        <v>52400.49000000001</v>
      </c>
      <c r="J25" s="41" t="n">
        <v>58243.64000000001</v>
      </c>
      <c r="K25" s="41" t="n">
        <v>60315.25</v>
      </c>
      <c r="L25" s="41" t="n">
        <v>60521.19</v>
      </c>
      <c r="M25" s="41" t="n">
        <v>60529.86000000002</v>
      </c>
      <c r="N25" s="42" t="n">
        <v>661809.26</v>
      </c>
      <c r="O25" s="43" t="n">
        <v>128640.24</v>
      </c>
      <c r="P25" s="43" t="n">
        <v>113818.28</v>
      </c>
      <c r="Q25" s="43" t="n">
        <v>117210.22</v>
      </c>
      <c r="R25" s="43" t="n">
        <v>132973.14</v>
      </c>
      <c r="S25" s="43" t="n">
        <v>145498.76</v>
      </c>
      <c r="T25" s="43" t="n">
        <v>142309.16</v>
      </c>
      <c r="U25" s="43" t="n">
        <v>144429.02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924878.8200000001</v>
      </c>
      <c r="AB25" s="42" t="n">
        <v>924878.8200000001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2381.8</v>
      </c>
      <c r="C27" s="34" t="n">
        <v>2254.54</v>
      </c>
      <c r="D27" s="34" t="n">
        <v>2257.89</v>
      </c>
      <c r="E27" s="34" t="n">
        <v>1588.93</v>
      </c>
      <c r="F27" s="34" t="n">
        <v>2120.43</v>
      </c>
      <c r="G27" s="34" t="n">
        <v>1869.87</v>
      </c>
      <c r="H27" s="34" t="n">
        <v>1921.71</v>
      </c>
      <c r="I27" s="34" t="n">
        <v>1651.48</v>
      </c>
      <c r="J27" s="34" t="n">
        <v>1974.4</v>
      </c>
      <c r="K27" s="34" t="n">
        <v>2611.91</v>
      </c>
      <c r="L27" s="34" t="n">
        <v>1828.7</v>
      </c>
      <c r="M27" s="34" t="n">
        <v>1940.75</v>
      </c>
      <c r="N27" s="35" t="n">
        <v>24402.41</v>
      </c>
      <c r="O27" s="36" t="n">
        <v>4671.06</v>
      </c>
      <c r="P27" s="36" t="n">
        <v>5181.879999999999</v>
      </c>
      <c r="Q27" s="36" t="n">
        <v>4710.08</v>
      </c>
      <c r="R27" s="36" t="n">
        <v>5909.320000000001</v>
      </c>
      <c r="S27" s="36" t="n">
        <v>4423.04</v>
      </c>
      <c r="T27" s="36" t="n">
        <v>4816.559999999999</v>
      </c>
      <c r="U27" s="36" t="n">
        <v>5319.56</v>
      </c>
      <c r="V27" s="37" t="n"/>
      <c r="W27" s="37" t="n"/>
      <c r="X27" s="37" t="n"/>
      <c r="Y27" s="37" t="n"/>
      <c r="Z27" s="37" t="n"/>
      <c r="AA27" s="35" t="n">
        <v>35031.5</v>
      </c>
      <c r="AB27" s="35" t="n">
        <v>35031.5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85.96000000000001</v>
      </c>
      <c r="C28" s="34" t="n">
        <v>2533.19</v>
      </c>
      <c r="D28" s="34" t="n">
        <v>408.11</v>
      </c>
      <c r="E28" s="34" t="n">
        <v>213.42</v>
      </c>
      <c r="F28" s="34" t="n">
        <v>368.73</v>
      </c>
      <c r="G28" s="34" t="n">
        <v>67.42</v>
      </c>
      <c r="H28" s="34" t="n">
        <v>179.26</v>
      </c>
      <c r="I28" s="34" t="n">
        <v>197.3</v>
      </c>
      <c r="J28" s="34" t="n">
        <v>3851.36</v>
      </c>
      <c r="K28" s="34" t="n">
        <v>103.26</v>
      </c>
      <c r="L28" s="34" t="n">
        <v>120.64</v>
      </c>
      <c r="M28" s="34" t="n">
        <v>37.20999999999999</v>
      </c>
      <c r="N28" s="35" t="n">
        <v>8165.860000000001</v>
      </c>
      <c r="O28" s="36" t="n">
        <v>362.16</v>
      </c>
      <c r="P28" s="36" t="n">
        <v>370.98</v>
      </c>
      <c r="Q28" s="36" t="n">
        <v>270.92</v>
      </c>
      <c r="R28" s="36" t="n">
        <v>183.12</v>
      </c>
      <c r="S28" s="36" t="n">
        <v>242.26</v>
      </c>
      <c r="T28" s="36" t="n">
        <v>163.34</v>
      </c>
      <c r="U28" s="36" t="n">
        <v>94.73999999999999</v>
      </c>
      <c r="V28" s="37" t="n"/>
      <c r="W28" s="37" t="n"/>
      <c r="X28" s="37" t="n"/>
      <c r="Y28" s="37" t="n"/>
      <c r="Z28" s="37" t="n"/>
      <c r="AA28" s="35" t="n">
        <v>1687.52</v>
      </c>
      <c r="AB28" s="35" t="n">
        <v>1687.52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196.08</v>
      </c>
      <c r="C29" s="34" t="n">
        <v>380.03</v>
      </c>
      <c r="D29" s="34" t="n">
        <v>282.88</v>
      </c>
      <c r="E29" s="34" t="n">
        <v>198.79</v>
      </c>
      <c r="F29" s="34" t="n">
        <v>175.75</v>
      </c>
      <c r="G29" s="34" t="n">
        <v>199.6</v>
      </c>
      <c r="H29" s="34" t="n">
        <v>48.36</v>
      </c>
      <c r="I29" s="34" t="n">
        <v>142.09</v>
      </c>
      <c r="J29" s="34" t="n">
        <v>272.74</v>
      </c>
      <c r="K29" s="34" t="n">
        <v>118.14</v>
      </c>
      <c r="L29" s="34" t="n">
        <v>461.49</v>
      </c>
      <c r="M29" s="34" t="n">
        <v>114.88</v>
      </c>
      <c r="N29" s="35" t="n">
        <v>2590.83</v>
      </c>
      <c r="O29" s="36" t="n">
        <v>389.88</v>
      </c>
      <c r="P29" s="36" t="n">
        <v>256.22</v>
      </c>
      <c r="Q29" s="36" t="n">
        <v>848.6199999999999</v>
      </c>
      <c r="R29" s="36" t="n">
        <v>188.52</v>
      </c>
      <c r="S29" s="36" t="n">
        <v>240.9</v>
      </c>
      <c r="T29" s="36" t="n">
        <v>910.7</v>
      </c>
      <c r="U29" s="36" t="n">
        <v>461</v>
      </c>
      <c r="V29" s="37" t="n"/>
      <c r="W29" s="37" t="n"/>
      <c r="X29" s="37" t="n"/>
      <c r="Y29" s="37" t="n"/>
      <c r="Z29" s="37" t="n"/>
      <c r="AA29" s="35" t="n">
        <v>3295.84</v>
      </c>
      <c r="AB29" s="35" t="n">
        <v>3295.84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254.48</v>
      </c>
      <c r="D31" s="34" t="n">
        <v>271.36</v>
      </c>
      <c r="E31" s="34" t="n">
        <v>127.96</v>
      </c>
      <c r="F31" s="34" t="n">
        <v>114.68</v>
      </c>
      <c r="G31" s="34" t="n">
        <v>25</v>
      </c>
      <c r="H31" s="34" t="n">
        <v>117.42</v>
      </c>
      <c r="I31" s="34" t="n">
        <v>747.5600000000001</v>
      </c>
      <c r="J31" s="34" t="n">
        <v>940.75</v>
      </c>
      <c r="K31" s="34" t="n">
        <v>134.47</v>
      </c>
      <c r="L31" s="34" t="n">
        <v>122.22</v>
      </c>
      <c r="M31" s="34" t="n">
        <v>195.87</v>
      </c>
      <c r="N31" s="35" t="n">
        <v>3132.12</v>
      </c>
      <c r="O31" s="36" t="n">
        <v>783.8600000000001</v>
      </c>
      <c r="P31" s="36" t="n">
        <v>158.04</v>
      </c>
      <c r="Q31" s="36" t="n">
        <v>272.04</v>
      </c>
      <c r="R31" s="36" t="n">
        <v>398.26</v>
      </c>
      <c r="S31" s="36" t="n">
        <v>106.04</v>
      </c>
      <c r="T31" s="36" t="n">
        <v>153.82</v>
      </c>
      <c r="U31" s="36" t="n">
        <v>216.12</v>
      </c>
      <c r="V31" s="37" t="n"/>
      <c r="W31" s="37" t="n"/>
      <c r="X31" s="37" t="n"/>
      <c r="Y31" s="37" t="n"/>
      <c r="Z31" s="37" t="n"/>
      <c r="AA31" s="35" t="n">
        <v>2088.18</v>
      </c>
      <c r="AB31" s="35" t="n">
        <v>2088.18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255.92</v>
      </c>
      <c r="C32" s="34" t="n">
        <v>78.02000000000001</v>
      </c>
      <c r="D32" s="34" t="n">
        <v>57.88</v>
      </c>
      <c r="E32" s="34" t="n">
        <v>131.46</v>
      </c>
      <c r="F32" s="34" t="n">
        <v>191.74</v>
      </c>
      <c r="G32" s="34" t="n">
        <v>133.69</v>
      </c>
      <c r="H32" s="34" t="n">
        <v>222.43</v>
      </c>
      <c r="I32" s="34" t="n">
        <v>171.86</v>
      </c>
      <c r="J32" s="34" t="n">
        <v>219.4</v>
      </c>
      <c r="K32" s="34" t="n">
        <v>163.84</v>
      </c>
      <c r="L32" s="34" t="n">
        <v>239.61</v>
      </c>
      <c r="M32" s="34" t="n">
        <v>375.03</v>
      </c>
      <c r="N32" s="35" t="n">
        <v>2240.88</v>
      </c>
      <c r="O32" s="36" t="n">
        <v>532.3599999999999</v>
      </c>
      <c r="P32" s="36" t="n">
        <v>630.26</v>
      </c>
      <c r="Q32" s="36" t="n">
        <v>714.78</v>
      </c>
      <c r="R32" s="36" t="n">
        <v>826.24</v>
      </c>
      <c r="S32" s="36" t="n">
        <v>988.1600000000001</v>
      </c>
      <c r="T32" s="36" t="n">
        <v>868.3</v>
      </c>
      <c r="U32" s="36" t="n">
        <v>1010.88</v>
      </c>
      <c r="V32" s="37" t="n"/>
      <c r="W32" s="37" t="n"/>
      <c r="X32" s="37" t="n"/>
      <c r="Y32" s="37" t="n"/>
      <c r="Z32" s="37" t="n"/>
      <c r="AA32" s="35" t="n">
        <v>5570.98</v>
      </c>
      <c r="AB32" s="35" t="n">
        <v>5570.98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3000.11</v>
      </c>
      <c r="C34" s="41" t="n">
        <v>5500.26</v>
      </c>
      <c r="D34" s="41" t="n">
        <v>3278.12</v>
      </c>
      <c r="E34" s="41" t="n">
        <v>2260.56</v>
      </c>
      <c r="F34" s="41" t="n">
        <v>2971.33</v>
      </c>
      <c r="G34" s="41" t="n">
        <v>2295.58</v>
      </c>
      <c r="H34" s="41" t="n">
        <v>2489.18</v>
      </c>
      <c r="I34" s="41" t="n">
        <v>2910.29</v>
      </c>
      <c r="J34" s="41" t="n">
        <v>7258.650000000001</v>
      </c>
      <c r="K34" s="41" t="n">
        <v>3131.62</v>
      </c>
      <c r="L34" s="41" t="n">
        <v>2772.66</v>
      </c>
      <c r="M34" s="41" t="n">
        <v>2663.74</v>
      </c>
      <c r="N34" s="42" t="n">
        <v>40532.1</v>
      </c>
      <c r="O34" s="43" t="n">
        <v>6739.320000000001</v>
      </c>
      <c r="P34" s="43" t="n">
        <v>6597.379999999999</v>
      </c>
      <c r="Q34" s="43" t="n">
        <v>6816.44</v>
      </c>
      <c r="R34" s="43" t="n">
        <v>7505.460000000001</v>
      </c>
      <c r="S34" s="43" t="n">
        <v>6000.4</v>
      </c>
      <c r="T34" s="43" t="n">
        <v>6912.719999999998</v>
      </c>
      <c r="U34" s="43" t="n">
        <v>7102.3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47674.02</v>
      </c>
      <c r="AB34" s="42" t="n">
        <v>47674.02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1352.17</v>
      </c>
      <c r="C36" s="34" t="n">
        <v>1352.17</v>
      </c>
      <c r="D36" s="34" t="n">
        <v>1352.17</v>
      </c>
      <c r="E36" s="34" t="n">
        <v>1352.17</v>
      </c>
      <c r="F36" s="34" t="n">
        <v>1352.16</v>
      </c>
      <c r="G36" s="34" t="n">
        <v>1352.17</v>
      </c>
      <c r="H36" s="34" t="n">
        <v>1352.18</v>
      </c>
      <c r="I36" s="34" t="n">
        <v>1352.17</v>
      </c>
      <c r="J36" s="34" t="n">
        <v>1352.15</v>
      </c>
      <c r="K36" s="34" t="n">
        <v>1352.17</v>
      </c>
      <c r="L36" s="34" t="n">
        <v>1352.17</v>
      </c>
      <c r="M36" s="34" t="n">
        <v>1352.17</v>
      </c>
      <c r="N36" s="35" t="n">
        <v>16226.02</v>
      </c>
      <c r="O36" s="36" t="n">
        <v>0</v>
      </c>
      <c r="P36" s="36" t="n">
        <v>0</v>
      </c>
      <c r="Q36" s="36" t="n">
        <v>-0.01999999999998181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-0.01999999999998181</v>
      </c>
      <c r="AB36" s="35" t="n">
        <v>-0.01999999999998181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2675.89</v>
      </c>
      <c r="C37" s="34" t="n">
        <v>2675.89</v>
      </c>
      <c r="D37" s="34" t="n">
        <v>2675.89</v>
      </c>
      <c r="E37" s="34" t="n">
        <v>2675.89</v>
      </c>
      <c r="F37" s="34" t="n">
        <v>2675.87</v>
      </c>
      <c r="G37" s="34" t="n">
        <v>2675.89</v>
      </c>
      <c r="H37" s="34" t="n">
        <v>2675.89</v>
      </c>
      <c r="I37" s="34" t="n">
        <v>2675.89</v>
      </c>
      <c r="J37" s="34" t="n">
        <v>2675.89</v>
      </c>
      <c r="K37" s="34" t="n">
        <v>2675.89</v>
      </c>
      <c r="L37" s="34" t="n">
        <v>2675.89</v>
      </c>
      <c r="M37" s="34" t="n">
        <v>2675.89</v>
      </c>
      <c r="N37" s="35" t="n">
        <v>32110.66</v>
      </c>
      <c r="O37" s="36" t="n">
        <v>5351.78</v>
      </c>
      <c r="P37" s="36" t="n">
        <v>5351.76</v>
      </c>
      <c r="Q37" s="36" t="n">
        <v>5351.74</v>
      </c>
      <c r="R37" s="36" t="n">
        <v>6001.940000000001</v>
      </c>
      <c r="S37" s="36" t="n">
        <v>6001.940000000001</v>
      </c>
      <c r="T37" s="36" t="n">
        <v>6001.940000000001</v>
      </c>
      <c r="U37" s="36" t="n">
        <v>6001.92</v>
      </c>
      <c r="V37" s="37" t="n"/>
      <c r="W37" s="37" t="n"/>
      <c r="X37" s="37" t="n"/>
      <c r="Y37" s="37" t="n"/>
      <c r="Z37" s="37" t="n"/>
      <c r="AA37" s="35" t="n">
        <v>40063.02</v>
      </c>
      <c r="AB37" s="35" t="n">
        <v>40063.02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3509.46</v>
      </c>
      <c r="C38" s="34" t="n">
        <v>3660.35</v>
      </c>
      <c r="D38" s="34" t="n">
        <v>5568.2</v>
      </c>
      <c r="E38" s="34" t="n">
        <v>8007.949999999999</v>
      </c>
      <c r="F38" s="34" t="n">
        <v>1788.74</v>
      </c>
      <c r="G38" s="34" t="n">
        <v>1689.65</v>
      </c>
      <c r="H38" s="34" t="n">
        <v>169.8400000000001</v>
      </c>
      <c r="I38" s="34" t="n">
        <v>3754.63</v>
      </c>
      <c r="J38" s="34" t="n">
        <v>-37.61000000000001</v>
      </c>
      <c r="K38" s="34" t="n">
        <v>3108.2</v>
      </c>
      <c r="L38" s="34" t="n">
        <v>3987.78</v>
      </c>
      <c r="M38" s="34" t="n">
        <v>3893.51</v>
      </c>
      <c r="N38" s="35" t="n">
        <v>39100.7</v>
      </c>
      <c r="O38" s="36" t="n">
        <v>9607.639999999999</v>
      </c>
      <c r="P38" s="36" t="n">
        <v>10198.62</v>
      </c>
      <c r="Q38" s="36" t="n">
        <v>7662.76</v>
      </c>
      <c r="R38" s="36" t="n">
        <v>8124.42</v>
      </c>
      <c r="S38" s="36" t="n">
        <v>5569.32</v>
      </c>
      <c r="T38" s="36" t="n">
        <v>5889</v>
      </c>
      <c r="U38" s="36" t="n">
        <v>5203.82</v>
      </c>
      <c r="V38" s="37" t="n"/>
      <c r="W38" s="37" t="n"/>
      <c r="X38" s="37" t="n"/>
      <c r="Y38" s="37" t="n"/>
      <c r="Z38" s="37" t="n"/>
      <c r="AA38" s="35" t="n">
        <v>52255.58</v>
      </c>
      <c r="AB38" s="35" t="n">
        <v>52255.58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684.62</v>
      </c>
      <c r="D39" s="34" t="n">
        <v>1279.46</v>
      </c>
      <c r="E39" s="34" t="n">
        <v>467.35</v>
      </c>
      <c r="F39" s="34" t="n">
        <v>370.59</v>
      </c>
      <c r="G39" s="34" t="n">
        <v>9013.309999999999</v>
      </c>
      <c r="H39" s="34" t="n">
        <v>3047.56</v>
      </c>
      <c r="I39" s="34" t="n">
        <v>883.29</v>
      </c>
      <c r="J39" s="34" t="n">
        <v>196.41</v>
      </c>
      <c r="K39" s="34" t="n">
        <v>0</v>
      </c>
      <c r="L39" s="34" t="n">
        <v>27.8</v>
      </c>
      <c r="M39" s="34" t="n">
        <v>502.36</v>
      </c>
      <c r="N39" s="35" t="n">
        <v>16942.46</v>
      </c>
      <c r="O39" s="36" t="n">
        <v>265.57</v>
      </c>
      <c r="P39" s="36" t="n">
        <v>399.74</v>
      </c>
      <c r="Q39" s="36" t="n">
        <v>0</v>
      </c>
      <c r="R39" s="36" t="n">
        <v>558</v>
      </c>
      <c r="S39" s="36" t="n">
        <v>245.7</v>
      </c>
      <c r="T39" s="36" t="n">
        <v>15.54</v>
      </c>
      <c r="U39" s="36" t="n">
        <v>1737.04</v>
      </c>
      <c r="V39" s="37" t="n"/>
      <c r="W39" s="37" t="n"/>
      <c r="X39" s="37" t="n"/>
      <c r="Y39" s="37" t="n"/>
      <c r="Z39" s="37" t="n"/>
      <c r="AA39" s="35" t="n">
        <v>3221.59</v>
      </c>
      <c r="AB39" s="35" t="n">
        <v>3221.59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565.36</v>
      </c>
      <c r="C40" s="34" t="n">
        <v>146.78</v>
      </c>
      <c r="D40" s="34" t="n">
        <v>1009.05</v>
      </c>
      <c r="E40" s="34" t="n">
        <v>591.6899999999999</v>
      </c>
      <c r="F40" s="34" t="n">
        <v>683.0300000000001</v>
      </c>
      <c r="G40" s="34" t="n">
        <v>228.26</v>
      </c>
      <c r="H40" s="34" t="n">
        <v>275.9400000000001</v>
      </c>
      <c r="I40" s="34" t="n">
        <v>419.46</v>
      </c>
      <c r="J40" s="34" t="n">
        <v>706.9599999999999</v>
      </c>
      <c r="K40" s="34" t="n">
        <v>518.13</v>
      </c>
      <c r="L40" s="34" t="n">
        <v>302.55</v>
      </c>
      <c r="M40" s="34" t="n">
        <v>223.94</v>
      </c>
      <c r="N40" s="35" t="n">
        <v>5671.15</v>
      </c>
      <c r="O40" s="36" t="n">
        <v>624.1</v>
      </c>
      <c r="P40" s="36" t="n">
        <v>1661.36</v>
      </c>
      <c r="Q40" s="36" t="n">
        <v>538.58</v>
      </c>
      <c r="R40" s="36" t="n">
        <v>429.48</v>
      </c>
      <c r="S40" s="36" t="n">
        <v>374.26</v>
      </c>
      <c r="T40" s="36" t="n">
        <v>865.52</v>
      </c>
      <c r="U40" s="36" t="n">
        <v>1514.04</v>
      </c>
      <c r="V40" s="37" t="n"/>
      <c r="W40" s="37" t="n"/>
      <c r="X40" s="37" t="n"/>
      <c r="Y40" s="37" t="n"/>
      <c r="Z40" s="37" t="n"/>
      <c r="AA40" s="35" t="n">
        <v>6007.34</v>
      </c>
      <c r="AB40" s="35" t="n">
        <v>6007.34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652.52</v>
      </c>
      <c r="C41" s="34" t="n">
        <v>805.1400000000001</v>
      </c>
      <c r="D41" s="34" t="n">
        <v>828.9799999999999</v>
      </c>
      <c r="E41" s="34" t="n">
        <v>628.63</v>
      </c>
      <c r="F41" s="34" t="n">
        <v>649.87</v>
      </c>
      <c r="G41" s="34" t="n">
        <v>768.5600000000001</v>
      </c>
      <c r="H41" s="34" t="n">
        <v>727.29</v>
      </c>
      <c r="I41" s="34" t="n">
        <v>991.83</v>
      </c>
      <c r="J41" s="34" t="n">
        <v>1199.28</v>
      </c>
      <c r="K41" s="34" t="n">
        <v>829.89</v>
      </c>
      <c r="L41" s="34" t="n">
        <v>1015.03</v>
      </c>
      <c r="M41" s="34" t="n">
        <v>1120.28</v>
      </c>
      <c r="N41" s="35" t="n">
        <v>10217.3</v>
      </c>
      <c r="O41" s="36" t="n">
        <v>2004.16</v>
      </c>
      <c r="P41" s="36" t="n">
        <v>2004.14</v>
      </c>
      <c r="Q41" s="36" t="n">
        <v>2419.42</v>
      </c>
      <c r="R41" s="36" t="n">
        <v>2807.26</v>
      </c>
      <c r="S41" s="36" t="n">
        <v>2313.78</v>
      </c>
      <c r="T41" s="36" t="n">
        <v>1773.54</v>
      </c>
      <c r="U41" s="36" t="n">
        <v>2899.96</v>
      </c>
      <c r="V41" s="37" t="n"/>
      <c r="W41" s="37" t="n"/>
      <c r="X41" s="37" t="n"/>
      <c r="Y41" s="37" t="n"/>
      <c r="Z41" s="37" t="n"/>
      <c r="AA41" s="35" t="n">
        <v>16222.26</v>
      </c>
      <c r="AB41" s="35" t="n">
        <v>16222.26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79.33</v>
      </c>
      <c r="C42" s="34" t="n">
        <v>93.42999999999999</v>
      </c>
      <c r="D42" s="34" t="n">
        <v>72.05</v>
      </c>
      <c r="E42" s="34" t="n">
        <v>142.42</v>
      </c>
      <c r="F42" s="34" t="n">
        <v>44.7</v>
      </c>
      <c r="G42" s="34" t="n">
        <v>72.30000000000001</v>
      </c>
      <c r="H42" s="34" t="n">
        <v>44.95999999999999</v>
      </c>
      <c r="I42" s="34" t="n">
        <v>322.6</v>
      </c>
      <c r="J42" s="34" t="n">
        <v>319.56</v>
      </c>
      <c r="K42" s="34" t="n">
        <v>760.77</v>
      </c>
      <c r="L42" s="34" t="n">
        <v>49.97</v>
      </c>
      <c r="M42" s="34" t="n">
        <v>-386.72</v>
      </c>
      <c r="N42" s="35" t="n">
        <v>1615.37</v>
      </c>
      <c r="O42" s="36" t="n">
        <v>169.64</v>
      </c>
      <c r="P42" s="36" t="n">
        <v>130.74</v>
      </c>
      <c r="Q42" s="36" t="n">
        <v>101.18</v>
      </c>
      <c r="R42" s="36" t="n">
        <v>66.64</v>
      </c>
      <c r="S42" s="36" t="n">
        <v>85.78</v>
      </c>
      <c r="T42" s="36" t="n">
        <v>379.06</v>
      </c>
      <c r="U42" s="36" t="n">
        <v>297.82</v>
      </c>
      <c r="V42" s="37" t="n"/>
      <c r="W42" s="37" t="n"/>
      <c r="X42" s="37" t="n"/>
      <c r="Y42" s="37" t="n"/>
      <c r="Z42" s="37" t="n"/>
      <c r="AA42" s="35" t="n">
        <v>1230.86</v>
      </c>
      <c r="AB42" s="35" t="n">
        <v>1230.86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10</v>
      </c>
      <c r="L43" s="34" t="n">
        <v>10</v>
      </c>
      <c r="M43" s="34" t="n">
        <v>10</v>
      </c>
      <c r="N43" s="35" t="n">
        <v>50</v>
      </c>
      <c r="O43" s="36" t="n">
        <v>173.36</v>
      </c>
      <c r="P43" s="36" t="n">
        <v>146.6</v>
      </c>
      <c r="Q43" s="36" t="n">
        <v>11.9</v>
      </c>
      <c r="R43" s="36" t="n">
        <v>112</v>
      </c>
      <c r="S43" s="36" t="n">
        <v>352</v>
      </c>
      <c r="T43" s="36" t="n">
        <v>9.9</v>
      </c>
      <c r="U43" s="36" t="n">
        <v>95.98</v>
      </c>
      <c r="V43" s="37" t="n"/>
      <c r="W43" s="37" t="n"/>
      <c r="X43" s="37" t="n"/>
      <c r="Y43" s="37" t="n"/>
      <c r="Z43" s="37" t="n"/>
      <c r="AA43" s="35" t="n">
        <v>901.7399999999999</v>
      </c>
      <c r="AB43" s="35" t="n">
        <v>901.7399999999999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2897.94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23953.43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11860.03</v>
      </c>
      <c r="C47" s="41" t="n">
        <v>12012.69</v>
      </c>
      <c r="D47" s="41" t="n">
        <v>15335.56</v>
      </c>
      <c r="E47" s="41" t="n">
        <v>16421.62</v>
      </c>
      <c r="F47" s="41" t="n">
        <v>10120.81</v>
      </c>
      <c r="G47" s="41" t="n">
        <v>18392.84</v>
      </c>
      <c r="H47" s="41" t="n">
        <v>10843.64</v>
      </c>
      <c r="I47" s="41" t="n">
        <v>13297.81</v>
      </c>
      <c r="J47" s="41" t="n">
        <v>8982.59</v>
      </c>
      <c r="K47" s="41" t="n">
        <v>9804.889999999999</v>
      </c>
      <c r="L47" s="41" t="n">
        <v>9421.190000000001</v>
      </c>
      <c r="M47" s="41" t="n">
        <v>9393.42</v>
      </c>
      <c r="N47" s="51" t="n">
        <v>145887.09</v>
      </c>
      <c r="O47" s="43" t="n">
        <v>18196.25</v>
      </c>
      <c r="P47" s="43" t="n">
        <v>19892.96</v>
      </c>
      <c r="Q47" s="43" t="n">
        <v>16085.56</v>
      </c>
      <c r="R47" s="43" t="n">
        <v>18099.74</v>
      </c>
      <c r="S47" s="43" t="n">
        <v>14942.78</v>
      </c>
      <c r="T47" s="43" t="n">
        <v>14934.5</v>
      </c>
      <c r="U47" s="43" t="n">
        <v>17750.58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119902.37</v>
      </c>
      <c r="AB47" s="51" t="n">
        <v>119902.37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68011.43000000001</v>
      </c>
      <c r="C48" s="22" t="n">
        <v>64282.61</v>
      </c>
      <c r="D48" s="22" t="n">
        <v>66662.03999999999</v>
      </c>
      <c r="E48" s="22" t="n">
        <v>69839.48999999999</v>
      </c>
      <c r="F48" s="22" t="n">
        <v>66832.78</v>
      </c>
      <c r="G48" s="22" t="n">
        <v>75735.2</v>
      </c>
      <c r="H48" s="22" t="n">
        <v>75217.61</v>
      </c>
      <c r="I48" s="22" t="n">
        <v>68608.59000000001</v>
      </c>
      <c r="J48" s="22" t="n">
        <v>74484.88</v>
      </c>
      <c r="K48" s="22" t="n">
        <v>73251.75999999999</v>
      </c>
      <c r="L48" s="22" t="n">
        <v>72715.04000000001</v>
      </c>
      <c r="M48" s="22" t="n">
        <v>72587.02000000002</v>
      </c>
      <c r="N48" s="35" t="n">
        <v>848228.4500000001</v>
      </c>
      <c r="O48" s="24" t="n">
        <v>153575.81</v>
      </c>
      <c r="P48" s="24" t="n">
        <v>140308.62</v>
      </c>
      <c r="Q48" s="24" t="n">
        <v>140112.22</v>
      </c>
      <c r="R48" s="24" t="n">
        <v>158578.34</v>
      </c>
      <c r="S48" s="24" t="n">
        <v>166441.94</v>
      </c>
      <c r="T48" s="24" t="n">
        <v>164156.38</v>
      </c>
      <c r="U48" s="24" t="n">
        <v>169281.9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1092455.21</v>
      </c>
      <c r="AB48" s="35" t="n">
        <v>1092455.21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34505.5</v>
      </c>
      <c r="C50" s="54" t="n">
        <v>26918.79000000001</v>
      </c>
      <c r="D50" s="54" t="n">
        <v>35983.39</v>
      </c>
      <c r="E50" s="54" t="n">
        <v>29437.78999999999</v>
      </c>
      <c r="F50" s="54" t="n">
        <v>25055.40999999999</v>
      </c>
      <c r="G50" s="54" t="n">
        <v>7847.660000000003</v>
      </c>
      <c r="H50" s="54" t="n">
        <v>42573.25</v>
      </c>
      <c r="I50" s="54" t="n">
        <v>-576.7200000000303</v>
      </c>
      <c r="J50" s="54" t="n">
        <v>-8250.710000000006</v>
      </c>
      <c r="K50" s="54" t="n">
        <v>-3468.299999999988</v>
      </c>
      <c r="L50" s="54" t="n">
        <v>7009.87999999999</v>
      </c>
      <c r="M50" s="54" t="n">
        <v>15826.12999999998</v>
      </c>
      <c r="N50" s="54" t="n">
        <v>212862.0699999999</v>
      </c>
      <c r="O50" s="54" t="n">
        <v>3133.109999999986</v>
      </c>
      <c r="P50" s="54" t="n">
        <v>14425.96000000002</v>
      </c>
      <c r="Q50" s="54" t="n">
        <v>32349</v>
      </c>
      <c r="R50" s="54" t="n">
        <v>38604.56</v>
      </c>
      <c r="S50" s="54" t="n">
        <v>31507</v>
      </c>
      <c r="T50" s="54" t="n">
        <v>54306.44</v>
      </c>
      <c r="U50" s="54" t="n">
        <v>44853.36000000002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219179.43</v>
      </c>
      <c r="AB50" s="54" t="n">
        <v>219179.43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407.15</v>
      </c>
      <c r="N57" s="35" t="n">
        <v>607.15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125.1</v>
      </c>
      <c r="P58" s="36" t="n">
        <v>125.1</v>
      </c>
      <c r="Q58" s="36" t="n">
        <v>125.1</v>
      </c>
      <c r="R58" s="36" t="n">
        <v>125.1</v>
      </c>
      <c r="S58" s="36" t="n">
        <v>125.1</v>
      </c>
      <c r="T58" s="36" t="n">
        <v>125.1</v>
      </c>
      <c r="U58" s="36" t="n">
        <v>135</v>
      </c>
      <c r="V58" s="37" t="n"/>
      <c r="W58" s="37" t="n"/>
      <c r="X58" s="37" t="n"/>
      <c r="Y58" s="37" t="n"/>
      <c r="Z58" s="37" t="n"/>
      <c r="AA58" s="35" t="n">
        <v>885.5999999999999</v>
      </c>
      <c r="AB58" s="35" t="n">
        <v>885.5999999999999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402.76</v>
      </c>
      <c r="C59" s="34" t="n">
        <v>402.76</v>
      </c>
      <c r="D59" s="34" t="n">
        <v>402.76</v>
      </c>
      <c r="E59" s="34" t="n">
        <v>402.76</v>
      </c>
      <c r="F59" s="34" t="n">
        <v>402.74</v>
      </c>
      <c r="G59" s="34" t="n">
        <v>617.5599999999999</v>
      </c>
      <c r="H59" s="34" t="n">
        <v>617.5599999999999</v>
      </c>
      <c r="I59" s="34" t="n">
        <v>617.5599999999999</v>
      </c>
      <c r="J59" s="34" t="n">
        <v>617.5599999999999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6417.22</v>
      </c>
      <c r="O59" s="36" t="n">
        <v>1288.8</v>
      </c>
      <c r="P59" s="36" t="n">
        <v>1288.8</v>
      </c>
      <c r="Q59" s="36" t="n">
        <v>1288.8</v>
      </c>
      <c r="R59" s="36" t="n">
        <v>1288.8</v>
      </c>
      <c r="S59" s="36" t="n">
        <v>1288.8</v>
      </c>
      <c r="T59" s="36" t="n">
        <v>1288.8</v>
      </c>
      <c r="U59" s="36" t="n">
        <v>1288.8</v>
      </c>
      <c r="V59" s="37" t="n"/>
      <c r="W59" s="37" t="n"/>
      <c r="X59" s="37" t="n"/>
      <c r="Y59" s="37" t="n"/>
      <c r="Z59" s="37" t="n"/>
      <c r="AA59" s="35" t="n">
        <v>9021.6</v>
      </c>
      <c r="AB59" s="35" t="n">
        <v>9021.6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1832.77</v>
      </c>
      <c r="C60" s="34" t="n">
        <v>463.8100000000002</v>
      </c>
      <c r="D60" s="34" t="n">
        <v>665.2400000000001</v>
      </c>
      <c r="E60" s="34" t="n">
        <v>1210.149999999999</v>
      </c>
      <c r="F60" s="34" t="n">
        <v>210.41</v>
      </c>
      <c r="G60" s="34" t="n">
        <v>467.98</v>
      </c>
      <c r="H60" s="34" t="n">
        <v>263.02</v>
      </c>
      <c r="I60" s="34" t="n">
        <v>203.55</v>
      </c>
      <c r="J60" s="34" t="n">
        <v>260.11</v>
      </c>
      <c r="K60" s="34" t="n">
        <v>514.09</v>
      </c>
      <c r="L60" s="34" t="n">
        <v>330.8000000000001</v>
      </c>
      <c r="M60" s="34" t="n">
        <v>277.3400000000001</v>
      </c>
      <c r="N60" s="35" t="n">
        <v>6699.27</v>
      </c>
      <c r="O60" s="36" t="n">
        <v>462.28</v>
      </c>
      <c r="P60" s="36" t="n">
        <v>513</v>
      </c>
      <c r="Q60" s="36" t="n">
        <v>480.18</v>
      </c>
      <c r="R60" s="36" t="n">
        <v>2676.96</v>
      </c>
      <c r="S60" s="36" t="n">
        <v>392.1799999999999</v>
      </c>
      <c r="T60" s="36" t="n">
        <v>173.48</v>
      </c>
      <c r="U60" s="36" t="n">
        <v>293.32</v>
      </c>
      <c r="V60" s="37" t="n"/>
      <c r="W60" s="37" t="n"/>
      <c r="X60" s="37" t="n"/>
      <c r="Y60" s="37" t="n"/>
      <c r="Z60" s="37" t="n"/>
      <c r="AA60" s="35" t="n">
        <v>4991.4</v>
      </c>
      <c r="AB60" s="35" t="n">
        <v>4991.4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127.99</v>
      </c>
      <c r="H61" s="34" t="n">
        <v>97.05</v>
      </c>
      <c r="I61" s="34" t="n">
        <v>0</v>
      </c>
      <c r="J61" s="34" t="n">
        <v>19.94</v>
      </c>
      <c r="K61" s="34" t="n">
        <v>102.72</v>
      </c>
      <c r="L61" s="34" t="n">
        <v>66.54000000000001</v>
      </c>
      <c r="M61" s="34" t="n">
        <v>99.97999999999999</v>
      </c>
      <c r="N61" s="35" t="n">
        <v>640.51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64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697.5</v>
      </c>
      <c r="K62" s="34" t="n">
        <v>70</v>
      </c>
      <c r="L62" s="34" t="n">
        <v>0</v>
      </c>
      <c r="M62" s="34" t="n">
        <v>20</v>
      </c>
      <c r="N62" s="35" t="n">
        <v>2086.66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2880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2880</v>
      </c>
      <c r="AB65" s="35" t="n">
        <v>2880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1024</v>
      </c>
      <c r="P66" s="36" t="n">
        <v>1016</v>
      </c>
      <c r="Q66" s="36" t="n">
        <v>1006</v>
      </c>
      <c r="R66" s="36" t="n">
        <v>998</v>
      </c>
      <c r="S66" s="36" t="n">
        <v>988</v>
      </c>
      <c r="T66" s="36" t="n">
        <v>980</v>
      </c>
      <c r="U66" s="36" t="n">
        <v>970</v>
      </c>
      <c r="V66" s="37" t="n"/>
      <c r="W66" s="37" t="n"/>
      <c r="X66" s="37" t="n"/>
      <c r="Y66" s="37" t="n"/>
      <c r="Z66" s="37" t="n"/>
      <c r="AA66" s="35" t="n">
        <v>6982</v>
      </c>
      <c r="AB66" s="35" t="n">
        <v>6982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42</v>
      </c>
      <c r="P67" s="36" t="n">
        <v>53.8</v>
      </c>
      <c r="Q67" s="36" t="n">
        <v>41.3</v>
      </c>
      <c r="R67" s="36" t="n">
        <v>50.4</v>
      </c>
      <c r="S67" s="36" t="n">
        <v>53.9</v>
      </c>
      <c r="T67" s="36" t="n">
        <v>45.5</v>
      </c>
      <c r="U67" s="36" t="n">
        <v>56.7</v>
      </c>
      <c r="V67" s="37" t="n"/>
      <c r="W67" s="37" t="n"/>
      <c r="X67" s="37" t="n"/>
      <c r="Y67" s="37" t="n"/>
      <c r="Z67" s="37" t="n"/>
      <c r="AA67" s="35" t="n">
        <v>343.6</v>
      </c>
      <c r="AB67" s="35" t="n">
        <v>343.6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2326.48</v>
      </c>
      <c r="C69" s="41" t="n">
        <v>1507.58</v>
      </c>
      <c r="D69" s="41" t="n">
        <v>1541.28</v>
      </c>
      <c r="E69" s="41" t="n">
        <v>2952.009999999999</v>
      </c>
      <c r="F69" s="41" t="n">
        <v>761.71</v>
      </c>
      <c r="G69" s="41" t="n">
        <v>1292.68</v>
      </c>
      <c r="H69" s="41" t="n">
        <v>1127.03</v>
      </c>
      <c r="I69" s="41" t="n">
        <v>907.4599999999999</v>
      </c>
      <c r="J69" s="41" t="n">
        <v>1675.51</v>
      </c>
      <c r="K69" s="41" t="n">
        <v>1414.06</v>
      </c>
      <c r="L69" s="41" t="n">
        <v>1325.29</v>
      </c>
      <c r="M69" s="41" t="n">
        <v>2470.97</v>
      </c>
      <c r="N69" s="42" t="n">
        <v>19302.06</v>
      </c>
      <c r="O69" s="43" t="n">
        <v>2942.18</v>
      </c>
      <c r="P69" s="43" t="n">
        <v>2996.7</v>
      </c>
      <c r="Q69" s="43" t="n">
        <v>5821.38</v>
      </c>
      <c r="R69" s="43" t="n">
        <v>5139.26</v>
      </c>
      <c r="S69" s="43" t="n">
        <v>2847.98</v>
      </c>
      <c r="T69" s="43" t="n">
        <v>2612.88</v>
      </c>
      <c r="U69" s="43" t="n">
        <v>2743.82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25104.2</v>
      </c>
      <c r="AB69" s="42" t="n">
        <v>25104.2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32179.02</v>
      </c>
      <c r="C70" s="54" t="n">
        <v>25411.21000000001</v>
      </c>
      <c r="D70" s="54" t="n">
        <v>34442.11</v>
      </c>
      <c r="E70" s="54" t="n">
        <v>26485.78</v>
      </c>
      <c r="F70" s="54" t="n">
        <v>24293.69999999999</v>
      </c>
      <c r="G70" s="54" t="n">
        <v>6554.980000000003</v>
      </c>
      <c r="H70" s="54" t="n">
        <v>41446.22</v>
      </c>
      <c r="I70" s="54" t="n">
        <v>-1484.18000000003</v>
      </c>
      <c r="J70" s="54" t="n">
        <v>-9926.220000000007</v>
      </c>
      <c r="K70" s="54" t="n">
        <v>-4882.359999999989</v>
      </c>
      <c r="L70" s="54" t="n">
        <v>5684.58999999999</v>
      </c>
      <c r="M70" s="54" t="n">
        <v>13355.15999999997</v>
      </c>
      <c r="N70" s="54" t="n">
        <v>193560.0099999999</v>
      </c>
      <c r="O70" s="54" t="n">
        <v>190.9299999999862</v>
      </c>
      <c r="P70" s="54" t="n">
        <v>11429.26000000002</v>
      </c>
      <c r="Q70" s="54" t="n">
        <v>26527.62</v>
      </c>
      <c r="R70" s="54" t="n">
        <v>33465.3</v>
      </c>
      <c r="S70" s="54" t="n">
        <v>28659.02</v>
      </c>
      <c r="T70" s="54" t="n">
        <v>51693.56</v>
      </c>
      <c r="U70" s="54" t="n">
        <v>42109.54000000002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194075.23</v>
      </c>
      <c r="AB70" s="54" t="n">
        <v>194075.23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32179.02000000001</v>
      </c>
      <c r="C79" s="56" t="n">
        <v>25411.21000000001</v>
      </c>
      <c r="D79" s="56" t="n">
        <v>34442.11</v>
      </c>
      <c r="E79" s="56" t="n">
        <v>26485.78</v>
      </c>
      <c r="F79" s="56" t="n">
        <v>24293.69999999999</v>
      </c>
      <c r="G79" s="56" t="n">
        <v>6554.979999999989</v>
      </c>
      <c r="H79" s="56" t="n">
        <v>41446.22</v>
      </c>
      <c r="I79" s="56" t="n">
        <v>-1484.180000000001</v>
      </c>
      <c r="J79" s="56" t="n">
        <v>-9926.220000000007</v>
      </c>
      <c r="K79" s="56" t="n">
        <v>-4882.360000000003</v>
      </c>
      <c r="L79" s="56" t="n">
        <v>5684.590000000005</v>
      </c>
      <c r="M79" s="56" t="n">
        <v>13355.15999999999</v>
      </c>
      <c r="N79" s="77" t="n">
        <v>193560.01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N80" s="59" t="n"/>
      <c r="AA80" s="59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Borrowing Costs</t>
        </is>
      </c>
      <c r="I82" s="55" t="n"/>
      <c r="J82" s="55" t="n"/>
      <c r="K82" s="55" t="n"/>
      <c r="L82" s="55" t="n"/>
      <c r="M82" s="55" t="n"/>
      <c r="N82" s="55" t="n"/>
      <c r="O82" s="59" t="n">
        <v>0</v>
      </c>
      <c r="P82" s="59" t="n">
        <v>0</v>
      </c>
      <c r="Q82" s="59" t="n">
        <v>0</v>
      </c>
      <c r="R82" s="59" t="n">
        <v>0</v>
      </c>
      <c r="S82" s="59" t="n">
        <v>0</v>
      </c>
      <c r="T82" s="59" t="n">
        <v>0</v>
      </c>
      <c r="U82" s="59" t="n">
        <v>1</v>
      </c>
      <c r="V82" s="59" t="n">
        <v>0</v>
      </c>
      <c r="W82" s="59" t="n">
        <v>0</v>
      </c>
      <c r="X82" s="59" t="n">
        <v>0</v>
      </c>
      <c r="Y82" s="59" t="n">
        <v>0</v>
      </c>
      <c r="Z82" s="59" t="n">
        <v>0</v>
      </c>
      <c r="AA82" t="n">
        <v>1</v>
      </c>
      <c r="AB82" s="59" t="n">
        <v>1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Depreciation</t>
        </is>
      </c>
      <c r="I83" s="55" t="n"/>
      <c r="J83" s="55" t="n"/>
      <c r="K83" s="55" t="n"/>
      <c r="L83" s="55" t="n"/>
      <c r="M83" s="55" t="n"/>
      <c r="N83" s="55" t="n"/>
      <c r="O83" s="59" t="n">
        <v>579.4525</v>
      </c>
      <c r="P83" s="59" t="n">
        <v>579.4525</v>
      </c>
      <c r="Q83" s="59" t="n">
        <v>579.4525</v>
      </c>
      <c r="R83" s="59" t="n">
        <v>579.4525</v>
      </c>
      <c r="S83" s="59" t="n">
        <v>579.4525</v>
      </c>
      <c r="T83" s="59" t="n">
        <v>579.4525</v>
      </c>
      <c r="U83" s="59" t="n">
        <v>580.4525</v>
      </c>
      <c r="V83" s="59" t="n">
        <v>547.8125</v>
      </c>
      <c r="W83" s="59" t="n">
        <v>547.8125</v>
      </c>
      <c r="X83" s="59" t="n">
        <v>547.8125</v>
      </c>
      <c r="Y83" s="59" t="n">
        <v>547.8125</v>
      </c>
      <c r="Z83" s="59" t="n">
        <v>542.1725</v>
      </c>
      <c r="AA83" t="n">
        <v>4057.1675</v>
      </c>
      <c r="AB83" s="59" t="n">
        <v>6790.59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Amortisation</t>
        </is>
      </c>
      <c r="I84" s="55" t="n"/>
      <c r="J84" s="55" t="n"/>
      <c r="K84" s="55" t="n"/>
      <c r="L84" s="55" t="n"/>
      <c r="M84" s="55" t="n"/>
      <c r="N84" s="55" t="n"/>
      <c r="O84" s="59" t="n">
        <v>0</v>
      </c>
      <c r="P84" s="59" t="n">
        <v>0</v>
      </c>
      <c r="Q84" s="59" t="n">
        <v>0</v>
      </c>
      <c r="R84" s="59" t="n">
        <v>0</v>
      </c>
      <c r="S84" s="59" t="n">
        <v>0</v>
      </c>
      <c r="T84" s="59" t="n">
        <v>0</v>
      </c>
      <c r="U84" s="59" t="n">
        <v>1</v>
      </c>
      <c r="V84" s="59" t="n">
        <v>0</v>
      </c>
      <c r="W84" s="59" t="n">
        <v>0</v>
      </c>
      <c r="X84" s="59" t="n">
        <v>0</v>
      </c>
      <c r="Y84" s="59" t="n">
        <v>0</v>
      </c>
      <c r="Z84" s="59" t="n">
        <v>0</v>
      </c>
      <c r="AA84" t="n">
        <v>1</v>
      </c>
      <c r="AB84" s="59" t="n">
        <v>1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69" t="inlineStr">
        <is>
          <t>Profit Before Tax</t>
        </is>
      </c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  <c r="AA85" s="55" t="n">
        <v>0</v>
      </c>
      <c r="AB85" s="55" t="n">
        <v>0</v>
      </c>
      <c r="AC85" s="55" t="n"/>
      <c r="AD85" s="55" t="n"/>
      <c r="AE85" s="55" t="n"/>
      <c r="AF85" s="55" t="n"/>
      <c r="AG85" s="55" t="n"/>
      <c r="AH85" s="55" t="n"/>
      <c r="AI85" s="126" t="n">
        <v>0</v>
      </c>
      <c r="AJ85" s="126" t="n">
        <v>0</v>
      </c>
      <c r="AK85" s="126" t="n">
        <v>0</v>
      </c>
      <c r="AL85" s="126" t="n">
        <v>0</v>
      </c>
      <c r="AM85" s="126" t="n">
        <v>0</v>
      </c>
      <c r="AN85" s="126" t="n">
        <v>0</v>
      </c>
      <c r="AO85" s="144">
        <f>SUM(AC85:AH85)+SUM(AI85:AN85)</f>
        <v/>
      </c>
      <c r="AP85" s="139">
        <f>IF(AB85&lt;&gt;0,(AO85-AB85)/ABS(AB85),0)</f>
        <v/>
      </c>
    </row>
    <row r="86" ht="15.75" customHeight="1">
      <c r="A86" s="70" t="inlineStr">
        <is>
          <t>Corp Tax Due</t>
        </is>
      </c>
      <c r="B86" s="63" t="n"/>
      <c r="C86" s="63" t="n"/>
      <c r="D86" s="63" t="n"/>
      <c r="E86" s="63" t="n"/>
      <c r="F86" s="63" t="n"/>
      <c r="G86" s="63" t="n"/>
      <c r="H86" s="63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>
        <v>0</v>
      </c>
      <c r="AB86" s="71" t="n">
        <v>0</v>
      </c>
      <c r="AC86" s="71" t="n"/>
      <c r="AD86" s="71" t="n"/>
      <c r="AE86" s="71" t="n"/>
      <c r="AF86" s="71" t="n"/>
      <c r="AG86" s="71" t="n"/>
      <c r="AH86" s="71" t="n"/>
      <c r="AI86" s="126" t="n">
        <v>0</v>
      </c>
      <c r="AJ86" s="126" t="n">
        <v>0</v>
      </c>
      <c r="AK86" s="126" t="n">
        <v>0</v>
      </c>
      <c r="AL86" s="126" t="n">
        <v>0</v>
      </c>
      <c r="AM86" s="126" t="n">
        <v>0</v>
      </c>
      <c r="AN86" s="126" t="n">
        <v>0</v>
      </c>
      <c r="AO86" s="144">
        <f>SUM(AC86:AH86)+SUM(AI86:AN86)</f>
        <v/>
      </c>
      <c r="AP86" s="139">
        <f>IF(AB86&lt;&gt;0,(AO86-AB86)/ABS(AB86),0)</f>
        <v/>
      </c>
    </row>
    <row r="87" ht="15.75" customHeight="1">
      <c r="A87" s="21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Memo</t>
        </is>
      </c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Direct - Sales</t>
        </is>
      </c>
      <c r="B92" s="59" t="n">
        <v>102516.93</v>
      </c>
      <c r="C92" s="59" t="n">
        <v>91201.40000000001</v>
      </c>
      <c r="D92" s="59" t="n">
        <v>102645.43</v>
      </c>
      <c r="E92" s="59" t="n">
        <v>99277.27999999998</v>
      </c>
      <c r="F92" s="59" t="n">
        <v>91888.18999999999</v>
      </c>
      <c r="G92" s="59" t="n">
        <v>83582.85999999999</v>
      </c>
      <c r="H92" s="59" t="n">
        <v>117790.86</v>
      </c>
      <c r="I92" s="59" t="n">
        <v>68031.87</v>
      </c>
      <c r="J92" s="59" t="n">
        <v>66234.17</v>
      </c>
      <c r="K92" s="59" t="n">
        <v>69783.46000000001</v>
      </c>
      <c r="L92" s="59" t="n">
        <v>79724.92</v>
      </c>
      <c r="N92" t="n">
        <v>972677.37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A93" s="33" t="inlineStr">
        <is>
          <t>Direct - Staff Cost</t>
        </is>
      </c>
      <c r="B93" s="17" t="n">
        <v>-53151.28999999999</v>
      </c>
      <c r="C93" s="17" t="n">
        <v>-46769.66</v>
      </c>
      <c r="D93" s="17" t="n">
        <v>-48048.35999999999</v>
      </c>
      <c r="E93" s="17" t="n">
        <v>-51157.31</v>
      </c>
      <c r="F93" s="17" t="n">
        <v>-53740.63999999999</v>
      </c>
      <c r="G93" s="17" t="n">
        <v>-55046.78</v>
      </c>
      <c r="H93" s="17" t="n">
        <v>-61884.79</v>
      </c>
      <c r="I93" s="17" t="n">
        <v>-52400.49</v>
      </c>
      <c r="J93" s="17" t="n">
        <v>-58243.64</v>
      </c>
      <c r="K93" s="17" t="n">
        <v>-60315.25000000001</v>
      </c>
      <c r="L93" s="17" t="n">
        <v>-60521.19</v>
      </c>
      <c r="M93" s="17" t="n"/>
      <c r="N93" t="n">
        <v>-601279.4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94" s="59" t="inlineStr">
        <is>
          <t>Direct - Childcare Cost</t>
        </is>
      </c>
      <c r="B94" s="17" t="n">
        <v>-3000.11</v>
      </c>
      <c r="C94" s="17" t="n">
        <v>-5500.259999999999</v>
      </c>
      <c r="D94" s="17" t="n">
        <v>-3278.120000000001</v>
      </c>
      <c r="E94" s="17" t="n">
        <v>-2260.56</v>
      </c>
      <c r="F94" s="17" t="n">
        <v>-2971.33</v>
      </c>
      <c r="G94" s="17" t="n">
        <v>-2295.58</v>
      </c>
      <c r="H94" s="17" t="n">
        <v>-2489.18</v>
      </c>
      <c r="I94" s="17" t="n">
        <v>-2910.29</v>
      </c>
      <c r="J94" s="17" t="n">
        <v>-7258.65</v>
      </c>
      <c r="K94" s="17" t="n">
        <v>-3131.62</v>
      </c>
      <c r="L94" s="17" t="n">
        <v>-2772.66</v>
      </c>
      <c r="M94" s="17" t="n">
        <v>-2663.74</v>
      </c>
      <c r="N94" t="n">
        <v>-40532.1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A95" s="59" t="inlineStr">
        <is>
          <t>Direct - Premises &amp; Admin</t>
        </is>
      </c>
      <c r="B95" s="17" t="n">
        <v>-11860.03</v>
      </c>
      <c r="C95" s="17" t="n">
        <v>-12012.69</v>
      </c>
      <c r="D95" s="17" t="n">
        <v>-15335.56</v>
      </c>
      <c r="E95" s="17" t="n">
        <v>-16421.62</v>
      </c>
      <c r="F95" s="17" t="n">
        <v>-10120.81</v>
      </c>
      <c r="G95" s="17" t="n">
        <v>-18392.84</v>
      </c>
      <c r="H95" s="17" t="n">
        <v>-10843.64</v>
      </c>
      <c r="I95" s="17" t="n">
        <v>-13297.81</v>
      </c>
      <c r="J95" s="17" t="n">
        <v>-8982.59</v>
      </c>
      <c r="K95" s="17" t="n">
        <v>-9804.890000000001</v>
      </c>
      <c r="L95" s="17" t="n">
        <v>-9421.189999999999</v>
      </c>
      <c r="M95" s="17" t="n">
        <v>-9393.420000000002</v>
      </c>
      <c r="N95" t="n">
        <v>-145887.09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A96" s="59" t="inlineStr">
        <is>
          <t>In-Direct - Staff Cost</t>
        </is>
      </c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A97" s="59" t="inlineStr">
        <is>
          <t>In-Direct - Overheads</t>
        </is>
      </c>
      <c r="B97" s="17" t="n">
        <v>-2326.48</v>
      </c>
      <c r="C97" s="17" t="n">
        <v>-1507.58</v>
      </c>
      <c r="D97" s="17" t="n">
        <v>-1541.28</v>
      </c>
      <c r="E97" s="17" t="n">
        <v>-2952.009999999999</v>
      </c>
      <c r="F97" s="17" t="n">
        <v>-761.71</v>
      </c>
      <c r="G97" s="17" t="n">
        <v>-1292.68</v>
      </c>
      <c r="H97" s="17" t="n">
        <v>-1127.03</v>
      </c>
      <c r="I97" s="17" t="n">
        <v>-907.4599999999998</v>
      </c>
      <c r="J97" s="17" t="n">
        <v>-1675.51</v>
      </c>
      <c r="K97" s="17" t="n">
        <v>-1414.06</v>
      </c>
      <c r="L97" s="17" t="n">
        <v>-1325.29</v>
      </c>
      <c r="M97" s="17" t="n">
        <v>-2470.97</v>
      </c>
      <c r="N97" t="n">
        <v>-19302.06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 ht="15.75" customHeight="1">
      <c r="B98" s="66" t="n">
        <v>32179.02000000001</v>
      </c>
      <c r="C98" s="66" t="n">
        <v>25411.21000000001</v>
      </c>
      <c r="D98" s="66" t="n">
        <v>34442.11</v>
      </c>
      <c r="E98" s="66" t="n">
        <v>26485.77999999999</v>
      </c>
      <c r="F98" s="66" t="n">
        <v>24293.7</v>
      </c>
      <c r="G98" s="66" t="n">
        <v>6554.979999999989</v>
      </c>
      <c r="H98" s="66" t="n">
        <v>41446.22</v>
      </c>
      <c r="I98" s="66" t="n">
        <v>-1484.180000000003</v>
      </c>
      <c r="J98" s="66" t="n">
        <v>-9926.220000000001</v>
      </c>
      <c r="K98" s="66" t="n">
        <v>-4882.360000000002</v>
      </c>
      <c r="L98" s="66" t="n">
        <v>5684.590000000005</v>
      </c>
      <c r="M98" s="66" t="n">
        <v>-14528.13</v>
      </c>
      <c r="N98" t="n">
        <v>165676.72</v>
      </c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t="n">
        <v>0</v>
      </c>
      <c r="AB98" t="n">
        <v>0</v>
      </c>
      <c r="AC98" s="63" t="n"/>
      <c r="AD98" s="63" t="n"/>
      <c r="AE98" s="63" t="n"/>
      <c r="AF98" s="63" t="n"/>
      <c r="AG98" s="63" t="n"/>
      <c r="AH98" s="63" t="n"/>
      <c r="AI98" s="121" t="n">
        <v>0</v>
      </c>
      <c r="AJ98" s="121" t="n">
        <v>0</v>
      </c>
      <c r="AK98" s="121" t="n">
        <v>0</v>
      </c>
      <c r="AL98" s="121" t="n">
        <v>0</v>
      </c>
      <c r="AM98" s="121" t="n">
        <v>0</v>
      </c>
      <c r="AN98" s="121" t="n">
        <v>0</v>
      </c>
      <c r="AO98" s="144">
        <f>SUM(AC98:AH98)+SUM(AI98:AN98)</f>
        <v/>
      </c>
      <c r="AP98" s="139">
        <f>IF(AB98&lt;&gt;0,(AO98-AB98)/ABS(AB98),0)</f>
        <v/>
      </c>
    </row>
    <row r="99" ht="15.75" customHeight="1">
      <c r="B99" s="17" t="n">
        <v>0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0</v>
      </c>
      <c r="H99" s="17" t="n">
        <v>0</v>
      </c>
      <c r="I99" s="17" t="n">
        <v>1.818989403545856e-12</v>
      </c>
      <c r="J99" s="17" t="n">
        <v>0</v>
      </c>
      <c r="K99" s="17" t="n">
        <v>0</v>
      </c>
      <c r="L99" s="17" t="n">
        <v>0</v>
      </c>
      <c r="M99" s="17" t="n">
        <v>27883.28999999999</v>
      </c>
      <c r="N99" t="n">
        <v>27883.28999999999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  <row r="100"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AA100" t="n">
        <v>0</v>
      </c>
      <c r="AB100" t="n">
        <v>0</v>
      </c>
      <c r="AI100" s="142" t="n">
        <v>0</v>
      </c>
      <c r="AJ100" s="142" t="n">
        <v>0</v>
      </c>
      <c r="AK100" s="142" t="n">
        <v>0</v>
      </c>
      <c r="AL100" s="142" t="n">
        <v>0</v>
      </c>
      <c r="AM100" s="142" t="n">
        <v>0</v>
      </c>
      <c r="AN100" s="142" t="n">
        <v>0</v>
      </c>
      <c r="AO100" s="143">
        <f>SUM(AC100:AH100)+SUM(AI100:AN100)</f>
        <v/>
      </c>
      <c r="AP100" s="139">
        <f>IF(AB100&lt;&gt;0,(AO100-AB100)/ABS(AB100),0)</f>
        <v/>
      </c>
    </row>
    <row r="101">
      <c r="B101" s="17" t="n">
        <v>0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  <c r="I101" s="17" t="n">
        <v>-5.456968210637569e-12</v>
      </c>
      <c r="J101" s="17" t="n">
        <v>0</v>
      </c>
      <c r="K101" s="17" t="n">
        <v>0</v>
      </c>
      <c r="L101" s="17" t="n">
        <v>0</v>
      </c>
      <c r="M101" s="17" t="n">
        <v>-27883.28999999999</v>
      </c>
      <c r="N101" t="n">
        <v>-27883.28999999999</v>
      </c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t="n">
        <v>0</v>
      </c>
      <c r="AB101" t="n">
        <v>0</v>
      </c>
      <c r="AI101" s="142" t="n">
        <v>0</v>
      </c>
      <c r="AJ101" s="142" t="n">
        <v>0</v>
      </c>
      <c r="AK101" s="142" t="n">
        <v>0</v>
      </c>
      <c r="AL101" s="142" t="n">
        <v>0</v>
      </c>
      <c r="AM101" s="142" t="n">
        <v>0</v>
      </c>
      <c r="AN101" s="142" t="n">
        <v>0</v>
      </c>
      <c r="AO101" s="143">
        <f>SUM(AC101:AH101)+SUM(AI101:AN101)</f>
        <v/>
      </c>
      <c r="AP101" s="139">
        <f>IF(AB101&lt;&gt;0,(AO101-AB101)/ABS(AB101),0)</f>
        <v/>
      </c>
    </row>
    <row r="102">
      <c r="B102" s="17" t="n">
        <v>-32179.02000000001</v>
      </c>
      <c r="C102" s="17" t="n">
        <v>-25411.21000000002</v>
      </c>
      <c r="D102" s="17" t="n">
        <v>-34442.11</v>
      </c>
      <c r="E102" s="17" t="n">
        <v>-26485.78</v>
      </c>
      <c r="F102" s="17" t="n">
        <v>-24293.7</v>
      </c>
      <c r="G102" s="17" t="n">
        <v>-6554.979999999985</v>
      </c>
      <c r="H102" s="17" t="n">
        <v>-41446.22</v>
      </c>
      <c r="I102" s="17" t="n">
        <v>1484.179999999997</v>
      </c>
      <c r="J102" s="17" t="n">
        <v>9926.219999999996</v>
      </c>
      <c r="K102" s="17" t="n">
        <v>4882.359999999999</v>
      </c>
      <c r="L102" s="17" t="n">
        <v>-5684.589999999999</v>
      </c>
      <c r="M102" s="17" t="n">
        <v>-13355.15999999999</v>
      </c>
      <c r="N102" t="n">
        <v>-193560.01</v>
      </c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t="n">
        <v>0</v>
      </c>
      <c r="AB102" t="n">
        <v>0</v>
      </c>
      <c r="AI102" s="142" t="n">
        <v>0</v>
      </c>
      <c r="AJ102" s="142" t="n">
        <v>0</v>
      </c>
      <c r="AK102" s="142" t="n">
        <v>0</v>
      </c>
      <c r="AL102" s="142" t="n">
        <v>0</v>
      </c>
      <c r="AM102" s="142" t="n">
        <v>0</v>
      </c>
      <c r="AN102" s="142" t="n">
        <v>0</v>
      </c>
      <c r="AO102" s="143">
        <f>SUM(AC102:AH102)+SUM(AI102:AN102)</f>
        <v/>
      </c>
      <c r="AP102" s="139">
        <f>IF(AB102&lt;&gt;0,(AO102-AB102)/ABS(AB102),0)</f>
        <v/>
      </c>
    </row>
    <row r="103"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AA103" t="n">
        <v>0</v>
      </c>
      <c r="AB103" t="n">
        <v>0</v>
      </c>
      <c r="AI103" s="142" t="n">
        <v>0</v>
      </c>
      <c r="AJ103" s="142" t="n">
        <v>0</v>
      </c>
      <c r="AK103" s="142" t="n">
        <v>0</v>
      </c>
      <c r="AL103" s="142" t="n">
        <v>0</v>
      </c>
      <c r="AM103" s="142" t="n">
        <v>0</v>
      </c>
      <c r="AN103" s="142" t="n">
        <v>0</v>
      </c>
      <c r="AO103" s="143">
        <f>SUM(AC103:AH103)+SUM(AI103:AN103)</f>
        <v/>
      </c>
      <c r="AP103" s="139">
        <f>IF(AB103&lt;&gt;0,(AO103-AB103)/ABS(AB103),0)</f>
        <v/>
      </c>
    </row>
    <row r="104"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AA104" t="n">
        <v>0</v>
      </c>
      <c r="AB104" t="n">
        <v>0</v>
      </c>
      <c r="AI104" s="142" t="n">
        <v>0</v>
      </c>
      <c r="AJ104" s="142" t="n">
        <v>0</v>
      </c>
      <c r="AK104" s="142" t="n">
        <v>0</v>
      </c>
      <c r="AL104" s="142" t="n">
        <v>0</v>
      </c>
      <c r="AM104" s="142" t="n">
        <v>0</v>
      </c>
      <c r="AN104" s="142" t="n">
        <v>0</v>
      </c>
      <c r="AO104" s="143">
        <f>SUM(AC104:AH104)+SUM(AI104:AN104)</f>
        <v/>
      </c>
      <c r="AP104" s="139">
        <f>IF(AB104&lt;&gt;0,(AO104-AB104)/ABS(AB104),0)</f>
        <v/>
      </c>
    </row>
  </sheetData>
  <mergeCells count="1">
    <mergeCell ref="AI1:AQ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Q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6709.7</v>
      </c>
      <c r="P8" s="36" t="n">
        <v>6647.38</v>
      </c>
      <c r="Q8" s="36" t="n">
        <v>13333.56</v>
      </c>
      <c r="R8" s="36" t="n">
        <v>11186.44</v>
      </c>
      <c r="S8" s="36" t="n">
        <v>11435.14</v>
      </c>
      <c r="T8" s="36" t="n">
        <v>11398.92</v>
      </c>
      <c r="U8" s="36" t="n">
        <v>16631.74</v>
      </c>
      <c r="V8" s="37" t="n"/>
      <c r="W8" s="37" t="n"/>
      <c r="X8" s="37" t="n"/>
      <c r="Y8" s="37" t="n"/>
      <c r="Z8" s="37" t="n"/>
      <c r="AA8" s="35" t="n">
        <v>77342.87999999999</v>
      </c>
      <c r="AB8" s="35" t="n">
        <v>77342.87999999999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21014.62</v>
      </c>
      <c r="P9" s="36" t="n">
        <v>21014.62</v>
      </c>
      <c r="Q9" s="36" t="n">
        <v>-7915.68</v>
      </c>
      <c r="R9" s="36" t="n">
        <v>18059.9</v>
      </c>
      <c r="S9" s="36" t="n">
        <v>18059.9</v>
      </c>
      <c r="T9" s="36" t="n">
        <v>20885.63</v>
      </c>
      <c r="U9" s="36" t="n">
        <v>19001.82</v>
      </c>
      <c r="V9" s="37" t="n"/>
      <c r="W9" s="37" t="n"/>
      <c r="X9" s="37" t="n"/>
      <c r="Y9" s="37" t="n"/>
      <c r="Z9" s="37" t="n"/>
      <c r="AA9" s="35" t="n">
        <v>110120.81</v>
      </c>
      <c r="AB9" s="35" t="n">
        <v>110120.81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27724.32</v>
      </c>
      <c r="P11" s="43" t="n">
        <v>27662</v>
      </c>
      <c r="Q11" s="43" t="n">
        <v>5417.879999999999</v>
      </c>
      <c r="R11" s="43" t="n">
        <v>29246.34</v>
      </c>
      <c r="S11" s="43" t="n">
        <v>29495.04</v>
      </c>
      <c r="T11" s="43" t="n">
        <v>32284.55</v>
      </c>
      <c r="U11" s="43" t="n">
        <v>35633.56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187463.69</v>
      </c>
      <c r="AB11" s="42" t="n">
        <v>187463.69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30500.14</v>
      </c>
      <c r="P16" s="36" t="n">
        <v>29464.08</v>
      </c>
      <c r="Q16" s="36" t="n">
        <v>34688.12</v>
      </c>
      <c r="R16" s="36" t="n">
        <v>31330.84</v>
      </c>
      <c r="S16" s="36" t="n">
        <v>34293.32</v>
      </c>
      <c r="T16" s="36" t="n">
        <v>34900.9</v>
      </c>
      <c r="U16" s="36" t="n">
        <v>32050.82</v>
      </c>
      <c r="V16" s="37" t="n"/>
      <c r="W16" s="37" t="n"/>
      <c r="X16" s="37" t="n"/>
      <c r="Y16" s="37" t="n"/>
      <c r="Z16" s="37" t="n"/>
      <c r="AA16" s="35" t="n">
        <v>227228.22</v>
      </c>
      <c r="AB16" s="35" t="n">
        <v>227228.22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3812.12</v>
      </c>
      <c r="P17" s="36" t="n">
        <v>3104.84</v>
      </c>
      <c r="Q17" s="36" t="n">
        <v>3880.72</v>
      </c>
      <c r="R17" s="36" t="n">
        <v>3516.38</v>
      </c>
      <c r="S17" s="36" t="n">
        <v>3818.28</v>
      </c>
      <c r="T17" s="36" t="n">
        <v>3926.78</v>
      </c>
      <c r="U17" s="36" t="n">
        <v>3504.28</v>
      </c>
      <c r="V17" s="37" t="n"/>
      <c r="W17" s="37" t="n"/>
      <c r="X17" s="37" t="n"/>
      <c r="Y17" s="37" t="n"/>
      <c r="Z17" s="37" t="n"/>
      <c r="AA17" s="35" t="n">
        <v>25563.4</v>
      </c>
      <c r="AB17" s="35" t="n">
        <v>25563.4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532.6</v>
      </c>
      <c r="P18" s="36" t="n">
        <v>423.28</v>
      </c>
      <c r="Q18" s="36" t="n">
        <v>565.12</v>
      </c>
      <c r="R18" s="36" t="n">
        <v>487.8</v>
      </c>
      <c r="S18" s="36" t="n">
        <v>488.06</v>
      </c>
      <c r="T18" s="36" t="n">
        <v>491.46</v>
      </c>
      <c r="U18" s="36" t="n">
        <v>420.68</v>
      </c>
      <c r="V18" s="37" t="n"/>
      <c r="W18" s="37" t="n"/>
      <c r="X18" s="37" t="n"/>
      <c r="Y18" s="37" t="n"/>
      <c r="Z18" s="37" t="n"/>
      <c r="AA18" s="35" t="n">
        <v>3409</v>
      </c>
      <c r="AB18" s="35" t="n">
        <v>3409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129.12</v>
      </c>
      <c r="Q19" s="36" t="n">
        <v>0</v>
      </c>
      <c r="R19" s="36" t="n">
        <v>0</v>
      </c>
      <c r="S19" s="36" t="n">
        <v>108.96</v>
      </c>
      <c r="T19" s="36" t="n">
        <v>260.16</v>
      </c>
      <c r="U19" s="36" t="n">
        <v>88.31999999999999</v>
      </c>
      <c r="V19" s="37" t="n"/>
      <c r="W19" s="37" t="n"/>
      <c r="X19" s="37" t="n"/>
      <c r="Y19" s="37" t="n"/>
      <c r="Z19" s="37" t="n"/>
      <c r="AA19" s="35" t="n">
        <v>586.5600000000001</v>
      </c>
      <c r="AB19" s="35" t="n">
        <v>586.5600000000001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156</v>
      </c>
      <c r="Q20" s="36" t="n">
        <v>0</v>
      </c>
      <c r="R20" s="36" t="n">
        <v>156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312</v>
      </c>
      <c r="AB20" s="35" t="n">
        <v>312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102.48</v>
      </c>
      <c r="P21" s="36" t="n">
        <v>362.54</v>
      </c>
      <c r="Q21" s="36" t="n">
        <v>166.86</v>
      </c>
      <c r="R21" s="36" t="n">
        <v>98.58</v>
      </c>
      <c r="S21" s="36" t="n">
        <v>122.22</v>
      </c>
      <c r="T21" s="36" t="n">
        <v>128.86</v>
      </c>
      <c r="U21" s="36" t="n">
        <v>80.5</v>
      </c>
      <c r="V21" s="37" t="n"/>
      <c r="W21" s="37" t="n"/>
      <c r="X21" s="37" t="n"/>
      <c r="Y21" s="37" t="n"/>
      <c r="Z21" s="37" t="n"/>
      <c r="AA21" s="35" t="n">
        <v>1062.04</v>
      </c>
      <c r="AB21" s="35" t="n">
        <v>1062.04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36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36</v>
      </c>
      <c r="AB23" s="35" t="n">
        <v>36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34983.34</v>
      </c>
      <c r="P25" s="43" t="n">
        <v>33639.86</v>
      </c>
      <c r="Q25" s="43" t="n">
        <v>39300.82</v>
      </c>
      <c r="R25" s="43" t="n">
        <v>35589.6</v>
      </c>
      <c r="S25" s="43" t="n">
        <v>38830.84</v>
      </c>
      <c r="T25" s="43" t="n">
        <v>39708.16</v>
      </c>
      <c r="U25" s="43" t="n">
        <v>36144.6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258197.22</v>
      </c>
      <c r="AB25" s="42" t="n">
        <v>258197.22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817.74</v>
      </c>
      <c r="P27" s="36" t="n">
        <v>1126.74</v>
      </c>
      <c r="Q27" s="36" t="n">
        <v>847.78</v>
      </c>
      <c r="R27" s="36" t="n">
        <v>1296.64</v>
      </c>
      <c r="S27" s="36" t="n">
        <v>882.9400000000001</v>
      </c>
      <c r="T27" s="36" t="n">
        <v>978.72</v>
      </c>
      <c r="U27" s="36" t="n">
        <v>580.34</v>
      </c>
      <c r="V27" s="37" t="n"/>
      <c r="W27" s="37" t="n"/>
      <c r="X27" s="37" t="n"/>
      <c r="Y27" s="37" t="n"/>
      <c r="Z27" s="37" t="n"/>
      <c r="AA27" s="35" t="n">
        <v>6530.900000000001</v>
      </c>
      <c r="AB27" s="35" t="n">
        <v>6530.900000000001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7.42</v>
      </c>
      <c r="Q28" s="36" t="n">
        <v>665.7400000000001</v>
      </c>
      <c r="R28" s="36" t="n">
        <v>24</v>
      </c>
      <c r="S28" s="36" t="n">
        <v>32</v>
      </c>
      <c r="T28" s="36" t="n">
        <v>70.2399999999999</v>
      </c>
      <c r="U28" s="36" t="n">
        <v>33.98</v>
      </c>
      <c r="V28" s="37" t="n"/>
      <c r="W28" s="37" t="n"/>
      <c r="X28" s="37" t="n"/>
      <c r="Y28" s="37" t="n"/>
      <c r="Z28" s="37" t="n"/>
      <c r="AA28" s="35" t="n">
        <v>833.38</v>
      </c>
      <c r="AB28" s="35" t="n">
        <v>833.38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155.18</v>
      </c>
      <c r="M29" s="34" t="n">
        <v>15.39</v>
      </c>
      <c r="N29" s="35" t="n">
        <v>375.01</v>
      </c>
      <c r="O29" s="36" t="n">
        <v>0</v>
      </c>
      <c r="P29" s="36" t="n">
        <v>21.94</v>
      </c>
      <c r="Q29" s="36" t="n">
        <v>129.48</v>
      </c>
      <c r="R29" s="36" t="n">
        <v>164.26</v>
      </c>
      <c r="S29" s="36" t="n">
        <v>11.38</v>
      </c>
      <c r="T29" s="36" t="n">
        <v>70.3</v>
      </c>
      <c r="U29" s="36" t="n">
        <v>9.98</v>
      </c>
      <c r="V29" s="37" t="n"/>
      <c r="W29" s="37" t="n"/>
      <c r="X29" s="37" t="n"/>
      <c r="Y29" s="37" t="n"/>
      <c r="Z29" s="37" t="n"/>
      <c r="AA29" s="35" t="n">
        <v>407.34</v>
      </c>
      <c r="AB29" s="35" t="n">
        <v>407.34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35.98</v>
      </c>
      <c r="P30" s="36" t="n">
        <v>19.82</v>
      </c>
      <c r="Q30" s="36" t="n">
        <v>0</v>
      </c>
      <c r="R30" s="36" t="n">
        <v>11.82</v>
      </c>
      <c r="S30" s="36" t="n">
        <v>138.44</v>
      </c>
      <c r="T30" s="36" t="n">
        <v>13.96</v>
      </c>
      <c r="U30" s="36" t="n">
        <v>0</v>
      </c>
      <c r="V30" s="37" t="n"/>
      <c r="W30" s="37" t="n"/>
      <c r="X30" s="37" t="n"/>
      <c r="Y30" s="37" t="n"/>
      <c r="Z30" s="37" t="n"/>
      <c r="AA30" s="35" t="n">
        <v>220.02</v>
      </c>
      <c r="AB30" s="35" t="n">
        <v>220.02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15.16</v>
      </c>
      <c r="P31" s="36" t="n">
        <v>59.98</v>
      </c>
      <c r="Q31" s="36" t="n">
        <v>190.4</v>
      </c>
      <c r="R31" s="36" t="n">
        <v>747.9</v>
      </c>
      <c r="S31" s="36" t="n">
        <v>0</v>
      </c>
      <c r="T31" s="36" t="n">
        <v>9.98</v>
      </c>
      <c r="U31" s="36" t="n">
        <v>11.62</v>
      </c>
      <c r="V31" s="37" t="n"/>
      <c r="W31" s="37" t="n"/>
      <c r="X31" s="37" t="n"/>
      <c r="Y31" s="37" t="n"/>
      <c r="Z31" s="37" t="n"/>
      <c r="AA31" s="35" t="n">
        <v>1035.04</v>
      </c>
      <c r="AB31" s="35" t="n">
        <v>1035.04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88.73999999999999</v>
      </c>
      <c r="P32" s="36" t="n">
        <v>15.9</v>
      </c>
      <c r="Q32" s="36" t="n">
        <v>94.48</v>
      </c>
      <c r="R32" s="36" t="n">
        <v>5.78</v>
      </c>
      <c r="S32" s="36" t="n">
        <v>208.08</v>
      </c>
      <c r="T32" s="36" t="n">
        <v>154.66</v>
      </c>
      <c r="U32" s="36" t="n">
        <v>67.45999999999999</v>
      </c>
      <c r="V32" s="37" t="n"/>
      <c r="W32" s="37" t="n"/>
      <c r="X32" s="37" t="n"/>
      <c r="Y32" s="37" t="n"/>
      <c r="Z32" s="37" t="n"/>
      <c r="AA32" s="35" t="n">
        <v>635.1</v>
      </c>
      <c r="AB32" s="35" t="n">
        <v>635.1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731.6600000000001</v>
      </c>
      <c r="M34" s="41" t="n">
        <v>526.37</v>
      </c>
      <c r="N34" s="42" t="n">
        <v>10212.23</v>
      </c>
      <c r="O34" s="43" t="n">
        <v>957.62</v>
      </c>
      <c r="P34" s="43" t="n">
        <v>1251.8</v>
      </c>
      <c r="Q34" s="43" t="n">
        <v>1927.88</v>
      </c>
      <c r="R34" s="43" t="n">
        <v>2250.4</v>
      </c>
      <c r="S34" s="43" t="n">
        <v>1272.84</v>
      </c>
      <c r="T34" s="43" t="n">
        <v>1297.86</v>
      </c>
      <c r="U34" s="43" t="n">
        <v>703.38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9661.780000000001</v>
      </c>
      <c r="AB34" s="42" t="n">
        <v>9661.780000000001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1330.68</v>
      </c>
      <c r="P37" s="36" t="n">
        <v>1330.68</v>
      </c>
      <c r="Q37" s="36" t="n">
        <v>1330.68</v>
      </c>
      <c r="R37" s="36" t="n">
        <v>1530.26</v>
      </c>
      <c r="S37" s="36" t="n">
        <v>1530.26</v>
      </c>
      <c r="T37" s="36" t="n">
        <v>1530.26</v>
      </c>
      <c r="U37" s="36" t="n">
        <v>1530.26</v>
      </c>
      <c r="V37" s="37" t="n"/>
      <c r="W37" s="37" t="n"/>
      <c r="X37" s="37" t="n"/>
      <c r="Y37" s="37" t="n"/>
      <c r="Z37" s="37" t="n"/>
      <c r="AA37" s="35" t="n">
        <v>10113.08</v>
      </c>
      <c r="AB37" s="35" t="n">
        <v>10113.08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3236.64</v>
      </c>
      <c r="P38" s="36" t="n">
        <v>3340.72</v>
      </c>
      <c r="Q38" s="36" t="n">
        <v>3243.82</v>
      </c>
      <c r="R38" s="36" t="n">
        <v>2850.86</v>
      </c>
      <c r="S38" s="36" t="n">
        <v>2388.18</v>
      </c>
      <c r="T38" s="36" t="n">
        <v>665.98</v>
      </c>
      <c r="U38" s="36" t="n">
        <v>3108.72</v>
      </c>
      <c r="V38" s="37" t="n"/>
      <c r="W38" s="37" t="n"/>
      <c r="X38" s="37" t="n"/>
      <c r="Y38" s="37" t="n"/>
      <c r="Z38" s="37" t="n"/>
      <c r="AA38" s="35" t="n">
        <v>18834.92</v>
      </c>
      <c r="AB38" s="35" t="n">
        <v>18834.92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340.68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2205.15</v>
      </c>
      <c r="O39" s="36" t="n">
        <v>0</v>
      </c>
      <c r="P39" s="36" t="n">
        <v>286.22</v>
      </c>
      <c r="Q39" s="36" t="n">
        <v>7557.32</v>
      </c>
      <c r="R39" s="36" t="n">
        <v>2810.72</v>
      </c>
      <c r="S39" s="36" t="n">
        <v>765.9999999999999</v>
      </c>
      <c r="T39" s="36" t="n">
        <v>35.14</v>
      </c>
      <c r="U39" s="36" t="n">
        <v>216</v>
      </c>
      <c r="V39" s="37" t="n"/>
      <c r="W39" s="37" t="n"/>
      <c r="X39" s="37" t="n"/>
      <c r="Y39" s="37" t="n"/>
      <c r="Z39" s="37" t="n"/>
      <c r="AA39" s="35" t="n">
        <v>11671.4</v>
      </c>
      <c r="AB39" s="35" t="n">
        <v>11671.4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225.74</v>
      </c>
      <c r="P40" s="36" t="n">
        <v>66</v>
      </c>
      <c r="Q40" s="36" t="n">
        <v>154.78</v>
      </c>
      <c r="R40" s="36" t="n">
        <v>0</v>
      </c>
      <c r="S40" s="36" t="n">
        <v>486.46</v>
      </c>
      <c r="T40" s="36" t="n">
        <v>248.44</v>
      </c>
      <c r="U40" s="36" t="n">
        <v>0</v>
      </c>
      <c r="V40" s="37" t="n"/>
      <c r="W40" s="37" t="n"/>
      <c r="X40" s="37" t="n"/>
      <c r="Y40" s="37" t="n"/>
      <c r="Z40" s="37" t="n"/>
      <c r="AA40" s="35" t="n">
        <v>1181.42</v>
      </c>
      <c r="AB40" s="35" t="n">
        <v>1181.42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798.84</v>
      </c>
      <c r="P41" s="36" t="n">
        <v>817.8200000000001</v>
      </c>
      <c r="Q41" s="36" t="n">
        <v>905.66</v>
      </c>
      <c r="R41" s="36" t="n">
        <v>1014.94</v>
      </c>
      <c r="S41" s="36" t="n">
        <v>852.86</v>
      </c>
      <c r="T41" s="36" t="n">
        <v>635.54</v>
      </c>
      <c r="U41" s="36" t="n">
        <v>798.84</v>
      </c>
      <c r="V41" s="37" t="n"/>
      <c r="W41" s="37" t="n"/>
      <c r="X41" s="37" t="n"/>
      <c r="Y41" s="37" t="n"/>
      <c r="Z41" s="37" t="n"/>
      <c r="AA41" s="35" t="n">
        <v>5824.5</v>
      </c>
      <c r="AB41" s="35" t="n">
        <v>5824.5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70.06</v>
      </c>
      <c r="P42" s="36" t="n">
        <v>72.98</v>
      </c>
      <c r="Q42" s="36" t="n">
        <v>0</v>
      </c>
      <c r="R42" s="36" t="n">
        <v>50.92</v>
      </c>
      <c r="S42" s="36" t="n">
        <v>56.94</v>
      </c>
      <c r="T42" s="36" t="n">
        <v>74.13999999999999</v>
      </c>
      <c r="U42" s="36" t="n">
        <v>27.76</v>
      </c>
      <c r="V42" s="37" t="n"/>
      <c r="W42" s="37" t="n"/>
      <c r="X42" s="37" t="n"/>
      <c r="Y42" s="37" t="n"/>
      <c r="Z42" s="37" t="n"/>
      <c r="AA42" s="35" t="n">
        <v>352.8</v>
      </c>
      <c r="AB42" s="35" t="n">
        <v>352.8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50</v>
      </c>
      <c r="P43" s="36" t="n">
        <v>0</v>
      </c>
      <c r="Q43" s="36" t="n">
        <v>1567.48</v>
      </c>
      <c r="R43" s="36" t="n">
        <v>2074</v>
      </c>
      <c r="S43" s="36" t="n">
        <v>474</v>
      </c>
      <c r="T43" s="36" t="n">
        <v>46</v>
      </c>
      <c r="U43" s="36" t="n">
        <v>112</v>
      </c>
      <c r="V43" s="37" t="n"/>
      <c r="W43" s="37" t="n"/>
      <c r="X43" s="37" t="n"/>
      <c r="Y43" s="37" t="n"/>
      <c r="Z43" s="37" t="n"/>
      <c r="AA43" s="35" t="n">
        <v>4323.48</v>
      </c>
      <c r="AB43" s="35" t="n">
        <v>4323.48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275</v>
      </c>
      <c r="P45" s="36" t="n">
        <v>275</v>
      </c>
      <c r="Q45" s="36" t="n">
        <v>275</v>
      </c>
      <c r="R45" s="36" t="n">
        <v>275</v>
      </c>
      <c r="S45" s="36" t="n">
        <v>275</v>
      </c>
      <c r="T45" s="36" t="n">
        <v>275</v>
      </c>
      <c r="U45" s="36" t="n">
        <v>275</v>
      </c>
      <c r="V45" s="37" t="n"/>
      <c r="W45" s="37" t="n"/>
      <c r="X45" s="37" t="n"/>
      <c r="Y45" s="37" t="n"/>
      <c r="Z45" s="37" t="n"/>
      <c r="AA45" s="35" t="n">
        <v>1925</v>
      </c>
      <c r="AB45" s="35" t="n">
        <v>1925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3459.39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44116.72</v>
      </c>
      <c r="O47" s="43" t="n">
        <v>5986.96</v>
      </c>
      <c r="P47" s="43" t="n">
        <v>6189.42</v>
      </c>
      <c r="Q47" s="43" t="n">
        <v>15034.74</v>
      </c>
      <c r="R47" s="43" t="n">
        <v>10606.7</v>
      </c>
      <c r="S47" s="43" t="n">
        <v>6829.7</v>
      </c>
      <c r="T47" s="43" t="n">
        <v>3510.5</v>
      </c>
      <c r="U47" s="43" t="n">
        <v>6068.58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54226.6</v>
      </c>
      <c r="AB47" s="51" t="n">
        <v>54226.6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17748.23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21797.52</v>
      </c>
      <c r="M48" s="22" t="n">
        <v>19603.73</v>
      </c>
      <c r="N48" s="35" t="n">
        <v>229695.01</v>
      </c>
      <c r="O48" s="24" t="n">
        <v>41927.92</v>
      </c>
      <c r="P48" s="24" t="n">
        <v>41081.08</v>
      </c>
      <c r="Q48" s="24" t="n">
        <v>56263.44</v>
      </c>
      <c r="R48" s="24" t="n">
        <v>48446.7</v>
      </c>
      <c r="S48" s="24" t="n">
        <v>46933.38</v>
      </c>
      <c r="T48" s="24" t="n">
        <v>44516.52</v>
      </c>
      <c r="U48" s="24" t="n">
        <v>42916.56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322085.6</v>
      </c>
      <c r="AB48" s="35" t="n">
        <v>322085.6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654.7999999999993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-9124.18</v>
      </c>
      <c r="M50" s="54" t="n">
        <v>19054.90000000001</v>
      </c>
      <c r="N50" s="54" t="n">
        <v>6458.940000000004</v>
      </c>
      <c r="O50" s="54" t="n">
        <v>-14203.6</v>
      </c>
      <c r="P50" s="54" t="n">
        <v>-13419.08</v>
      </c>
      <c r="Q50" s="54" t="n">
        <v>-50845.56</v>
      </c>
      <c r="R50" s="54" t="n">
        <v>-19200.36</v>
      </c>
      <c r="S50" s="54" t="n">
        <v>-17438.34</v>
      </c>
      <c r="T50" s="54" t="n">
        <v>-12231.97000000001</v>
      </c>
      <c r="U50" s="54" t="n">
        <v>-7283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-134621.91</v>
      </c>
      <c r="AB50" s="54" t="n">
        <v>-134621.91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85.5</v>
      </c>
      <c r="P58" s="36" t="n">
        <v>85.5</v>
      </c>
      <c r="Q58" s="36" t="n">
        <v>85.5</v>
      </c>
      <c r="R58" s="36" t="n">
        <v>85.5</v>
      </c>
      <c r="S58" s="36" t="n">
        <v>85.5</v>
      </c>
      <c r="T58" s="36" t="n">
        <v>85.5</v>
      </c>
      <c r="U58" s="36" t="n">
        <v>90</v>
      </c>
      <c r="V58" s="37" t="n"/>
      <c r="W58" s="37" t="n"/>
      <c r="X58" s="37" t="n"/>
      <c r="Y58" s="37" t="n"/>
      <c r="Z58" s="37" t="n"/>
      <c r="AA58" s="35" t="n">
        <v>603</v>
      </c>
      <c r="AB58" s="35" t="n">
        <v>603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429.6</v>
      </c>
      <c r="P59" s="36" t="n">
        <v>429.6</v>
      </c>
      <c r="Q59" s="36" t="n">
        <v>429.6</v>
      </c>
      <c r="R59" s="36" t="n">
        <v>429.6</v>
      </c>
      <c r="S59" s="36" t="n">
        <v>429.6</v>
      </c>
      <c r="T59" s="36" t="n">
        <v>429.6</v>
      </c>
      <c r="U59" s="36" t="n">
        <v>429.6</v>
      </c>
      <c r="V59" s="37" t="n"/>
      <c r="W59" s="37" t="n"/>
      <c r="X59" s="37" t="n"/>
      <c r="Y59" s="37" t="n"/>
      <c r="Z59" s="37" t="n"/>
      <c r="AA59" s="35" t="n">
        <v>3007.2</v>
      </c>
      <c r="AB59" s="35" t="n">
        <v>3007.2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58.8</v>
      </c>
      <c r="P60" s="36" t="n">
        <v>4.8</v>
      </c>
      <c r="Q60" s="36" t="n">
        <v>3.6</v>
      </c>
      <c r="R60" s="36" t="n">
        <v>60</v>
      </c>
      <c r="S60" s="36" t="n">
        <v>6</v>
      </c>
      <c r="T60" s="36" t="n">
        <v>3.6</v>
      </c>
      <c r="U60" s="36" t="n">
        <v>7.2</v>
      </c>
      <c r="V60" s="37" t="n"/>
      <c r="W60" s="37" t="n"/>
      <c r="X60" s="37" t="n"/>
      <c r="Y60" s="37" t="n"/>
      <c r="Z60" s="37" t="n"/>
      <c r="AA60" s="35" t="n">
        <v>144</v>
      </c>
      <c r="AB60" s="35" t="n">
        <v>144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31.53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154.94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503.54</v>
      </c>
      <c r="P64" s="36" t="n">
        <v>503.54</v>
      </c>
      <c r="Q64" s="36" t="n">
        <v>503.54</v>
      </c>
      <c r="R64" s="36" t="n">
        <v>503.54</v>
      </c>
      <c r="S64" s="36" t="n">
        <v>503.54</v>
      </c>
      <c r="T64" s="36" t="n">
        <v>503.54</v>
      </c>
      <c r="U64" s="36" t="n">
        <v>503.54</v>
      </c>
      <c r="V64" s="37" t="n"/>
      <c r="W64" s="37" t="n"/>
      <c r="X64" s="37" t="n"/>
      <c r="Y64" s="37" t="n"/>
      <c r="Z64" s="37" t="n"/>
      <c r="AA64" s="35" t="n">
        <v>3524.78</v>
      </c>
      <c r="AB64" s="35" t="n">
        <v>3524.78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2160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2160</v>
      </c>
      <c r="AB65" s="35" t="n">
        <v>2160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380</v>
      </c>
      <c r="P66" s="36" t="n">
        <v>374</v>
      </c>
      <c r="Q66" s="36" t="n">
        <v>366</v>
      </c>
      <c r="R66" s="36" t="n">
        <v>358</v>
      </c>
      <c r="S66" s="36" t="n">
        <v>350</v>
      </c>
      <c r="T66" s="36" t="n">
        <v>342</v>
      </c>
      <c r="U66" s="36" t="n">
        <v>334</v>
      </c>
      <c r="V66" s="37" t="n"/>
      <c r="W66" s="37" t="n"/>
      <c r="X66" s="37" t="n"/>
      <c r="Y66" s="37" t="n"/>
      <c r="Z66" s="37" t="n"/>
      <c r="AA66" s="35" t="n">
        <v>2504</v>
      </c>
      <c r="AB66" s="35" t="n">
        <v>2504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747.15</v>
      </c>
      <c r="N67" s="35" t="n">
        <v>2096.5</v>
      </c>
      <c r="O67" s="36" t="n">
        <v>6.3</v>
      </c>
      <c r="P67" s="36" t="n">
        <v>6.3</v>
      </c>
      <c r="Q67" s="36" t="n">
        <v>6.3</v>
      </c>
      <c r="R67" s="36" t="n">
        <v>11.2</v>
      </c>
      <c r="S67" s="36" t="n">
        <v>7.7</v>
      </c>
      <c r="T67" s="36" t="n">
        <v>9.800000000000001</v>
      </c>
      <c r="U67" s="36" t="n">
        <v>11.2</v>
      </c>
      <c r="V67" s="37" t="n"/>
      <c r="W67" s="37" t="n"/>
      <c r="X67" s="37" t="n"/>
      <c r="Y67" s="37" t="n"/>
      <c r="Z67" s="37" t="n"/>
      <c r="AA67" s="35" t="n">
        <v>58.8</v>
      </c>
      <c r="AB67" s="35" t="n">
        <v>58.8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-75.11</v>
      </c>
      <c r="K68" s="34" t="n">
        <v>5.25</v>
      </c>
      <c r="L68" s="34" t="n">
        <v>3.5</v>
      </c>
      <c r="M68" s="34" t="n">
        <v>3.85</v>
      </c>
      <c r="N68" s="35" t="n">
        <v>-5.109999999999994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210.33</v>
      </c>
      <c r="C69" s="41" t="n">
        <v>252.12</v>
      </c>
      <c r="D69" s="41" t="n">
        <v>345.99</v>
      </c>
      <c r="E69" s="41" t="n">
        <v>1290.48</v>
      </c>
      <c r="F69" s="41" t="n">
        <v>245.01</v>
      </c>
      <c r="G69" s="41" t="n">
        <v>314.84</v>
      </c>
      <c r="H69" s="41" t="n">
        <v>283.51</v>
      </c>
      <c r="I69" s="41" t="n">
        <v>733.28</v>
      </c>
      <c r="J69" s="41" t="n">
        <v>171.42</v>
      </c>
      <c r="K69" s="41" t="n">
        <v>331.6</v>
      </c>
      <c r="L69" s="41" t="n">
        <v>479.85</v>
      </c>
      <c r="M69" s="41" t="n">
        <v>1220.32</v>
      </c>
      <c r="N69" s="42" t="n">
        <v>5878.75</v>
      </c>
      <c r="O69" s="43" t="n">
        <v>1463.74</v>
      </c>
      <c r="P69" s="43" t="n">
        <v>1403.74</v>
      </c>
      <c r="Q69" s="43" t="n">
        <v>3554.54</v>
      </c>
      <c r="R69" s="43" t="n">
        <v>1447.84</v>
      </c>
      <c r="S69" s="43" t="n">
        <v>1382.34</v>
      </c>
      <c r="T69" s="43" t="n">
        <v>1374.04</v>
      </c>
      <c r="U69" s="43" t="n">
        <v>1375.54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12001.78</v>
      </c>
      <c r="AB69" s="42" t="n">
        <v>12001.78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-178.7000000000026</v>
      </c>
      <c r="C70" s="54" t="n">
        <v>-151.9499999999981</v>
      </c>
      <c r="D70" s="54" t="n">
        <v>8494.030000000001</v>
      </c>
      <c r="E70" s="54" t="n">
        <v>345.3099999999972</v>
      </c>
      <c r="F70" s="54" t="n">
        <v>409.7899999999993</v>
      </c>
      <c r="G70" s="54" t="n">
        <v>-165.9799999999994</v>
      </c>
      <c r="H70" s="54" t="n">
        <v>2328.629999999999</v>
      </c>
      <c r="I70" s="54" t="n">
        <v>-8197.23</v>
      </c>
      <c r="J70" s="54" t="n">
        <v>-3464.919999999998</v>
      </c>
      <c r="K70" s="54" t="n">
        <v>-7069.34</v>
      </c>
      <c r="L70" s="54" t="n">
        <v>-9604.030000000001</v>
      </c>
      <c r="M70" s="54" t="n">
        <v>17834.58000000001</v>
      </c>
      <c r="N70" s="54" t="n">
        <v>580.190000000003</v>
      </c>
      <c r="O70" s="54" t="n">
        <v>-15667.34</v>
      </c>
      <c r="P70" s="54" t="n">
        <v>-14822.82</v>
      </c>
      <c r="Q70" s="54" t="n">
        <v>-54400.10000000001</v>
      </c>
      <c r="R70" s="54" t="n">
        <v>-20648.2</v>
      </c>
      <c r="S70" s="54" t="n">
        <v>-18820.68</v>
      </c>
      <c r="T70" s="54" t="n">
        <v>-13606.01000000001</v>
      </c>
      <c r="U70" s="54" t="n">
        <v>-8658.540000000001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-146623.69</v>
      </c>
      <c r="AB70" s="54" t="n">
        <v>-146623.69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AA71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t="n">
        <v>0</v>
      </c>
      <c r="AB72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300.0053333333334</v>
      </c>
      <c r="P74" s="59" t="n">
        <v>300.0053333333334</v>
      </c>
      <c r="Q74" s="59" t="n">
        <v>410.3731666666667</v>
      </c>
      <c r="R74" s="59" t="n">
        <v>496.8085</v>
      </c>
      <c r="S74" s="59" t="n">
        <v>514.6443333333333</v>
      </c>
      <c r="T74" s="59" t="n">
        <v>514.6443333333333</v>
      </c>
      <c r="U74" s="59" t="n">
        <v>515.644333333333</v>
      </c>
      <c r="V74" s="59" t="n">
        <v>514.6443333333333</v>
      </c>
      <c r="W74" s="59" t="n">
        <v>514.6443333333333</v>
      </c>
      <c r="X74" s="59" t="n">
        <v>514.6443333333333</v>
      </c>
      <c r="Y74" s="59" t="n">
        <v>514.6443333333333</v>
      </c>
      <c r="Z74" s="59" t="n">
        <v>514.6443333333333</v>
      </c>
      <c r="AA74" t="n">
        <v>3052.125333333333</v>
      </c>
      <c r="AB74" s="59" t="n">
        <v>5625.347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1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AA78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A7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Memo</t>
        </is>
      </c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Sales</t>
        </is>
      </c>
      <c r="B83" s="59" t="n">
        <v>20117.83</v>
      </c>
      <c r="C83" s="59" t="n">
        <v>20249.13</v>
      </c>
      <c r="D83" s="59" t="n">
        <v>26571.5</v>
      </c>
      <c r="E83" s="59" t="n">
        <v>19831.28</v>
      </c>
      <c r="F83" s="59" t="n">
        <v>18403.03</v>
      </c>
      <c r="G83" s="59" t="n">
        <v>17457.45</v>
      </c>
      <c r="H83" s="59" t="n">
        <v>24037.05</v>
      </c>
      <c r="I83" s="59" t="n">
        <v>10930.69</v>
      </c>
      <c r="J83" s="59" t="n">
        <v>13199.67</v>
      </c>
      <c r="K83" s="59" t="n">
        <v>14024.35</v>
      </c>
      <c r="L83" s="59" t="n">
        <v>12673.34</v>
      </c>
      <c r="N83" t="n">
        <v>197495.32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Direct - Staff Cost</t>
        </is>
      </c>
      <c r="B84" s="17" t="n">
        <v>-15237.76</v>
      </c>
      <c r="C84" s="17" t="n">
        <v>-15403.43</v>
      </c>
      <c r="D84" s="17" t="n">
        <v>-12032.29</v>
      </c>
      <c r="E84" s="17" t="n">
        <v>-13190.74</v>
      </c>
      <c r="F84" s="17" t="n">
        <v>-13389.22</v>
      </c>
      <c r="G84" s="17" t="n">
        <v>-13121.69</v>
      </c>
      <c r="H84" s="17" t="n">
        <v>-16994.95</v>
      </c>
      <c r="I84" s="17" t="n">
        <v>-14247.8</v>
      </c>
      <c r="J84" s="17" t="n">
        <v>-13644.29</v>
      </c>
      <c r="K84" s="17" t="n">
        <v>-16145.13</v>
      </c>
      <c r="L84" s="17" t="n">
        <v>-17393.09</v>
      </c>
      <c r="M84" s="17" t="n"/>
      <c r="N84" t="n">
        <v>-160800.39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Childcare Cost</t>
        </is>
      </c>
      <c r="B85" s="17" t="n">
        <v>-1008.73</v>
      </c>
      <c r="C85" s="17" t="n">
        <v>-815.6400000000001</v>
      </c>
      <c r="D85" s="17" t="n">
        <v>-974.3000000000002</v>
      </c>
      <c r="E85" s="17" t="n">
        <v>-851.04</v>
      </c>
      <c r="F85" s="17" t="n">
        <v>-899.62</v>
      </c>
      <c r="G85" s="17" t="n">
        <v>-683.0300000000001</v>
      </c>
      <c r="H85" s="17" t="n">
        <v>-779.1600000000002</v>
      </c>
      <c r="I85" s="17" t="n">
        <v>-713.29</v>
      </c>
      <c r="J85" s="17" t="n">
        <v>-768.41</v>
      </c>
      <c r="K85" s="17" t="n">
        <v>-1460.98</v>
      </c>
      <c r="L85" s="17" t="n">
        <v>-731.6600000000002</v>
      </c>
      <c r="M85" s="17" t="n">
        <v>-526.37</v>
      </c>
      <c r="N85" t="n">
        <v>-10212.23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Premises &amp; Admin</t>
        </is>
      </c>
      <c r="B86" s="17" t="n">
        <v>-3839.71</v>
      </c>
      <c r="C86" s="17" t="n">
        <v>-3929.89</v>
      </c>
      <c r="D86" s="17" t="n">
        <v>-4724.89</v>
      </c>
      <c r="E86" s="17" t="n">
        <v>-4153.71</v>
      </c>
      <c r="F86" s="17" t="n">
        <v>-3459.39</v>
      </c>
      <c r="G86" s="17" t="n">
        <v>-3503.869999999999</v>
      </c>
      <c r="H86" s="17" t="n">
        <v>-3650.799999999999</v>
      </c>
      <c r="I86" s="17" t="n">
        <v>-3433.55</v>
      </c>
      <c r="J86" s="17" t="n">
        <v>-2080.47</v>
      </c>
      <c r="K86" s="17" t="n">
        <v>-3155.98</v>
      </c>
      <c r="L86" s="17" t="n">
        <v>-3672.77</v>
      </c>
      <c r="M86" s="17" t="n">
        <v>-4511.69</v>
      </c>
      <c r="N86" t="n">
        <v>-44116.72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In-Direct - Overheads</t>
        </is>
      </c>
      <c r="B88" s="17" t="n">
        <v>-210.33</v>
      </c>
      <c r="C88" s="17" t="n">
        <v>-252.12</v>
      </c>
      <c r="D88" s="17" t="n">
        <v>-345.99</v>
      </c>
      <c r="E88" s="17" t="n">
        <v>-1290.48</v>
      </c>
      <c r="F88" s="17" t="n">
        <v>-245.01</v>
      </c>
      <c r="G88" s="17" t="n">
        <v>-314.84</v>
      </c>
      <c r="H88" s="17" t="n">
        <v>-283.51</v>
      </c>
      <c r="I88" s="17" t="n">
        <v>-733.2800000000001</v>
      </c>
      <c r="J88" s="17" t="n">
        <v>-171.42</v>
      </c>
      <c r="K88" s="17" t="n">
        <v>-331.6</v>
      </c>
      <c r="L88" s="17" t="n">
        <v>-479.85</v>
      </c>
      <c r="M88" s="17" t="n">
        <v>-1220.32</v>
      </c>
      <c r="N88" t="n">
        <v>-5878.75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 ht="15.75" customHeight="1">
      <c r="B89" s="66" t="n">
        <v>-178.7000000000003</v>
      </c>
      <c r="C89" s="66" t="n">
        <v>-151.9499999999977</v>
      </c>
      <c r="D89" s="66" t="n">
        <v>8494.030000000001</v>
      </c>
      <c r="E89" s="66" t="n">
        <v>345.3100000000009</v>
      </c>
      <c r="F89" s="66" t="n">
        <v>409.7899999999979</v>
      </c>
      <c r="G89" s="66" t="n">
        <v>-165.9799999999994</v>
      </c>
      <c r="H89" s="66" t="n">
        <v>2328.629999999999</v>
      </c>
      <c r="I89" s="66" t="n">
        <v>-8197.23</v>
      </c>
      <c r="J89" s="66" t="n">
        <v>-3464.919999999999</v>
      </c>
      <c r="K89" s="66" t="n">
        <v>-7069.340000000002</v>
      </c>
      <c r="L89" s="66" t="n">
        <v>-9604.030000000004</v>
      </c>
      <c r="M89" s="66" t="n">
        <v>-6258.379999999999</v>
      </c>
      <c r="N89" t="n">
        <v>-23512.77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  <c r="AI89" s="121" t="n">
        <v>0</v>
      </c>
      <c r="AJ89" s="121" t="n">
        <v>0</v>
      </c>
      <c r="AK89" s="121" t="n">
        <v>0</v>
      </c>
      <c r="AL89" s="121" t="n">
        <v>0</v>
      </c>
      <c r="AM89" s="121" t="n">
        <v>0</v>
      </c>
      <c r="AN89" s="121" t="n">
        <v>0</v>
      </c>
      <c r="AO89" s="144">
        <f>SUM(AC89:AH89)+SUM(AI89:AN89)</f>
        <v/>
      </c>
      <c r="AP89" s="139">
        <f>IF(AB89&lt;&gt;0,(AO89-AB89)/ABS(AB89),0)</f>
        <v/>
      </c>
    </row>
    <row r="90" ht="15.75" customHeight="1">
      <c r="B90" s="17" t="n">
        <v>1.364242052659392e-12</v>
      </c>
      <c r="C90" s="17" t="n">
        <v>-4.547473508864641e-13</v>
      </c>
      <c r="D90" s="17" t="n">
        <v>0</v>
      </c>
      <c r="E90" s="17" t="n">
        <v>0</v>
      </c>
      <c r="F90" s="17" t="n">
        <v>-2.273736754432321e-12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24092.96000000001</v>
      </c>
      <c r="N90" t="n">
        <v>24092.96000000001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-5.949999999998653</v>
      </c>
      <c r="C92" s="17" t="n">
        <v>-9.799999999999073</v>
      </c>
      <c r="D92" s="17" t="n">
        <v>-7.000000000001819</v>
      </c>
      <c r="E92" s="17" t="n">
        <v>-7.699999999998568</v>
      </c>
      <c r="F92" s="17" t="n">
        <v>-6.999999999998863</v>
      </c>
      <c r="G92" s="17" t="n">
        <v>-5.949999999998511</v>
      </c>
      <c r="H92" s="17" t="n">
        <v>-6.65000000000191</v>
      </c>
      <c r="I92" s="17" t="n">
        <v>-7.350000000000364</v>
      </c>
      <c r="J92" s="17" t="n">
        <v>75.11000000000058</v>
      </c>
      <c r="K92" s="17" t="n">
        <v>-5.250000000001819</v>
      </c>
      <c r="L92" s="17" t="n">
        <v>-3.500000000007276</v>
      </c>
      <c r="M92" s="17" t="n">
        <v>-24096.81</v>
      </c>
      <c r="N92" t="n">
        <v>-24087.85000000001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>
        <v>172.7500000000017</v>
      </c>
      <c r="C93" s="17" t="n">
        <v>142.1499999999986</v>
      </c>
      <c r="D93" s="17" t="n">
        <v>-8501.030000000002</v>
      </c>
      <c r="E93" s="17" t="n">
        <v>-353.0099999999994</v>
      </c>
      <c r="F93" s="17" t="n">
        <v>-416.7899999999968</v>
      </c>
      <c r="G93" s="17" t="n">
        <v>160.0300000000009</v>
      </c>
      <c r="H93" s="17" t="n">
        <v>-2335.280000000001</v>
      </c>
      <c r="I93" s="17" t="n">
        <v>8189.879999999999</v>
      </c>
      <c r="J93" s="17" t="n">
        <v>3540.03</v>
      </c>
      <c r="K93" s="17" t="n">
        <v>7064.09</v>
      </c>
      <c r="L93" s="17" t="n">
        <v>9600.529999999997</v>
      </c>
      <c r="M93" s="17" t="n">
        <v>-17838.43</v>
      </c>
      <c r="N93" t="n">
        <v>-575.0800000000023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</sheetData>
  <mergeCells count="1">
    <mergeCell ref="AI1:AQ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7" t="n"/>
      <c r="W1" s="87" t="n"/>
      <c r="X1" s="87" t="n"/>
      <c r="Y1" s="87" t="n"/>
      <c r="Z1" s="87" t="n"/>
      <c r="AA1" s="6" t="n"/>
      <c r="AB1" s="6" t="n"/>
      <c r="AC1" s="88" t="n">
        <v>2027</v>
      </c>
      <c r="AD1" s="87" t="inlineStr">
        <is>
          <t>NOT COMPLETED - STRETCHED FUNDING INCOMING- NEEDS REVIEW</t>
        </is>
      </c>
      <c r="AE1" s="87" t="n"/>
      <c r="AF1" s="87" t="n"/>
      <c r="AG1" s="87" t="n"/>
      <c r="AH1" s="87" t="n"/>
      <c r="AI1" s="114" t="inlineStr">
        <is>
          <t>2027 PLAN — Jul to Dec  |  Yellow = editable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6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2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2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2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7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2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543796.71</v>
      </c>
      <c r="P8" s="36" t="n">
        <v>507198.07</v>
      </c>
      <c r="Q8" s="36" t="n">
        <v>597272.4400000001</v>
      </c>
      <c r="R8" s="36" t="n">
        <v>659486.7699999999</v>
      </c>
      <c r="S8" s="36" t="n">
        <v>559947.2299999999</v>
      </c>
      <c r="T8" s="36" t="n">
        <v>611540.38</v>
      </c>
      <c r="U8" s="36" t="n">
        <v>762843.1600000001</v>
      </c>
      <c r="V8" s="37" t="n">
        <v>671325.5800000001</v>
      </c>
      <c r="W8" s="37" t="n">
        <v>471962.95</v>
      </c>
      <c r="X8" s="37" t="n">
        <v>460483.51</v>
      </c>
      <c r="Y8" s="37" t="n">
        <v>467058.45</v>
      </c>
      <c r="Z8" s="37" t="n">
        <v>642733.78</v>
      </c>
      <c r="AA8" s="35" t="n">
        <v>4242084.76</v>
      </c>
      <c r="AB8" s="35" t="n">
        <v>6955649.03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2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295756.54</v>
      </c>
      <c r="P9" s="36" t="n">
        <v>447984.4400000001</v>
      </c>
      <c r="Q9" s="36" t="n">
        <v>481127.5699999999</v>
      </c>
      <c r="R9" s="36" t="n">
        <v>368697.44</v>
      </c>
      <c r="S9" s="36" t="n">
        <v>366453.2500000001</v>
      </c>
      <c r="T9" s="36" t="n">
        <v>467950.14</v>
      </c>
      <c r="U9" s="36" t="n">
        <v>404602.7499999999</v>
      </c>
      <c r="V9" s="37" t="n">
        <v>0</v>
      </c>
      <c r="W9" s="37" t="n">
        <v>380670.8200000001</v>
      </c>
      <c r="X9" s="37" t="n">
        <v>443074.56</v>
      </c>
      <c r="Y9" s="37" t="n">
        <v>447422.36</v>
      </c>
      <c r="Z9" s="37" t="n">
        <v>221447</v>
      </c>
      <c r="AA9" s="35" t="n">
        <v>2832572.13</v>
      </c>
      <c r="AB9" s="35" t="n">
        <v>4325186.87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2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1231.37</v>
      </c>
      <c r="S10" s="36" t="n">
        <v>900</v>
      </c>
      <c r="T10" s="36" t="n">
        <v>1350</v>
      </c>
      <c r="U10" s="36" t="n">
        <v>1050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10363.67</v>
      </c>
      <c r="AB10" s="35" t="n">
        <v>10363.67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2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842751.25</v>
      </c>
      <c r="P11" s="43" t="n">
        <v>956082.5099999999</v>
      </c>
      <c r="Q11" s="43" t="n">
        <v>1080134.31</v>
      </c>
      <c r="R11" s="43" t="n">
        <v>1029415.58</v>
      </c>
      <c r="S11" s="43" t="n">
        <v>927300.4800000003</v>
      </c>
      <c r="T11" s="43" t="n">
        <v>1080840.52</v>
      </c>
      <c r="U11" s="43" t="n">
        <v>1168495.91</v>
      </c>
      <c r="V11" s="44" t="n">
        <v>671325.5800000001</v>
      </c>
      <c r="W11" s="44" t="n">
        <v>852633.77</v>
      </c>
      <c r="X11" s="44" t="n">
        <v>903558.0700000001</v>
      </c>
      <c r="Y11" s="44" t="n">
        <v>914480.8100000001</v>
      </c>
      <c r="Z11" s="44" t="n">
        <v>864180.78</v>
      </c>
      <c r="AA11" s="42" t="n">
        <v>7085020.559999998</v>
      </c>
      <c r="AB11" s="42" t="n">
        <v>11291199.57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7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3" t="n">
        <v>0</v>
      </c>
      <c r="AK13" s="133" t="n">
        <v>0</v>
      </c>
      <c r="AL13" s="133" t="n">
        <v>0</v>
      </c>
      <c r="AM13" s="133" t="n">
        <v>0</v>
      </c>
      <c r="AN13" s="133" t="n">
        <v>0</v>
      </c>
      <c r="AO13" s="150">
        <f>SUM(AC13:AH13)+SUM(AI13:AN13)</f>
        <v/>
      </c>
      <c r="AP13" s="139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7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9" t="n"/>
      <c r="R15" s="99" t="n"/>
      <c r="S15" s="99" t="n"/>
      <c r="T15" s="99" t="n"/>
      <c r="U15" s="99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2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461254.9</v>
      </c>
      <c r="P16" s="36" t="n">
        <v>448500.78</v>
      </c>
      <c r="Q16" s="36" t="n">
        <v>458163.45</v>
      </c>
      <c r="R16" s="36" t="n">
        <v>484406.4399999999</v>
      </c>
      <c r="S16" s="36" t="n">
        <v>492644.78</v>
      </c>
      <c r="T16" s="36" t="n">
        <v>494176.0200000001</v>
      </c>
      <c r="U16" s="36" t="n">
        <v>500334.39</v>
      </c>
      <c r="V16" s="37" t="n">
        <v>497245.78</v>
      </c>
      <c r="W16" s="37" t="n">
        <v>497245.78</v>
      </c>
      <c r="X16" s="37" t="n">
        <v>497245.78</v>
      </c>
      <c r="Y16" s="37" t="n">
        <v>497245.78</v>
      </c>
      <c r="Z16" s="37" t="n">
        <v>497245.78</v>
      </c>
      <c r="AA16" s="35" t="n">
        <v>3339480.76</v>
      </c>
      <c r="AB16" s="35" t="n">
        <v>5825709.66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2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49129.75999999999</v>
      </c>
      <c r="P17" s="36" t="n">
        <v>46475.82</v>
      </c>
      <c r="Q17" s="36" t="n">
        <v>48054.16</v>
      </c>
      <c r="R17" s="36" t="n">
        <v>51118.2</v>
      </c>
      <c r="S17" s="36" t="n">
        <v>50882.99</v>
      </c>
      <c r="T17" s="36" t="n">
        <v>51058.53</v>
      </c>
      <c r="U17" s="36" t="n">
        <v>52611.64</v>
      </c>
      <c r="V17" s="37" t="n">
        <v>52200.67000000001</v>
      </c>
      <c r="W17" s="37" t="n">
        <v>52200.67000000001</v>
      </c>
      <c r="X17" s="37" t="n">
        <v>52200.67000000001</v>
      </c>
      <c r="Y17" s="37" t="n">
        <v>52200.67000000001</v>
      </c>
      <c r="Z17" s="37" t="n">
        <v>52200.67000000001</v>
      </c>
      <c r="AA17" s="35" t="n">
        <v>349331.1</v>
      </c>
      <c r="AB17" s="35" t="n">
        <v>610334.4500000001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2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8442.289999999999</v>
      </c>
      <c r="P18" s="36" t="n">
        <v>7788.17</v>
      </c>
      <c r="Q18" s="36" t="n">
        <v>7749.8</v>
      </c>
      <c r="R18" s="36" t="n">
        <v>8459.630000000001</v>
      </c>
      <c r="S18" s="36" t="n">
        <v>8531.470000000001</v>
      </c>
      <c r="T18" s="36" t="n">
        <v>8565.080000000002</v>
      </c>
      <c r="U18" s="36" t="n">
        <v>8728.65</v>
      </c>
      <c r="V18" s="37" t="n">
        <v>8786.98</v>
      </c>
      <c r="W18" s="37" t="n">
        <v>8786.98</v>
      </c>
      <c r="X18" s="37" t="n">
        <v>8786.98</v>
      </c>
      <c r="Y18" s="37" t="n">
        <v>8786.98</v>
      </c>
      <c r="Z18" s="37" t="n">
        <v>8786.98</v>
      </c>
      <c r="AA18" s="35" t="n">
        <v>58265.09</v>
      </c>
      <c r="AB18" s="35" t="n">
        <v>102199.99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2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487.4300000000001</v>
      </c>
      <c r="R19" s="36" t="n">
        <v>998.3099999999999</v>
      </c>
      <c r="S19" s="36" t="n">
        <v>806.8900000000001</v>
      </c>
      <c r="T19" s="36" t="n">
        <v>1606.83</v>
      </c>
      <c r="U19" s="36" t="n">
        <v>697.17</v>
      </c>
      <c r="V19" s="37" t="n">
        <v>1094.34</v>
      </c>
      <c r="W19" s="37" t="n">
        <v>1094.34</v>
      </c>
      <c r="X19" s="37" t="n">
        <v>1094.34</v>
      </c>
      <c r="Y19" s="37" t="n">
        <v>1094.34</v>
      </c>
      <c r="Z19" s="37" t="n">
        <v>1094.34</v>
      </c>
      <c r="AA19" s="35" t="n">
        <v>6676.660000000001</v>
      </c>
      <c r="AB19" s="35" t="n">
        <v>12148.36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2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3518.3</v>
      </c>
      <c r="P20" s="36" t="n">
        <v>4612.39</v>
      </c>
      <c r="Q20" s="36" t="n">
        <v>3762.65</v>
      </c>
      <c r="R20" s="36" t="n">
        <v>7678.139999999999</v>
      </c>
      <c r="S20" s="36" t="n">
        <v>1470.38</v>
      </c>
      <c r="T20" s="36" t="n">
        <v>1735.11</v>
      </c>
      <c r="U20" s="36" t="n">
        <v>3327.14</v>
      </c>
      <c r="V20" s="37" t="n">
        <v>1873</v>
      </c>
      <c r="W20" s="37" t="n">
        <v>1873</v>
      </c>
      <c r="X20" s="37" t="n">
        <v>1873</v>
      </c>
      <c r="Y20" s="37" t="n">
        <v>1873</v>
      </c>
      <c r="Z20" s="37" t="n">
        <v>1873</v>
      </c>
      <c r="AA20" s="35" t="n">
        <v>26104.11</v>
      </c>
      <c r="AB20" s="35" t="n">
        <v>35469.11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2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3021.75</v>
      </c>
      <c r="P21" s="36" t="n">
        <v>2675.65</v>
      </c>
      <c r="Q21" s="36" t="n">
        <v>3419.17</v>
      </c>
      <c r="R21" s="36" t="n">
        <v>3178.21</v>
      </c>
      <c r="S21" s="36" t="n">
        <v>2623.07</v>
      </c>
      <c r="T21" s="36" t="n">
        <v>3261.92</v>
      </c>
      <c r="U21" s="36" t="n">
        <v>3486.16</v>
      </c>
      <c r="V21" s="37" t="n">
        <v>2213.69</v>
      </c>
      <c r="W21" s="37" t="n">
        <v>2213.69</v>
      </c>
      <c r="X21" s="37" t="n">
        <v>2213.69</v>
      </c>
      <c r="Y21" s="37" t="n">
        <v>2213.69</v>
      </c>
      <c r="Z21" s="37" t="n">
        <v>2213.69</v>
      </c>
      <c r="AA21" s="35" t="n">
        <v>21665.93</v>
      </c>
      <c r="AB21" s="35" t="n">
        <v>32734.37999999999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2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4118.92</v>
      </c>
      <c r="P22" s="36" t="n">
        <v>9460.450000000001</v>
      </c>
      <c r="Q22" s="36" t="n">
        <v>2684.43</v>
      </c>
      <c r="R22" s="36" t="n">
        <v>4340.82</v>
      </c>
      <c r="S22" s="36" t="n">
        <v>6417.92</v>
      </c>
      <c r="T22" s="36" t="n">
        <v>5274.6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37344.93</v>
      </c>
      <c r="AB22" s="35" t="n">
        <v>55344.93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2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854.54</v>
      </c>
      <c r="P23" s="36" t="n">
        <v>828.78</v>
      </c>
      <c r="Q23" s="36" t="n">
        <v>504.74</v>
      </c>
      <c r="R23" s="36" t="n">
        <v>477.73</v>
      </c>
      <c r="S23" s="36" t="n">
        <v>1228.74</v>
      </c>
      <c r="T23" s="36" t="n">
        <v>535.1800000000001</v>
      </c>
      <c r="U23" s="36" t="n">
        <v>1112.91</v>
      </c>
      <c r="V23" s="37" t="n">
        <v>922</v>
      </c>
      <c r="W23" s="37" t="n">
        <v>922</v>
      </c>
      <c r="X23" s="37" t="n">
        <v>922</v>
      </c>
      <c r="Y23" s="37" t="n">
        <v>922</v>
      </c>
      <c r="Z23" s="37" t="n">
        <v>922</v>
      </c>
      <c r="AA23" s="35" t="n">
        <v>5542.62</v>
      </c>
      <c r="AB23" s="35" t="n">
        <v>10152.62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2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2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>
        <v>6000273.36</v>
      </c>
      <c r="O25" s="43" t="n">
        <v>532736.47</v>
      </c>
      <c r="P25" s="43" t="n">
        <v>521312.0700000001</v>
      </c>
      <c r="Q25" s="43" t="n">
        <v>524825.83</v>
      </c>
      <c r="R25" s="43" t="n">
        <v>560657.4800000001</v>
      </c>
      <c r="S25" s="43" t="n">
        <v>564606.2400000001</v>
      </c>
      <c r="T25" s="43" t="n">
        <v>566213.2699999999</v>
      </c>
      <c r="U25" s="43" t="n">
        <v>575345.85</v>
      </c>
      <c r="V25" s="44" t="n">
        <v>567936.4600000001</v>
      </c>
      <c r="W25" s="44" t="n">
        <v>567936.4600000001</v>
      </c>
      <c r="X25" s="44" t="n">
        <v>567936.4600000001</v>
      </c>
      <c r="Y25" s="44" t="n">
        <v>567936.4600000001</v>
      </c>
      <c r="Z25" s="44" t="n">
        <v>567936.4600000001</v>
      </c>
      <c r="AA25" s="42" t="n">
        <v>3845697.21</v>
      </c>
      <c r="AB25" s="42" t="n">
        <v>6685379.509999999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7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21969.04</v>
      </c>
      <c r="P27" s="36" t="n">
        <v>25548.56</v>
      </c>
      <c r="Q27" s="36" t="n">
        <v>24689.83</v>
      </c>
      <c r="R27" s="36" t="n">
        <v>25202.21999999999</v>
      </c>
      <c r="S27" s="36" t="n">
        <v>25207.36</v>
      </c>
      <c r="T27" s="36" t="n">
        <v>26364.88</v>
      </c>
      <c r="U27" s="36" t="n">
        <v>27481.35999999999</v>
      </c>
      <c r="V27" s="37" t="n"/>
      <c r="W27" s="37" t="n"/>
      <c r="X27" s="37" t="n"/>
      <c r="Y27" s="37" t="n"/>
      <c r="Z27" s="37" t="n"/>
      <c r="AA27" s="35" t="n">
        <v>176463.25</v>
      </c>
      <c r="AB27" s="35" t="n">
        <v>176463.25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2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1793</v>
      </c>
      <c r="P28" s="36" t="n">
        <v>2330.77</v>
      </c>
      <c r="Q28" s="36" t="n">
        <v>3785.290000000001</v>
      </c>
      <c r="R28" s="36" t="n">
        <v>1987.32</v>
      </c>
      <c r="S28" s="36" t="n">
        <v>2768.419999999999</v>
      </c>
      <c r="T28" s="36" t="n">
        <v>5192.41</v>
      </c>
      <c r="U28" s="36" t="n">
        <v>-1079.73</v>
      </c>
      <c r="V28" s="37" t="n">
        <v>1069</v>
      </c>
      <c r="W28" s="37" t="n">
        <v>1073</v>
      </c>
      <c r="X28" s="37" t="n">
        <v>1077</v>
      </c>
      <c r="Y28" s="37" t="n">
        <v>1081</v>
      </c>
      <c r="Z28" s="37" t="n">
        <v>1085</v>
      </c>
      <c r="AA28" s="35" t="n">
        <v>16777.48</v>
      </c>
      <c r="AB28" s="35" t="n">
        <v>22162.48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2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2255.569999999999</v>
      </c>
      <c r="R29" s="36" t="n">
        <v>1011.52</v>
      </c>
      <c r="S29" s="36" t="n">
        <v>965.8800000000002</v>
      </c>
      <c r="T29" s="36" t="n">
        <v>2310.63</v>
      </c>
      <c r="U29" s="36" t="n">
        <v>1446.8</v>
      </c>
      <c r="V29" s="37" t="n"/>
      <c r="W29" s="37" t="n"/>
      <c r="X29" s="37" t="n"/>
      <c r="Y29" s="37" t="n"/>
      <c r="Z29" s="37" t="n"/>
      <c r="AA29" s="35" t="n">
        <v>10571.48</v>
      </c>
      <c r="AB29" s="35" t="n">
        <v>10571.48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2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733.6099999999999</v>
      </c>
      <c r="P30" s="36" t="n">
        <v>757.1499999999999</v>
      </c>
      <c r="Q30" s="36" t="n">
        <v>497.83</v>
      </c>
      <c r="R30" s="36" t="n">
        <v>1011.05</v>
      </c>
      <c r="S30" s="36" t="n">
        <v>523.9399999999999</v>
      </c>
      <c r="T30" s="36" t="n">
        <v>708.6100000000001</v>
      </c>
      <c r="U30" s="36" t="n">
        <v>497.44</v>
      </c>
      <c r="V30" s="37" t="n">
        <v>1561</v>
      </c>
      <c r="W30" s="37" t="n">
        <v>1561</v>
      </c>
      <c r="X30" s="37" t="n">
        <v>1561</v>
      </c>
      <c r="Y30" s="37" t="n">
        <v>1561</v>
      </c>
      <c r="Z30" s="37" t="n">
        <v>1561</v>
      </c>
      <c r="AA30" s="35" t="n">
        <v>4729.630000000001</v>
      </c>
      <c r="AB30" s="35" t="n">
        <v>12534.63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2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1127.34</v>
      </c>
      <c r="P31" s="36" t="n">
        <v>886.8700000000001</v>
      </c>
      <c r="Q31" s="36" t="n">
        <v>962.62</v>
      </c>
      <c r="R31" s="36" t="n">
        <v>1566.97</v>
      </c>
      <c r="S31" s="36" t="n">
        <v>1826.29</v>
      </c>
      <c r="T31" s="36" t="n">
        <v>1751.07</v>
      </c>
      <c r="U31" s="36" t="n">
        <v>1100.66</v>
      </c>
      <c r="V31" s="37" t="n">
        <v>1003</v>
      </c>
      <c r="W31" s="37" t="n">
        <v>1003</v>
      </c>
      <c r="X31" s="37" t="n">
        <v>1003</v>
      </c>
      <c r="Y31" s="37" t="n">
        <v>1003</v>
      </c>
      <c r="Z31" s="37" t="n">
        <v>1003</v>
      </c>
      <c r="AA31" s="35" t="n">
        <v>9221.82</v>
      </c>
      <c r="AB31" s="35" t="n">
        <v>14236.82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2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3897.52</v>
      </c>
      <c r="P32" s="36" t="n">
        <v>4138.77</v>
      </c>
      <c r="Q32" s="36" t="n">
        <v>4159.339999999999</v>
      </c>
      <c r="R32" s="36" t="n">
        <v>5510.79</v>
      </c>
      <c r="S32" s="36" t="n">
        <v>5639.54</v>
      </c>
      <c r="T32" s="36" t="n">
        <v>4668.17</v>
      </c>
      <c r="U32" s="36" t="n">
        <v>4084.92</v>
      </c>
      <c r="V32" s="37" t="n"/>
      <c r="W32" s="37" t="n"/>
      <c r="X32" s="37" t="n"/>
      <c r="Y32" s="37" t="n"/>
      <c r="Z32" s="37" t="n"/>
      <c r="AA32" s="35" t="n">
        <v>32099.05</v>
      </c>
      <c r="AB32" s="35" t="n">
        <v>32099.05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2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16</v>
      </c>
      <c r="W33" s="37" t="n">
        <v>20</v>
      </c>
      <c r="X33" s="37" t="n">
        <v>24</v>
      </c>
      <c r="Y33" s="37" t="n">
        <v>28</v>
      </c>
      <c r="Z33" s="37" t="n">
        <v>32</v>
      </c>
      <c r="AA33" s="35" t="n">
        <v>0</v>
      </c>
      <c r="AB33" s="35" t="n">
        <v>120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2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30626.13</v>
      </c>
      <c r="P34" s="43" t="n">
        <v>35137.57999999999</v>
      </c>
      <c r="Q34" s="43" t="n">
        <v>36350.48</v>
      </c>
      <c r="R34" s="43" t="n">
        <v>36289.87</v>
      </c>
      <c r="S34" s="43" t="n">
        <v>36931.43</v>
      </c>
      <c r="T34" s="43" t="n">
        <v>40995.77</v>
      </c>
      <c r="U34" s="43" t="n">
        <v>33531.45</v>
      </c>
      <c r="V34" s="44" t="n">
        <v>3649</v>
      </c>
      <c r="W34" s="44" t="n">
        <v>3657</v>
      </c>
      <c r="X34" s="44" t="n">
        <v>3665</v>
      </c>
      <c r="Y34" s="44" t="n">
        <v>3673</v>
      </c>
      <c r="Z34" s="44" t="n">
        <v>3681</v>
      </c>
      <c r="AA34" s="42" t="n">
        <v>249862.71</v>
      </c>
      <c r="AB34" s="42" t="n">
        <v>268187.71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7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33788.07000000001</v>
      </c>
      <c r="AB36" s="35" t="n">
        <v>57018.07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2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25222.89999999999</v>
      </c>
      <c r="P37" s="36" t="n">
        <v>25222.82</v>
      </c>
      <c r="Q37" s="36" t="n">
        <v>25185.89</v>
      </c>
      <c r="R37" s="36" t="n">
        <v>25771.98</v>
      </c>
      <c r="S37" s="36" t="n">
        <v>25771.98</v>
      </c>
      <c r="T37" s="36" t="n">
        <v>26656.98</v>
      </c>
      <c r="U37" s="36" t="n">
        <v>24504.72</v>
      </c>
      <c r="V37" s="37" t="n">
        <v>25648.675</v>
      </c>
      <c r="W37" s="37" t="n">
        <v>25648.675</v>
      </c>
      <c r="X37" s="37" t="n">
        <v>25648.675</v>
      </c>
      <c r="Y37" s="37" t="n">
        <v>25648.675</v>
      </c>
      <c r="Z37" s="37" t="n">
        <v>25648.675</v>
      </c>
      <c r="AA37" s="35" t="n">
        <v>178337.27</v>
      </c>
      <c r="AB37" s="35" t="n">
        <v>306580.645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2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27406</v>
      </c>
      <c r="P38" s="36" t="n">
        <v>30549.71000000001</v>
      </c>
      <c r="Q38" s="36" t="n">
        <v>24465.68</v>
      </c>
      <c r="R38" s="36" t="n">
        <v>21717.33</v>
      </c>
      <c r="S38" s="36" t="n">
        <v>15878.96</v>
      </c>
      <c r="T38" s="36" t="n">
        <v>14238.91</v>
      </c>
      <c r="U38" s="36" t="n">
        <v>10447.22</v>
      </c>
      <c r="V38" s="37" t="n">
        <v>18452</v>
      </c>
      <c r="W38" s="37" t="n">
        <v>18452</v>
      </c>
      <c r="X38" s="37" t="n">
        <v>18452</v>
      </c>
      <c r="Y38" s="37" t="n">
        <v>18452</v>
      </c>
      <c r="Z38" s="37" t="n">
        <v>18452</v>
      </c>
      <c r="AA38" s="35" t="n">
        <v>144703.81</v>
      </c>
      <c r="AB38" s="35" t="n">
        <v>236963.81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2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4359.46</v>
      </c>
      <c r="P39" s="36" t="n">
        <v>6480.23</v>
      </c>
      <c r="Q39" s="36" t="n">
        <v>7688.39</v>
      </c>
      <c r="R39" s="36" t="n">
        <v>3403.69</v>
      </c>
      <c r="S39" s="36" t="n">
        <v>5268.43</v>
      </c>
      <c r="T39" s="36" t="n">
        <v>5061.84</v>
      </c>
      <c r="U39" s="36" t="n">
        <v>8394.089999999998</v>
      </c>
      <c r="V39" s="37" t="n">
        <v>11500</v>
      </c>
      <c r="W39" s="37" t="n">
        <v>14000</v>
      </c>
      <c r="X39" s="37" t="n">
        <v>9000</v>
      </c>
      <c r="Y39" s="37" t="n">
        <v>6000</v>
      </c>
      <c r="Z39" s="37" t="n">
        <v>4000</v>
      </c>
      <c r="AA39" s="35" t="n">
        <v>40656.13</v>
      </c>
      <c r="AB39" s="35" t="n">
        <v>85156.12999999999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2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8896.219999999999</v>
      </c>
      <c r="P40" s="36" t="n">
        <v>13720.62</v>
      </c>
      <c r="Q40" s="36" t="n">
        <v>7493.51</v>
      </c>
      <c r="R40" s="36" t="n">
        <v>8148.19</v>
      </c>
      <c r="S40" s="36" t="n">
        <v>8471.190000000001</v>
      </c>
      <c r="T40" s="36" t="n">
        <v>8879.49</v>
      </c>
      <c r="U40" s="36" t="n">
        <v>11246.26</v>
      </c>
      <c r="V40" s="37" t="n">
        <v>9977</v>
      </c>
      <c r="W40" s="37" t="n">
        <v>9977</v>
      </c>
      <c r="X40" s="37" t="n">
        <v>9977</v>
      </c>
      <c r="Y40" s="37" t="n">
        <v>9977</v>
      </c>
      <c r="Z40" s="37" t="n">
        <v>9977</v>
      </c>
      <c r="AA40" s="35" t="n">
        <v>66855.48000000001</v>
      </c>
      <c r="AB40" s="35" t="n">
        <v>116740.48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2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6629.42</v>
      </c>
      <c r="P41" s="36" t="n">
        <v>6830.12</v>
      </c>
      <c r="Q41" s="36" t="n">
        <v>8122.139999999999</v>
      </c>
      <c r="R41" s="36" t="n">
        <v>8684.49</v>
      </c>
      <c r="S41" s="36" t="n">
        <v>7626.929999999998</v>
      </c>
      <c r="T41" s="36" t="n">
        <v>4998.649999999999</v>
      </c>
      <c r="U41" s="36" t="n">
        <v>9640.140000000001</v>
      </c>
      <c r="V41" s="37" t="n">
        <v>6938</v>
      </c>
      <c r="W41" s="37" t="n">
        <v>6938</v>
      </c>
      <c r="X41" s="37" t="n">
        <v>6938</v>
      </c>
      <c r="Y41" s="37" t="n">
        <v>6938</v>
      </c>
      <c r="Z41" s="37" t="n">
        <v>6938</v>
      </c>
      <c r="AA41" s="35" t="n">
        <v>52531.89</v>
      </c>
      <c r="AB41" s="35" t="n">
        <v>87221.88999999998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2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16373.5</v>
      </c>
      <c r="P42" s="36" t="n">
        <v>10840.48</v>
      </c>
      <c r="Q42" s="36" t="n">
        <v>12992.6</v>
      </c>
      <c r="R42" s="36" t="n">
        <v>14223.9</v>
      </c>
      <c r="S42" s="36" t="n">
        <v>16592.69</v>
      </c>
      <c r="T42" s="36" t="n">
        <v>14617.07</v>
      </c>
      <c r="U42" s="36" t="n">
        <v>16865.86</v>
      </c>
      <c r="V42" s="37" t="n">
        <v>456</v>
      </c>
      <c r="W42" s="37" t="n">
        <v>456</v>
      </c>
      <c r="X42" s="37" t="n">
        <v>456</v>
      </c>
      <c r="Y42" s="37" t="n">
        <v>456</v>
      </c>
      <c r="Z42" s="37" t="n">
        <v>456</v>
      </c>
      <c r="AA42" s="35" t="n">
        <v>102506.1</v>
      </c>
      <c r="AB42" s="35" t="n">
        <v>104786.1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2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714.59</v>
      </c>
      <c r="P43" s="36" t="n">
        <v>912.6100000000001</v>
      </c>
      <c r="Q43" s="36" t="n">
        <v>1919.66</v>
      </c>
      <c r="R43" s="36" t="n">
        <v>1909.28</v>
      </c>
      <c r="S43" s="36" t="n">
        <v>1186.72</v>
      </c>
      <c r="T43" s="36" t="n">
        <v>843.78</v>
      </c>
      <c r="U43" s="36" t="n">
        <v>178.99</v>
      </c>
      <c r="V43" s="37" t="n">
        <v>3663</v>
      </c>
      <c r="W43" s="37" t="n">
        <v>3663</v>
      </c>
      <c r="X43" s="37" t="n">
        <v>8663</v>
      </c>
      <c r="Y43" s="37" t="n">
        <v>3663</v>
      </c>
      <c r="Z43" s="37" t="n">
        <v>3663</v>
      </c>
      <c r="AA43" s="35" t="n">
        <v>7665.63</v>
      </c>
      <c r="AB43" s="35" t="n">
        <v>30980.63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2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-580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2515.44</v>
      </c>
      <c r="AB44" s="35" t="n">
        <v>2515.44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2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2804.52</v>
      </c>
      <c r="P45" s="36" t="n">
        <v>2784.44</v>
      </c>
      <c r="Q45" s="36" t="n">
        <v>3346.53</v>
      </c>
      <c r="R45" s="36" t="n">
        <v>3789.82</v>
      </c>
      <c r="S45" s="36" t="n">
        <v>2692.34</v>
      </c>
      <c r="T45" s="36" t="n">
        <v>9505.280000000001</v>
      </c>
      <c r="U45" s="36" t="n">
        <v>2764.25</v>
      </c>
      <c r="V45" s="37" t="n">
        <v>4144</v>
      </c>
      <c r="W45" s="37" t="n">
        <v>4144</v>
      </c>
      <c r="X45" s="37" t="n">
        <v>4144</v>
      </c>
      <c r="Y45" s="37" t="n">
        <v>4144</v>
      </c>
      <c r="Z45" s="37" t="n">
        <v>4144</v>
      </c>
      <c r="AA45" s="35" t="n">
        <v>27687.18</v>
      </c>
      <c r="AB45" s="35" t="n">
        <v>48407.18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2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241.04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289.01</v>
      </c>
      <c r="AB46" s="35" t="n">
        <v>289.01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2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>
        <v>1156028.5</v>
      </c>
      <c r="O47" s="43" t="n">
        <v>97732.68000000001</v>
      </c>
      <c r="P47" s="43" t="n">
        <v>102418.85</v>
      </c>
      <c r="Q47" s="43" t="n">
        <v>95280.22</v>
      </c>
      <c r="R47" s="43" t="n">
        <v>92811.95999999999</v>
      </c>
      <c r="S47" s="43" t="n">
        <v>88591.05000000002</v>
      </c>
      <c r="T47" s="43" t="n">
        <v>89867.84000000001</v>
      </c>
      <c r="U47" s="43" t="n">
        <v>90833.40999999999</v>
      </c>
      <c r="V47" s="44" t="n">
        <v>85424.675</v>
      </c>
      <c r="W47" s="44" t="n">
        <v>87924.675</v>
      </c>
      <c r="X47" s="44" t="n">
        <v>87924.675</v>
      </c>
      <c r="Y47" s="44" t="n">
        <v>79924.675</v>
      </c>
      <c r="Z47" s="44" t="n">
        <v>77924.675</v>
      </c>
      <c r="AA47" s="42" t="n">
        <v>657536.0100000001</v>
      </c>
      <c r="AB47" s="42" t="n">
        <v>1076659.385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0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 ht="15.75" customHeight="1">
      <c r="A48" s="100" t="inlineStr">
        <is>
          <t>Total Direct Costs</t>
        </is>
      </c>
      <c r="B48" s="101" t="n">
        <v>593308.08</v>
      </c>
      <c r="C48" s="101" t="n">
        <v>601457.04</v>
      </c>
      <c r="D48" s="101" t="n">
        <v>595179.59</v>
      </c>
      <c r="E48" s="101" t="n">
        <v>657683.8300000001</v>
      </c>
      <c r="F48" s="101" t="n">
        <v>657881.76</v>
      </c>
      <c r="G48" s="101" t="n">
        <v>641450.24</v>
      </c>
      <c r="H48" s="101" t="n">
        <v>670848.8300000001</v>
      </c>
      <c r="I48" s="101" t="n">
        <v>623265.5700000001</v>
      </c>
      <c r="J48" s="101" t="n">
        <v>643907.0899999999</v>
      </c>
      <c r="K48" s="101" t="n">
        <v>658803.66</v>
      </c>
      <c r="L48" s="101" t="n">
        <v>623280.2899999999</v>
      </c>
      <c r="M48" s="101" t="n">
        <v>631531.24</v>
      </c>
      <c r="N48" s="42" t="n">
        <v>7598597.22</v>
      </c>
      <c r="O48" s="102" t="n">
        <v>661095.2799999999</v>
      </c>
      <c r="P48" s="102" t="n">
        <v>658868.5000000002</v>
      </c>
      <c r="Q48" s="102" t="n">
        <v>656456.53</v>
      </c>
      <c r="R48" s="102" t="n">
        <v>689759.3099999999</v>
      </c>
      <c r="S48" s="102" t="n">
        <v>690128.7199999999</v>
      </c>
      <c r="T48" s="102" t="n">
        <v>697076.8799999999</v>
      </c>
      <c r="U48" s="102" t="n">
        <v>699710.7100000001</v>
      </c>
      <c r="V48" s="103" t="n">
        <v>657010.135</v>
      </c>
      <c r="W48" s="103" t="n">
        <v>659518.135</v>
      </c>
      <c r="X48" s="103" t="n">
        <v>659526.135</v>
      </c>
      <c r="Y48" s="103" t="n">
        <v>651534.135</v>
      </c>
      <c r="Z48" s="103" t="n">
        <v>649542.135</v>
      </c>
      <c r="AA48" s="42" t="n">
        <v>4753095.93</v>
      </c>
      <c r="AB48" s="42" t="n">
        <v>8030226.605</v>
      </c>
      <c r="AC48" s="103" t="n"/>
      <c r="AD48" s="103" t="n"/>
      <c r="AE48" s="103" t="n"/>
      <c r="AF48" s="103" t="n"/>
      <c r="AG48" s="103" t="n"/>
      <c r="AH48" s="103" t="n"/>
      <c r="AI48" s="126" t="n">
        <v>0</v>
      </c>
      <c r="AJ48" s="151" t="n">
        <v>0</v>
      </c>
      <c r="AK48" s="151" t="n">
        <v>0</v>
      </c>
      <c r="AL48" s="151" t="n">
        <v>0</v>
      </c>
      <c r="AM48" s="151" t="n">
        <v>0</v>
      </c>
      <c r="AN48" s="126" t="n">
        <v>0</v>
      </c>
      <c r="AO48" s="131">
        <f>SUM(AC48:AH48)+SUM(AI48:AN48)</f>
        <v/>
      </c>
      <c r="AP48" s="132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>
        <v>0</v>
      </c>
      <c r="AB49" s="104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2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>
        <v>3773470.97</v>
      </c>
      <c r="O50" s="54" t="n">
        <v>181655.9700000001</v>
      </c>
      <c r="P50" s="54" t="n">
        <v>297214.01</v>
      </c>
      <c r="Q50" s="54" t="n">
        <v>423677.7799999999</v>
      </c>
      <c r="R50" s="54" t="n">
        <v>339656.27</v>
      </c>
      <c r="S50" s="54" t="n">
        <v>237171.76</v>
      </c>
      <c r="T50" s="54" t="n">
        <v>383763.6400000001</v>
      </c>
      <c r="U50" s="54" t="n">
        <v>468785.2000000001</v>
      </c>
      <c r="V50" s="54" t="n">
        <v>14315.44500000001</v>
      </c>
      <c r="W50" s="54" t="n">
        <v>193115.635</v>
      </c>
      <c r="X50" s="54" t="n">
        <v>244031.935</v>
      </c>
      <c r="Y50" s="54" t="n">
        <v>262946.6750000001</v>
      </c>
      <c r="Z50" s="54" t="n">
        <v>214638.645</v>
      </c>
      <c r="AA50" s="54" t="n">
        <v>2331924.629999999</v>
      </c>
      <c r="AB50" s="105" t="n">
        <v>3260972.965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7" t="n">
        <v>0</v>
      </c>
      <c r="AK50" s="127" t="n">
        <v>0</v>
      </c>
      <c r="AL50" s="127" t="n">
        <v>0</v>
      </c>
      <c r="AM50" s="127" t="n">
        <v>0</v>
      </c>
      <c r="AN50" s="126" t="n">
        <v>0</v>
      </c>
      <c r="AO50" s="152">
        <f>SUM(AC50:AH50)+SUM(AI50:AN50)</f>
        <v/>
      </c>
      <c r="AP50" s="125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2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2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107" t="n">
        <v>398439</v>
      </c>
      <c r="AA53" s="35" t="n">
        <v>861294.89</v>
      </c>
      <c r="AB53" s="35" t="n">
        <v>1331050.89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2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2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2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2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124.6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>
        <v>51</v>
      </c>
      <c r="AA57" s="35" t="n">
        <v>1087.04</v>
      </c>
      <c r="AB57" s="35" t="n">
        <v>1087.04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2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148.05</v>
      </c>
      <c r="P58" s="36" t="n">
        <v>148.05</v>
      </c>
      <c r="Q58" s="36" t="n">
        <v>43048.05</v>
      </c>
      <c r="R58" s="36" t="n">
        <v>9628.049999999999</v>
      </c>
      <c r="S58" s="36" t="n">
        <v>148.05</v>
      </c>
      <c r="T58" s="36" t="n">
        <v>148.05</v>
      </c>
      <c r="U58" s="36" t="n">
        <v>398.25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53666.55</v>
      </c>
      <c r="AB58" s="35" t="n">
        <v>85066.54999999999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2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7499.030000000001</v>
      </c>
      <c r="P59" s="36" t="n">
        <v>6537.090000000001</v>
      </c>
      <c r="Q59" s="36" t="n">
        <v>6537.090000000001</v>
      </c>
      <c r="R59" s="36" t="n">
        <v>6574.890000000001</v>
      </c>
      <c r="S59" s="36" t="n">
        <v>6614.830000000001</v>
      </c>
      <c r="T59" s="36" t="n">
        <v>18170.97</v>
      </c>
      <c r="U59" s="36" t="n">
        <v>7884.020000000001</v>
      </c>
      <c r="V59" s="37" t="n">
        <v>6295.8</v>
      </c>
      <c r="W59" s="37" t="n">
        <v>6295.8</v>
      </c>
      <c r="X59" s="37" t="n">
        <v>6295.8</v>
      </c>
      <c r="Y59" s="37" t="n">
        <v>6295.8</v>
      </c>
      <c r="Z59" s="37" t="n">
        <v>6295.8</v>
      </c>
      <c r="AA59" s="35" t="n">
        <v>59817.92</v>
      </c>
      <c r="AB59" s="35" t="n">
        <v>91296.91999999998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2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2996.24</v>
      </c>
      <c r="P60" s="36" t="n">
        <v>2807.99</v>
      </c>
      <c r="Q60" s="36" t="n">
        <v>3215.75</v>
      </c>
      <c r="R60" s="36" t="n">
        <v>4283.410000000001</v>
      </c>
      <c r="S60" s="36" t="n">
        <v>2887.62</v>
      </c>
      <c r="T60" s="36" t="n">
        <v>4548.26</v>
      </c>
      <c r="U60" s="36" t="n">
        <v>2790.17</v>
      </c>
      <c r="V60" s="37" t="n">
        <v>2479.6</v>
      </c>
      <c r="W60" s="37" t="n">
        <v>2479.6</v>
      </c>
      <c r="X60" s="37" t="n">
        <v>2479.6</v>
      </c>
      <c r="Y60" s="37" t="n">
        <v>2479.6</v>
      </c>
      <c r="Z60" s="37" t="n">
        <v>2479.6</v>
      </c>
      <c r="AA60" s="35" t="n">
        <v>23529.44</v>
      </c>
      <c r="AB60" s="35" t="n">
        <v>35927.44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2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2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3259.92</v>
      </c>
      <c r="P62" s="36" t="n">
        <v>1651.34</v>
      </c>
      <c r="Q62" s="36" t="n">
        <v>1093.48</v>
      </c>
      <c r="R62" s="36" t="n">
        <v>1525.73</v>
      </c>
      <c r="S62" s="36" t="n">
        <v>1504.33</v>
      </c>
      <c r="T62" s="36" t="n">
        <v>2337.35</v>
      </c>
      <c r="U62" s="36" t="n">
        <v>2821.37</v>
      </c>
      <c r="V62" s="37" t="n">
        <v>1100</v>
      </c>
      <c r="W62" s="37" t="n">
        <v>1100</v>
      </c>
      <c r="X62" s="37" t="n">
        <v>1100</v>
      </c>
      <c r="Y62" s="37" t="n">
        <v>1100</v>
      </c>
      <c r="Z62" s="37" t="n">
        <v>1100</v>
      </c>
      <c r="AA62" s="35" t="n">
        <v>14193.52</v>
      </c>
      <c r="AB62" s="35" t="n">
        <v>19693.52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2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2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7241.4</v>
      </c>
      <c r="P64" s="36" t="n">
        <v>7898.049999999999</v>
      </c>
      <c r="Q64" s="36" t="n">
        <v>7898.049999999999</v>
      </c>
      <c r="R64" s="36" t="n">
        <v>7898.040000000001</v>
      </c>
      <c r="S64" s="36" t="n">
        <v>7898.040000000001</v>
      </c>
      <c r="T64" s="36" t="n">
        <v>7898.040000000001</v>
      </c>
      <c r="U64" s="36" t="n">
        <v>4620.440000000001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51352.06</v>
      </c>
      <c r="AB64" s="35" t="n">
        <v>51352.06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2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24148.18</v>
      </c>
      <c r="P65" s="36" t="n">
        <v>7324.77</v>
      </c>
      <c r="Q65" s="36" t="n">
        <v>15483.09</v>
      </c>
      <c r="R65" s="36" t="n">
        <v>5896.45</v>
      </c>
      <c r="S65" s="36" t="n">
        <v>5286.66</v>
      </c>
      <c r="T65" s="36" t="n">
        <v>4753.26</v>
      </c>
      <c r="U65" s="36" t="n">
        <v>28341.66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91234.07000000001</v>
      </c>
      <c r="AB65" s="35" t="n">
        <v>91234.07000000001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2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2397</v>
      </c>
      <c r="P66" s="36" t="n">
        <v>2377</v>
      </c>
      <c r="Q66" s="36" t="n">
        <v>2355</v>
      </c>
      <c r="R66" s="36" t="n">
        <v>2335</v>
      </c>
      <c r="S66" s="36" t="n">
        <v>2313</v>
      </c>
      <c r="T66" s="36" t="n">
        <v>2292</v>
      </c>
      <c r="U66" s="36" t="n">
        <v>2271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16340</v>
      </c>
      <c r="AB66" s="35" t="n">
        <v>16340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2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360.39</v>
      </c>
      <c r="P67" s="36" t="n">
        <v>368.99</v>
      </c>
      <c r="Q67" s="36" t="n">
        <v>255.49</v>
      </c>
      <c r="R67" s="36" t="n">
        <v>447.74</v>
      </c>
      <c r="S67" s="36" t="n">
        <v>290.59</v>
      </c>
      <c r="T67" s="36" t="n">
        <v>478.88</v>
      </c>
      <c r="U67" s="36" t="n">
        <v>226.9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2428.98</v>
      </c>
      <c r="AB67" s="35" t="n">
        <v>32428.98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2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-11.07</v>
      </c>
      <c r="P68" s="36" t="n">
        <v>-9.82</v>
      </c>
      <c r="Q68" s="36" t="n">
        <v>33640.11</v>
      </c>
      <c r="R68" s="36" t="n">
        <v>0</v>
      </c>
      <c r="S68" s="36" t="n">
        <v>-9.539999999999999</v>
      </c>
      <c r="T68" s="36" t="n">
        <v>33312.57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66922.25</v>
      </c>
      <c r="AB68" s="108" t="n">
        <v>79922.25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2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176302.67</v>
      </c>
      <c r="P69" s="43" t="n">
        <v>149969.78</v>
      </c>
      <c r="Q69" s="43" t="n">
        <v>256276.29</v>
      </c>
      <c r="R69" s="43" t="n">
        <v>239522.12</v>
      </c>
      <c r="S69" s="43" t="n">
        <v>163737.15</v>
      </c>
      <c r="T69" s="43" t="n">
        <v>209787.24</v>
      </c>
      <c r="U69" s="43" t="n">
        <v>184794.09</v>
      </c>
      <c r="V69" s="44" t="n">
        <v>162601.02</v>
      </c>
      <c r="W69" s="44" t="n">
        <v>162601.02</v>
      </c>
      <c r="X69" s="44" t="n">
        <v>162601.02</v>
      </c>
      <c r="Y69" s="44" t="n">
        <v>162601.02</v>
      </c>
      <c r="Z69" s="44" t="n">
        <v>443652.02</v>
      </c>
      <c r="AA69" s="42" t="n">
        <v>1380389.34</v>
      </c>
      <c r="AB69" s="42" t="n">
        <v>2075955.44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>
        <v>1558051.7</v>
      </c>
      <c r="O70" s="54" t="n">
        <v>5353.300000000034</v>
      </c>
      <c r="P70" s="54" t="n">
        <v>147244.2300000001</v>
      </c>
      <c r="Q70" s="54" t="n">
        <v>167401.4899999999</v>
      </c>
      <c r="R70" s="54" t="n">
        <v>100134.1500000001</v>
      </c>
      <c r="S70" s="54" t="n">
        <v>73434.60999999999</v>
      </c>
      <c r="T70" s="54" t="n">
        <v>173976.4</v>
      </c>
      <c r="U70" s="54" t="n">
        <v>283991.11</v>
      </c>
      <c r="V70" s="54" t="n">
        <v>-148285.575</v>
      </c>
      <c r="W70" s="54" t="n">
        <v>30514.61499999999</v>
      </c>
      <c r="X70" s="54" t="n">
        <v>81430.91500000004</v>
      </c>
      <c r="Y70" s="54" t="n">
        <v>100345.6550000001</v>
      </c>
      <c r="Z70" s="54" t="n">
        <v>-229013.375</v>
      </c>
      <c r="AA70" s="54" t="n">
        <v>951535.2900000002</v>
      </c>
      <c r="AB70" s="54" t="n">
        <v>1185017.525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>
        <v>0</v>
      </c>
      <c r="AB72" s="55" t="n">
        <v>0</v>
      </c>
      <c r="AC72" s="37" t="n"/>
      <c r="AD72" s="37" t="n"/>
      <c r="AE72" s="37" t="n"/>
      <c r="AF72" s="37" t="n"/>
      <c r="AG72" s="37" t="n"/>
      <c r="AH72" s="37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9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>
        <v>0</v>
      </c>
      <c r="P73" s="36" t="n">
        <v>0</v>
      </c>
      <c r="Q73" s="36" t="n">
        <v>0</v>
      </c>
      <c r="R73" s="36" t="n">
        <v>0</v>
      </c>
      <c r="S73" s="36" t="n">
        <v>0</v>
      </c>
      <c r="T73" s="36" t="n">
        <v>0</v>
      </c>
      <c r="U73" s="36" t="n">
        <v>3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5" t="n">
        <v>3</v>
      </c>
      <c r="AB73" s="55" t="n">
        <v>3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>
        <v>2774.924947916667</v>
      </c>
      <c r="P74" s="36" t="n">
        <v>2774.924947916667</v>
      </c>
      <c r="Q74" s="36" t="n">
        <v>2774.924947916667</v>
      </c>
      <c r="R74" s="36" t="n">
        <v>2774.924947916667</v>
      </c>
      <c r="S74" s="36" t="n">
        <v>2774.924947916667</v>
      </c>
      <c r="T74" s="36" t="n">
        <v>2774.924947916667</v>
      </c>
      <c r="U74" s="36" t="n">
        <v>2805.19578125</v>
      </c>
      <c r="V74" s="37" t="n">
        <v>2770.55578125</v>
      </c>
      <c r="W74" s="37" t="n">
        <v>2770.55578125</v>
      </c>
      <c r="X74" s="37" t="n">
        <v>2770.55578125</v>
      </c>
      <c r="Y74" s="37" t="n">
        <v>2770.55578125</v>
      </c>
      <c r="Z74" s="37" t="n">
        <v>2764.91578125</v>
      </c>
      <c r="AA74" s="35" t="n">
        <v>19454.74546875</v>
      </c>
      <c r="AB74" t="n">
        <v>33301.884375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>
        <v>0</v>
      </c>
      <c r="P75" s="36" t="n">
        <v>0</v>
      </c>
      <c r="Q75" s="36" t="n">
        <v>0</v>
      </c>
      <c r="R75" s="36" t="n">
        <v>0</v>
      </c>
      <c r="S75" s="36" t="n">
        <v>0</v>
      </c>
      <c r="T75" s="36" t="n">
        <v>0</v>
      </c>
      <c r="U75" s="36" t="n">
        <v>3</v>
      </c>
      <c r="V75" s="37" t="n">
        <v>0</v>
      </c>
      <c r="W75" s="37" t="n">
        <v>0</v>
      </c>
      <c r="X75" s="37" t="n">
        <v>0</v>
      </c>
      <c r="Y75" s="37" t="n">
        <v>0</v>
      </c>
      <c r="Z75" s="37" t="n">
        <v>0</v>
      </c>
      <c r="AA75" s="35" t="n">
        <v>3</v>
      </c>
      <c r="AB75" t="n">
        <v>3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>
        <v>0</v>
      </c>
      <c r="AB78" t="n">
        <v>0</v>
      </c>
      <c r="AC78" s="37" t="n"/>
      <c r="AD78" s="37" t="n"/>
      <c r="AE78" s="37" t="n"/>
      <c r="AF78" s="37" t="n"/>
      <c r="AG78" s="37" t="n"/>
      <c r="AH78" s="37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>
        <v>0</v>
      </c>
      <c r="AB79" t="n">
        <v>0</v>
      </c>
      <c r="AC79" s="37" t="n"/>
      <c r="AD79" s="37" t="n"/>
      <c r="AE79" s="37" t="n"/>
      <c r="AF79" s="37" t="n"/>
      <c r="AG79" s="37" t="n"/>
      <c r="AH79" s="3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9">
        <f>SUM(AC79:AH79)+SUM(AI79:AN79)</f>
        <v/>
      </c>
      <c r="AP79" s="139">
        <f>IF(AB79&lt;&gt;0,(AO79-AB79)/ABS(AB79),0)</f>
        <v/>
      </c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>
        <v>0</v>
      </c>
      <c r="AB80" t="n">
        <v>0</v>
      </c>
      <c r="AC80" s="37" t="n"/>
      <c r="AD80" s="37" t="n"/>
      <c r="AE80" s="37" t="n"/>
      <c r="AF80" s="37" t="n"/>
      <c r="AG80" s="37" t="n"/>
      <c r="AH80" s="37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9">
        <f>SUM(AC80:AH80)+SUM(AI80:AN80)</f>
        <v/>
      </c>
      <c r="AP80" s="139">
        <f>IF(AB80&lt;&gt;0,(AO80-AB80)/ABS(AB80),0)</f>
        <v/>
      </c>
    </row>
    <row r="81" ht="15.75" customHeight="1">
      <c r="A81" s="111" t="n"/>
      <c r="B81" s="112" t="n">
        <v>169635.61</v>
      </c>
      <c r="C81" s="112" t="n">
        <v>186626.61</v>
      </c>
      <c r="D81" s="112" t="n">
        <v>338567.7000000001</v>
      </c>
      <c r="E81" s="112" t="n">
        <v>188295.3299999997</v>
      </c>
      <c r="F81" s="112" t="n">
        <v>98787.60000000011</v>
      </c>
      <c r="G81" s="112" t="n">
        <v>250542.7</v>
      </c>
      <c r="H81" s="112" t="n">
        <v>537622.62</v>
      </c>
      <c r="I81" s="112" t="n">
        <v>38607.06999999996</v>
      </c>
      <c r="J81" s="112" t="n">
        <v>82.80000000007567</v>
      </c>
      <c r="K81" s="112" t="n">
        <v>31871.38</v>
      </c>
      <c r="L81" s="112" t="n">
        <v>209008.3400000001</v>
      </c>
      <c r="M81" s="112" t="n">
        <v>388973.69</v>
      </c>
      <c r="N81" s="112" t="n">
        <v>2438621.45</v>
      </c>
      <c r="O81" s="112" t="n"/>
      <c r="P81" s="112" t="n"/>
      <c r="Q81" s="112" t="n"/>
      <c r="R81" s="112" t="n"/>
      <c r="S81" s="112" t="n"/>
      <c r="T81" s="112" t="n"/>
      <c r="U81" s="112" t="n"/>
      <c r="V81" s="112" t="n"/>
      <c r="W81" s="112" t="n"/>
      <c r="X81" s="112" t="n"/>
      <c r="Y81" s="112" t="n"/>
      <c r="Z81" s="112" t="n"/>
      <c r="AA81" s="112" t="n">
        <v>0</v>
      </c>
      <c r="AB81" t="n">
        <v>0</v>
      </c>
      <c r="AC81" s="112" t="n"/>
      <c r="AD81" s="112" t="n"/>
      <c r="AE81" s="112" t="n"/>
      <c r="AF81" s="112" t="n"/>
      <c r="AG81" s="112" t="n"/>
      <c r="AH81" s="112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38">
        <f>SUM(AC81:AH81)+SUM(AI81:AN81)</f>
        <v/>
      </c>
      <c r="AP81" s="139">
        <f>IF(AB81&lt;&gt;0,(AO81-AB81)/ABS(AB81),0)</f>
        <v/>
      </c>
    </row>
    <row r="82">
      <c r="A82" s="21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Q85" s="113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t="n">
        <v>0</v>
      </c>
      <c r="AB95" t="n">
        <v>0</v>
      </c>
      <c r="AC95" s="63" t="n"/>
      <c r="AD95" s="63" t="n"/>
      <c r="AE95" s="63" t="n"/>
      <c r="AF95" s="63" t="n"/>
      <c r="AG95" s="63" t="n"/>
      <c r="AH95" s="63" t="n"/>
      <c r="AI95" s="121" t="n">
        <v>0</v>
      </c>
      <c r="AJ95" s="121" t="n">
        <v>0</v>
      </c>
      <c r="AK95" s="121" t="n">
        <v>0</v>
      </c>
      <c r="AL95" s="121" t="n">
        <v>0</v>
      </c>
      <c r="AM95" s="121" t="n">
        <v>0</v>
      </c>
      <c r="AN95" s="121" t="n">
        <v>0</v>
      </c>
      <c r="AO95" s="144">
        <f>SUM(AC95:AH95)+SUM(AI95:AN95)</f>
        <v/>
      </c>
      <c r="AP95" s="139">
        <f>IF(AB95&lt;&gt;0,(AO95-AB95)/ABS(AB95),0)</f>
        <v/>
      </c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2026-09-16T15:00:28Z</dcterms:created>
  <dcterms:modified xmlns:dcterms="http://purl.org/dc/terms/" xmlns:xsi="http://www.w3.org/2001/XMLSchema-instance" xsi:type="dcterms:W3CDTF">2026-09-16T15:18:15Z</dcterms:modified>
</cp:coreProperties>
</file>